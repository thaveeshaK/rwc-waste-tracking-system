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vageEntry" sheetId="1" r:id="rId5"/>
    <sheet state="visible" name="ContainerEntry" sheetId="2" r:id="rId6"/>
    <sheet state="visible" name="ElecEntry" sheetId="3" r:id="rId7"/>
    <sheet state="visible" name="SalvageUpList" sheetId="4" r:id="rId8"/>
    <sheet state="visible" name="SalvageDownList" sheetId="5" r:id="rId9"/>
    <sheet state="visible" name="CrateList" sheetId="6" r:id="rId10"/>
    <sheet state="visible" name="PalletList" sheetId="7" r:id="rId11"/>
    <sheet state="visible" name="CollTubList" sheetId="8" r:id="rId12"/>
    <sheet state="visible" name="PickupList" sheetId="9" r:id="rId13"/>
    <sheet state="visible" name="ElecCrateList" sheetId="10" r:id="rId14"/>
    <sheet state="visible" name="ElecPalletList" sheetId="11" r:id="rId15"/>
    <sheet state="visible" name="Whitegoods" sheetId="12" r:id="rId16"/>
    <sheet state="visible" name="Scrap" sheetId="13" r:id="rId17"/>
    <sheet state="visible" name="Ewaste Pickups" sheetId="14" r:id="rId18"/>
    <sheet state="visible" name="Monthly Return Crunching" sheetId="15" r:id="rId19"/>
    <sheet state="visible" name="MonthlyNRE" sheetId="16" r:id="rId20"/>
    <sheet state="visible" name="AnnualReturn" sheetId="17" r:id="rId21"/>
    <sheet state="visible" name="Graphs" sheetId="18" r:id="rId22"/>
    <sheet state="visible" name="Annual Return NRE Format" sheetId="19" r:id="rId23"/>
    <sheet state="visible" name="CratePalletEntry" sheetId="20" r:id="rId24"/>
  </sheets>
  <definedNames/>
  <calcPr/>
</workbook>
</file>

<file path=xl/sharedStrings.xml><?xml version="1.0" encoding="utf-8"?>
<sst xmlns="http://schemas.openxmlformats.org/spreadsheetml/2006/main" count="590" uniqueCount="210">
  <si>
    <t xml:space="preserve"> </t>
  </si>
  <si>
    <t>Holding Cells - wait until these are clear before submitting another set of data</t>
  </si>
  <si>
    <t>Waste to landfill</t>
  </si>
  <si>
    <t>Date (DD-MM)</t>
  </si>
  <si>
    <t>Enter a value in every box</t>
  </si>
  <si>
    <t>Weight Up (kg)</t>
  </si>
  <si>
    <t>Container Type</t>
  </si>
  <si>
    <t>Do not press submit unless all boxes are green</t>
  </si>
  <si>
    <t>Iron and steel</t>
  </si>
  <si>
    <t>Weight</t>
  </si>
  <si>
    <t>Materials Up (%)</t>
  </si>
  <si>
    <t>Timber</t>
  </si>
  <si>
    <t>Date</t>
  </si>
  <si>
    <t>Textiles</t>
  </si>
  <si>
    <t>Plastics</t>
  </si>
  <si>
    <t>Aluminium</t>
  </si>
  <si>
    <t>Paper and cardboard</t>
  </si>
  <si>
    <t>Weight Up</t>
  </si>
  <si>
    <t>Mattresses</t>
  </si>
  <si>
    <t>Other non-ferrous</t>
  </si>
  <si>
    <t>-</t>
  </si>
  <si>
    <t>Ewaste</t>
  </si>
  <si>
    <t>Glass</t>
  </si>
  <si>
    <t>Mixed metals</t>
  </si>
  <si>
    <t>Mixed materials</t>
  </si>
  <si>
    <t>TVs, Monitors, Proj</t>
  </si>
  <si>
    <t>Apple crate</t>
  </si>
  <si>
    <t>Everything Else</t>
  </si>
  <si>
    <t>Plastic pallet</t>
  </si>
  <si>
    <t>Pine pallet</t>
  </si>
  <si>
    <t>Bricks</t>
  </si>
  <si>
    <t>Hardwood pallet</t>
  </si>
  <si>
    <t>Building and demolition</t>
  </si>
  <si>
    <t>Collectable Tub</t>
  </si>
  <si>
    <t>Pickup</t>
  </si>
  <si>
    <t>&lt;----Total. Do not press submit unless this is 100</t>
  </si>
  <si>
    <t>&lt;---- If 100% mixed - enter the date and weight,</t>
  </si>
  <si>
    <t>then press this button for speedier results</t>
  </si>
  <si>
    <t>&lt;---- If 100% mixed - just enter the date,</t>
  </si>
  <si>
    <t>then press the relevant button for speedier results</t>
  </si>
  <si>
    <t>Salvage from landfill</t>
  </si>
  <si>
    <t>Pallet and crate tare weights: do not change these numbers</t>
  </si>
  <si>
    <t>Stillage Cage</t>
  </si>
  <si>
    <t>Plastic Pallet</t>
  </si>
  <si>
    <t>Pine Pallet</t>
  </si>
  <si>
    <t>Weight Down (kg)</t>
  </si>
  <si>
    <t>Hardwood Pallet</t>
  </si>
  <si>
    <t>Materials Down</t>
  </si>
  <si>
    <t>Lead acid batteries</t>
  </si>
  <si>
    <t>Crate</t>
  </si>
  <si>
    <t>Whitegoods</t>
  </si>
  <si>
    <t>Weight Down</t>
  </si>
  <si>
    <t>Other Non-Ferrous</t>
  </si>
  <si>
    <t>Mixed Metals</t>
  </si>
  <si>
    <t>Lead Acid Batteries</t>
  </si>
  <si>
    <t>Building and Demolition</t>
  </si>
  <si>
    <t>Paper and Cardboard</t>
  </si>
  <si>
    <t>Mixed Materials</t>
  </si>
  <si>
    <t>Demolition</t>
  </si>
  <si>
    <t>Building &amp; Demolition</t>
  </si>
  <si>
    <t>Ewaste (TVs etc)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</si>
  <si>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</si>
  <si>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</si>
  <si>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</si>
  <si>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</si>
  <si>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</si>
  <si>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</si>
  <si>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</si>
  <si>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</si>
  <si>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</si>
  <si>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</si>
  <si>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</si>
  <si>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</si>
  <si>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Brighton</t>
  </si>
  <si>
    <t>Baretta</t>
  </si>
  <si>
    <t>Huonville</t>
  </si>
  <si>
    <t>Enter data in green cells</t>
  </si>
  <si>
    <t>No touchy red cells, they get calculated automatically</t>
  </si>
  <si>
    <t>OWF (Salvage Down)</t>
  </si>
  <si>
    <t>MSW</t>
  </si>
  <si>
    <t>Crates</t>
  </si>
  <si>
    <t>Pallets</t>
  </si>
  <si>
    <t>In</t>
  </si>
  <si>
    <t>Out</t>
  </si>
  <si>
    <t>Coll Tubs</t>
  </si>
  <si>
    <t>Copy Into Annual Return:</t>
  </si>
  <si>
    <t>Aluminium - salvaged - MSW</t>
  </si>
  <si>
    <t>ELEC</t>
  </si>
  <si>
    <t>Month:</t>
  </si>
  <si>
    <t>Aluminium - drop off - MSW</t>
  </si>
  <si>
    <t>Bricks - salvaged -MSW</t>
  </si>
  <si>
    <t>Ewaste exc steel - salvage exc steel</t>
  </si>
  <si>
    <t>Bricks - drop off - MSW</t>
  </si>
  <si>
    <t>Building and demolition material - salvaged - MSW</t>
  </si>
  <si>
    <t>Building and demolition material - drop off - MSW</t>
  </si>
  <si>
    <t>E-waste - salvaged - MSW</t>
  </si>
  <si>
    <t>&lt;- + ELEC</t>
  </si>
  <si>
    <t>RTL (Salvage Up)</t>
  </si>
  <si>
    <t>Ewaste C&amp;I</t>
  </si>
  <si>
    <t>Ewaste MSW</t>
  </si>
  <si>
    <t>E-waste - drop off - MSW</t>
  </si>
  <si>
    <t>MSW Inc steel</t>
  </si>
  <si>
    <t>E-waste - drop off - C&amp;I</t>
  </si>
  <si>
    <t xml:space="preserve">Exc steel </t>
  </si>
  <si>
    <t>E-waste - Salvaged - MSW - Brighton Council WTS</t>
  </si>
  <si>
    <t>Inc steel</t>
  </si>
  <si>
    <t>E-waste - Salvaged - MSW - Baretta Waste &amp; Recycling Centre</t>
  </si>
  <si>
    <t>Scrap</t>
  </si>
  <si>
    <t>Net Ewaste</t>
  </si>
  <si>
    <t>E-waste - Salvaged - MSW - Southbridge WTS</t>
  </si>
  <si>
    <t>Ewaste Carry Over</t>
  </si>
  <si>
    <t>Ewaste Pickups</t>
  </si>
  <si>
    <t>Glass - salvaged - MSW</t>
  </si>
  <si>
    <t>Previous Month</t>
  </si>
  <si>
    <t>This Month</t>
  </si>
  <si>
    <t>Glass - drop off - MSW</t>
  </si>
  <si>
    <t>Mixed</t>
  </si>
  <si>
    <t>Whitegoods (count)</t>
  </si>
  <si>
    <t>whitegood weight</t>
  </si>
  <si>
    <t>Iron and steel - salvaged - MSW</t>
  </si>
  <si>
    <t>TV Waste Disposal</t>
  </si>
  <si>
    <t>Total</t>
  </si>
  <si>
    <t>Iron and steel - drop off - MSW</t>
  </si>
  <si>
    <t>How to separate these? Is it tracked?</t>
  </si>
  <si>
    <t>5% of Elec is ewaste (tvs, monitors etc)</t>
  </si>
  <si>
    <t>Ewaste: 56% steel, 44% other</t>
  </si>
  <si>
    <t>Other 95% is mixed materials</t>
  </si>
  <si>
    <t>Carry over ewaste:</t>
  </si>
  <si>
    <t>Ewaste numbers for C&amp;I and MSW can be negative if we have had a month where we salvaged and picked up a lot of ewaste but did not process it yet</t>
  </si>
  <si>
    <t>Lead acid batteries - salvaged - MSW</t>
  </si>
  <si>
    <t>In thie situation we need to bring forward some processed ewaste from the next month so that these figures are not negative</t>
  </si>
  <si>
    <t>To do this, increase the ewaste number in cell G24 until the numbers in M19:20 and Q19 are positive</t>
  </si>
  <si>
    <t>Use cell M25 to make a note of how much you increased it by</t>
  </si>
  <si>
    <t>When clearing the green cells to input the next month's data, move the value from M25 to M24</t>
  </si>
  <si>
    <t>This will reduce the next month's ewaste figure so that the amount that was brought forward is not counted twice</t>
  </si>
  <si>
    <t>Lead acid batteries - drop off - MSW</t>
  </si>
  <si>
    <t>Mattresses - drop off - MSW</t>
  </si>
  <si>
    <t>Mixed materials - salvaged - MSW</t>
  </si>
  <si>
    <t>Mixed materials - drop off - MSW</t>
  </si>
  <si>
    <t>Mixed metals - salvaged - MSW</t>
  </si>
  <si>
    <t>Mixed metals - drop off - MSW</t>
  </si>
  <si>
    <t>Mixed Plastics - salvaged - MSW</t>
  </si>
  <si>
    <t>Mixed Plastics -drop off - MSW</t>
  </si>
  <si>
    <t>Other non-ferrous metals - salvaged - MSW</t>
  </si>
  <si>
    <t>Other non-ferrous metals - drop off - MSW</t>
  </si>
  <si>
    <t>Paper &amp; cardboard including books - salvaged - MSW</t>
  </si>
  <si>
    <t>Paper &amp; cardboard including books - drop off - MSW</t>
  </si>
  <si>
    <t>Residual to landfill - timber</t>
  </si>
  <si>
    <t>Residual to landfill - mixed materials</t>
  </si>
  <si>
    <t>Residual to landfill - e-waste</t>
  </si>
  <si>
    <t>Residual to landfill - textiles</t>
  </si>
  <si>
    <t>Residual to landfill - mattresses</t>
  </si>
  <si>
    <t>Annual Total</t>
  </si>
  <si>
    <t>Residual to landfill - paper and cardboard including books</t>
  </si>
  <si>
    <t>Residual to landfill - mixed plastics</t>
  </si>
  <si>
    <t>Residual to landfill - iron and steel</t>
  </si>
  <si>
    <t>Residual to landfill - glass</t>
  </si>
  <si>
    <t>Salvages (MSW)</t>
  </si>
  <si>
    <t>Textiles - drop off - MSW</t>
  </si>
  <si>
    <t>Timber - salvaged - MSW</t>
  </si>
  <si>
    <t>Timber - drop off - MSW</t>
  </si>
  <si>
    <t>Whitegoods and large appliances - salvaged - MSW</t>
  </si>
  <si>
    <t>Whitegoods and large appliances - drop off - MSW</t>
  </si>
  <si>
    <t>Copy grey cells</t>
  </si>
  <si>
    <t>E-waste - Brighton</t>
  </si>
  <si>
    <t>E-waste - Baretta</t>
  </si>
  <si>
    <t>E-waste - Huonville</t>
  </si>
  <si>
    <t>% of goods returned to landfill</t>
  </si>
  <si>
    <t>Comparison</t>
  </si>
  <si>
    <t>This sheet</t>
  </si>
  <si>
    <t>NRE return</t>
  </si>
  <si>
    <t>Iron and steel - OWF</t>
  </si>
  <si>
    <t>Dropoff &amp; Pickup (MSW)</t>
  </si>
  <si>
    <t>Iron and steel - MSW</t>
  </si>
  <si>
    <t>Aluminium - OWF</t>
  </si>
  <si>
    <t>Aluminium - MSW</t>
  </si>
  <si>
    <t>Other non-ferrous metals - OWF</t>
  </si>
  <si>
    <t>Waste To Landfill (RTL)</t>
  </si>
  <si>
    <t>Other non-ferrous metals - MSW</t>
  </si>
  <si>
    <t>Mixed metals - OWF</t>
  </si>
  <si>
    <t>Mixed metals - MSW</t>
  </si>
  <si>
    <t>Textiles - MSW</t>
  </si>
  <si>
    <t>Monthly Net Diversion</t>
  </si>
  <si>
    <t>E-waste - OWF</t>
  </si>
  <si>
    <t>Diversion Per Day</t>
  </si>
  <si>
    <t>E-waste - MSW</t>
  </si>
  <si>
    <t>E-waste - C&amp;I</t>
  </si>
  <si>
    <t>Lead acid batteries - OWF</t>
  </si>
  <si>
    <t>Lead acid batteries - MSW</t>
  </si>
  <si>
    <t>Mattresses - MSW</t>
  </si>
  <si>
    <t>Timber - OWF</t>
  </si>
  <si>
    <t>Timber - MSW</t>
  </si>
  <si>
    <t>Bricks - OWF</t>
  </si>
  <si>
    <t>Building and demolition material - OWF</t>
  </si>
  <si>
    <t>Whitegoods and large appliances - OWF</t>
  </si>
  <si>
    <t>Whitegoods and large appliances - MSW</t>
  </si>
  <si>
    <t>Paper &amp; cardboard including books - OWF</t>
  </si>
  <si>
    <t>Paper &amp; cardboard including books - MSW</t>
  </si>
  <si>
    <t>Mixed materials - OWF</t>
  </si>
  <si>
    <t>Mixed materials - MSW</t>
  </si>
  <si>
    <t>Mixed Plastics - OWF</t>
  </si>
  <si>
    <t>Mixed Plastics - MSW</t>
  </si>
  <si>
    <t>Count</t>
  </si>
  <si>
    <t>Pallet and crate weights: do not change these numbers</t>
  </si>
  <si>
    <t>Pallet</t>
  </si>
  <si>
    <t>Apple Crate</t>
  </si>
  <si>
    <t>Residual to landfill - Mattresses</t>
  </si>
  <si>
    <t>Salvages</t>
  </si>
  <si>
    <t>Dropoffs and Pickups</t>
  </si>
  <si>
    <t>Waste To Landfill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</si>
</sst>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"/>
    <numFmt numFmtId="165" formatCode="dd-mm"/>
    <numFmt numFmtId="166" formatCode="d-m"/>
    <numFmt numFmtId="167" formatCode="dd&quot;/&quot;mm&quot;/&quot;yyyy"/>
    <numFmt numFmtId="168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FF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4" fillId="0" fontId="1" numFmtId="165" xfId="0" applyAlignment="1" applyBorder="1" applyFont="1" applyNumberFormat="1">
      <alignment horizontal="right" readingOrder="0"/>
    </xf>
    <xf borderId="0" fillId="0" fontId="1" numFmtId="165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0" numFmtId="0" xfId="0" applyAlignment="1" applyFont="1">
      <alignment readingOrder="0" shrinkToFit="0" vertical="bottom" wrapText="0"/>
    </xf>
    <xf borderId="4" fillId="0" fontId="0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readingOrder="0"/>
    </xf>
    <xf borderId="5" fillId="0" fontId="0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right" readingOrder="0"/>
    </xf>
    <xf borderId="0" fillId="0" fontId="2" numFmtId="0" xfId="0" applyFont="1"/>
    <xf borderId="3" fillId="0" fontId="1" numFmtId="166" xfId="0" applyAlignment="1" applyBorder="1" applyFont="1" applyNumberFormat="1">
      <alignment readingOrder="0"/>
    </xf>
    <xf borderId="7" fillId="0" fontId="0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horizontal="right"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0" fillId="0" fontId="3" numFmtId="0" xfId="0" applyAlignment="1" applyFont="1">
      <alignment vertical="bottom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167" xfId="0" applyFont="1" applyNumberFormat="1"/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1" fillId="0" fontId="4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7" fillId="2" fontId="1" numFmtId="0" xfId="0" applyBorder="1" applyFill="1" applyFont="1"/>
    <xf borderId="12" fillId="2" fontId="1" numFmtId="0" xfId="0" applyBorder="1" applyFill="1" applyFont="1"/>
    <xf borderId="13" fillId="2" fontId="1" numFmtId="0" xfId="0" applyBorder="1" applyFill="1" applyFont="1"/>
    <xf borderId="0" fillId="0" fontId="4" numFmtId="0" xfId="0" applyAlignment="1" applyFont="1">
      <alignment readingOrder="0"/>
    </xf>
    <xf borderId="5" fillId="2" fontId="1" numFmtId="0" xfId="0" applyBorder="1" applyFill="1" applyFont="1"/>
    <xf borderId="5" fillId="2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0" fillId="0" fontId="5" numFmtId="0" xfId="0" applyFont="1"/>
    <xf borderId="11" fillId="0" fontId="5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5" fillId="3" fontId="1" numFmtId="0" xfId="0" applyBorder="1" applyFill="1" applyFont="1"/>
    <xf borderId="0" fillId="4" fontId="1" numFmtId="2" xfId="0" applyFill="1" applyFont="1" applyNumberFormat="1"/>
    <xf borderId="3" fillId="0" fontId="1" numFmtId="0" xfId="0" applyAlignment="1" applyBorder="1" applyFont="1">
      <alignment readingOrder="0"/>
    </xf>
    <xf borderId="5" fillId="0" fontId="1" numFmtId="0" xfId="0" applyBorder="1" applyFont="1"/>
    <xf borderId="0" fillId="3" fontId="1" numFmtId="168" xfId="0" applyFill="1" applyFont="1" applyNumberFormat="1"/>
    <xf borderId="7" fillId="3" fontId="1" numFmtId="0" xfId="0" applyBorder="1" applyFill="1" applyFont="1"/>
    <xf borderId="12" fillId="3" fontId="1" numFmtId="0" xfId="0" applyBorder="1" applyFill="1" applyFont="1"/>
    <xf borderId="7" fillId="0" fontId="1" numFmtId="0" xfId="0" applyBorder="1" applyFont="1"/>
    <xf borderId="12" fillId="3" fontId="1" numFmtId="168" xfId="0" applyBorder="1" applyFill="1" applyFont="1" applyNumberFormat="1"/>
    <xf borderId="13" fillId="0" fontId="1" numFmtId="0" xfId="0" applyAlignment="1" applyBorder="1" applyFont="1">
      <alignment readingOrder="0"/>
    </xf>
    <xf borderId="0" fillId="0" fontId="1" numFmtId="168" xfId="0" applyFont="1" applyNumberFormat="1"/>
    <xf borderId="4" fillId="0" fontId="1" numFmtId="0" xfId="0" applyAlignment="1" applyBorder="1" applyFont="1">
      <alignment readingOrder="0"/>
    </xf>
    <xf borderId="4" fillId="0" fontId="1" numFmtId="168" xfId="0" applyAlignment="1" applyBorder="1" applyFont="1" applyNumberFormat="1">
      <alignment readingOrder="0"/>
    </xf>
    <xf borderId="11" fillId="0" fontId="0" numFmtId="0" xfId="0" applyAlignment="1" applyBorder="1" applyFont="1">
      <alignment readingOrder="0" shrinkToFit="0" vertical="bottom" wrapText="0"/>
    </xf>
    <xf borderId="6" fillId="3" fontId="1" numFmtId="168" xfId="0" applyBorder="1" applyFill="1" applyFont="1" applyNumberFormat="1"/>
    <xf borderId="0" fillId="0" fontId="1" numFmtId="9" xfId="0" applyAlignment="1" applyFont="1" applyNumberFormat="1">
      <alignment readingOrder="0"/>
    </xf>
    <xf borderId="8" fillId="3" fontId="1" numFmtId="168" xfId="0" applyBorder="1" applyFill="1" applyFont="1" applyNumberFormat="1"/>
    <xf borderId="7" fillId="2" fontId="1" numFmtId="0" xfId="0" applyAlignment="1" applyBorder="1" applyFill="1" applyFont="1">
      <alignment readingOrder="0"/>
    </xf>
    <xf borderId="12" fillId="2" fontId="1" numFmtId="0" xfId="0" applyAlignment="1" applyBorder="1" applyFill="1" applyFont="1">
      <alignment readingOrder="0"/>
    </xf>
    <xf borderId="13" fillId="2" fontId="1" numFmtId="0" xfId="0" applyAlignment="1" applyBorder="1" applyFill="1" applyFont="1">
      <alignment readingOrder="0"/>
    </xf>
    <xf borderId="0" fillId="4" fontId="1" numFmtId="0" xfId="0" applyFill="1" applyFont="1"/>
    <xf borderId="7" fillId="2" fontId="1" numFmtId="0" xfId="0" applyAlignment="1" applyBorder="1" applyFill="1" applyFont="1">
      <alignment readingOrder="0"/>
    </xf>
    <xf borderId="12" fillId="2" fontId="1" numFmtId="0" xfId="0" applyAlignment="1" applyBorder="1" applyFill="1" applyFont="1">
      <alignment readingOrder="0"/>
    </xf>
    <xf borderId="12" fillId="0" fontId="1" numFmtId="0" xfId="0" applyBorder="1" applyFont="1"/>
    <xf borderId="11" fillId="2" fontId="1" numFmtId="0" xfId="0" applyAlignment="1" applyBorder="1" applyFill="1" applyFont="1">
      <alignment readingOrder="0"/>
    </xf>
    <xf borderId="9" fillId="0" fontId="1" numFmtId="0" xfId="0" applyAlignment="1" applyBorder="1" applyFont="1">
      <alignment readingOrder="0"/>
    </xf>
    <xf borderId="13" fillId="2" fontId="1" numFmtId="0" xfId="0" applyAlignment="1" applyBorder="1" applyFill="1" applyFont="1">
      <alignment readingOrder="0"/>
    </xf>
    <xf borderId="11" fillId="3" fontId="1" numFmtId="0" xfId="0" applyAlignment="1" applyBorder="1" applyFill="1" applyFont="1">
      <alignment readingOrder="0"/>
    </xf>
    <xf borderId="0" fillId="4" fontId="1" numFmtId="2" xfId="0" applyAlignment="1" applyFill="1" applyFont="1" applyNumberFormat="1">
      <alignment readingOrder="0"/>
    </xf>
    <xf borderId="0" fillId="0" fontId="1" numFmtId="2" xfId="0" applyFont="1" applyNumberFormat="1"/>
    <xf borderId="1" fillId="5" fontId="4" numFmtId="0" xfId="0" applyAlignment="1" applyBorder="1" applyFill="1" applyFont="1">
      <alignment readingOrder="0"/>
    </xf>
    <xf borderId="9" fillId="5" fontId="1" numFmtId="0" xfId="0" applyBorder="1" applyFill="1" applyFont="1"/>
    <xf borderId="10" fillId="5" fontId="1" numFmtId="0" xfId="0" applyBorder="1" applyFill="1" applyFont="1"/>
    <xf borderId="4" fillId="0" fontId="1" numFmtId="0" xfId="0" applyBorder="1" applyFont="1"/>
    <xf borderId="5" fillId="5" fontId="4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1" fillId="5" fontId="1" numFmtId="0" xfId="0" applyAlignment="1" applyBorder="1" applyFill="1" applyFont="1">
      <alignment readingOrder="0"/>
    </xf>
    <xf borderId="6" fillId="0" fontId="1" numFmtId="0" xfId="0" applyBorder="1" applyFont="1"/>
    <xf borderId="5" fillId="6" fontId="1" numFmtId="0" xfId="0" applyAlignment="1" applyBorder="1" applyFill="1" applyFont="1">
      <alignment readingOrder="0"/>
    </xf>
    <xf borderId="0" fillId="6" fontId="1" numFmtId="2" xfId="0" applyAlignment="1" applyFill="1" applyFont="1" applyNumberFormat="1">
      <alignment readingOrder="0"/>
    </xf>
    <xf borderId="0" fillId="6" fontId="1" numFmtId="2" xfId="0" applyAlignment="1" applyFill="1" applyFont="1" applyNumberFormat="1">
      <alignment readingOrder="0"/>
    </xf>
    <xf borderId="6" fillId="7" fontId="1" numFmtId="2" xfId="0" applyBorder="1" applyFill="1" applyFont="1" applyNumberFormat="1"/>
    <xf borderId="7" fillId="6" fontId="1" numFmtId="0" xfId="0" applyAlignment="1" applyBorder="1" applyFill="1" applyFont="1">
      <alignment readingOrder="0"/>
    </xf>
    <xf borderId="12" fillId="6" fontId="1" numFmtId="2" xfId="0" applyAlignment="1" applyBorder="1" applyFill="1" applyFont="1" applyNumberFormat="1">
      <alignment readingOrder="0"/>
    </xf>
    <xf borderId="12" fillId="6" fontId="1" numFmtId="2" xfId="0" applyAlignment="1" applyBorder="1" applyFill="1" applyFont="1" applyNumberFormat="1">
      <alignment readingOrder="0"/>
    </xf>
    <xf borderId="0" fillId="5" fontId="1" numFmtId="2" xfId="0" applyFill="1" applyFont="1" applyNumberFormat="1"/>
    <xf borderId="4" fillId="8" fontId="1" numFmtId="2" xfId="0" applyBorder="1" applyFill="1" applyFont="1" applyNumberFormat="1"/>
    <xf borderId="0" fillId="0" fontId="1" numFmtId="1" xfId="0" applyFont="1" applyNumberFormat="1"/>
    <xf borderId="0" fillId="0" fontId="1" numFmtId="2" xfId="0" applyFont="1" applyNumberFormat="1"/>
    <xf borderId="9" fillId="5" fontId="1" numFmtId="1" xfId="0" applyBorder="1" applyFill="1" applyFont="1" applyNumberFormat="1"/>
    <xf borderId="10" fillId="5" fontId="1" numFmtId="1" xfId="0" applyBorder="1" applyFill="1" applyFont="1" applyNumberFormat="1"/>
    <xf borderId="5" fillId="0" fontId="1" numFmtId="2" xfId="0" applyBorder="1" applyFont="1" applyNumberFormat="1"/>
    <xf borderId="11" fillId="0" fontId="1" numFmtId="2" xfId="0" applyBorder="1" applyFont="1" applyNumberFormat="1"/>
    <xf borderId="0" fillId="5" fontId="1" numFmtId="2" xfId="0" applyFill="1" applyFont="1" applyNumberFormat="1"/>
    <xf borderId="5" fillId="6" fontId="0" numFmtId="0" xfId="0" applyAlignment="1" applyBorder="1" applyFill="1" applyFont="1">
      <alignment readingOrder="0" shrinkToFit="0" vertical="bottom" wrapText="0"/>
    </xf>
    <xf borderId="7" fillId="6" fontId="0" numFmtId="0" xfId="0" applyAlignment="1" applyBorder="1" applyFill="1" applyFont="1">
      <alignment readingOrder="0" shrinkToFit="0" vertical="bottom" wrapText="0"/>
    </xf>
    <xf borderId="0" fillId="0" fontId="1" numFmtId="2" xfId="0" applyAlignment="1" applyFont="1" applyNumberFormat="1">
      <alignment readingOrder="0"/>
    </xf>
    <xf borderId="6" fillId="0" fontId="1" numFmtId="2" xfId="0" applyBorder="1" applyFont="1" applyNumberFormat="1"/>
    <xf borderId="2" fillId="2" fontId="4" numFmtId="0" xfId="0" applyAlignment="1" applyBorder="1" applyFill="1" applyFont="1">
      <alignment readingOrder="0"/>
    </xf>
    <xf borderId="14" fillId="2" fontId="4" numFmtId="2" xfId="0" applyBorder="1" applyFill="1" applyFont="1" applyNumberFormat="1"/>
    <xf borderId="3" fillId="2" fontId="4" numFmtId="2" xfId="0" applyBorder="1" applyFill="1" applyFont="1" applyNumberFormat="1"/>
    <xf borderId="5" fillId="0" fontId="1" numFmtId="2" xfId="0" applyBorder="1" applyFont="1" applyNumberFormat="1"/>
    <xf borderId="11" fillId="0" fontId="1" numFmtId="2" xfId="0" applyBorder="1" applyFont="1" applyNumberFormat="1"/>
    <xf borderId="7" fillId="0" fontId="1" numFmtId="2" xfId="0" applyBorder="1" applyFont="1" applyNumberFormat="1"/>
    <xf borderId="13" fillId="0" fontId="1" numFmtId="2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Salvages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AnnualReturn!$C$1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AnnualReturn!$B$2:$B$22</c:f>
            </c:strRef>
          </c:cat>
          <c:val>
            <c:numRef>
              <c:f>AnnualReturn!$C$2:$C$22</c:f>
              <c:numCache/>
            </c:numRef>
          </c:val>
        </c:ser>
        <c:ser>
          <c:idx val="1"/>
          <c:order val="1"/>
          <c:tx>
            <c:strRef>
              <c:f>AnnualReturn!$D$1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AnnualReturn!$B$2:$B$22</c:f>
            </c:strRef>
          </c:cat>
          <c:val>
            <c:numRef>
              <c:f>AnnualReturn!$D$2:$D$22</c:f>
              <c:numCache/>
            </c:numRef>
          </c:val>
        </c:ser>
        <c:ser>
          <c:idx val="2"/>
          <c:order val="2"/>
          <c:tx>
            <c:strRef>
              <c:f>AnnualReturn!$E$1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AnnualReturn!$B$2:$B$22</c:f>
            </c:strRef>
          </c:cat>
          <c:val>
            <c:numRef>
              <c:f>AnnualReturn!$E$2:$E$22</c:f>
              <c:numCache/>
            </c:numRef>
          </c:val>
        </c:ser>
        <c:ser>
          <c:idx val="3"/>
          <c:order val="3"/>
          <c:tx>
            <c:strRef>
              <c:f>AnnualReturn!$F$1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AnnualReturn!$F$2:$F$22</c:f>
              <c:numCache/>
            </c:numRef>
          </c:val>
        </c:ser>
        <c:ser>
          <c:idx val="4"/>
          <c:order val="4"/>
          <c:tx>
            <c:strRef>
              <c:f>AnnualReturn!$G$1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AnnualReturn!$G$2:$G$22</c:f>
              <c:numCache/>
            </c:numRef>
          </c:val>
        </c:ser>
        <c:ser>
          <c:idx val="5"/>
          <c:order val="5"/>
          <c:tx>
            <c:strRef>
              <c:f>AnnualReturn!$H$1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AnnualReturn!$H$2:$H$22</c:f>
              <c:numCache/>
            </c:numRef>
          </c:val>
        </c:ser>
        <c:ser>
          <c:idx val="6"/>
          <c:order val="6"/>
          <c:tx>
            <c:strRef>
              <c:f>AnnualReturn!$I$1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AnnualReturn!$I$2:$I$22</c:f>
              <c:numCache/>
            </c:numRef>
          </c:val>
        </c:ser>
        <c:ser>
          <c:idx val="7"/>
          <c:order val="7"/>
          <c:tx>
            <c:strRef>
              <c:f>AnnualReturn!$J$1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AnnualReturn!$J$2:$J$22</c:f>
              <c:numCache/>
            </c:numRef>
          </c:val>
        </c:ser>
        <c:ser>
          <c:idx val="8"/>
          <c:order val="8"/>
          <c:tx>
            <c:strRef>
              <c:f>AnnualReturn!$K$1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AnnualReturn!$K$2:$K$22</c:f>
              <c:numCache/>
            </c:numRef>
          </c:val>
        </c:ser>
        <c:ser>
          <c:idx val="9"/>
          <c:order val="9"/>
          <c:tx>
            <c:strRef>
              <c:f>AnnualReturn!$L$1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AnnualReturn!$L$2:$L$22</c:f>
              <c:numCache/>
            </c:numRef>
          </c:val>
        </c:ser>
        <c:ser>
          <c:idx val="10"/>
          <c:order val="10"/>
          <c:tx>
            <c:strRef>
              <c:f>AnnualReturn!$M$1</c:f>
            </c:strRef>
          </c:tx>
          <c:invertIfNegative val="0"/>
          <c:cat>
            <c:strRef>
              <c:f>AnnualReturn!$B$2:$B$22</c:f>
            </c:strRef>
          </c:cat>
          <c:val>
            <c:numRef>
              <c:f>AnnualReturn!$M$2:$M$22</c:f>
              <c:numCache/>
            </c:numRef>
          </c:val>
        </c:ser>
        <c:axId val="1923097742"/>
        <c:axId val="696611461"/>
      </c:barChart>
      <c:catAx>
        <c:axId val="1923097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611461"/>
      </c:catAx>
      <c:valAx>
        <c:axId val="696611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097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Waste To Landfill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AnnualReturn!$C$45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AnnualReturn!$B$46:$B$54</c:f>
            </c:strRef>
          </c:cat>
          <c:val>
            <c:numRef>
              <c:f>AnnualReturn!$C$46:$C$54</c:f>
              <c:numCache/>
            </c:numRef>
          </c:val>
        </c:ser>
        <c:ser>
          <c:idx val="1"/>
          <c:order val="1"/>
          <c:tx>
            <c:strRef>
              <c:f>AnnualReturn!$D$45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AnnualReturn!$B$46:$B$54</c:f>
            </c:strRef>
          </c:cat>
          <c:val>
            <c:numRef>
              <c:f>AnnualReturn!$D$46:$D$54</c:f>
              <c:numCache/>
            </c:numRef>
          </c:val>
        </c:ser>
        <c:ser>
          <c:idx val="2"/>
          <c:order val="2"/>
          <c:tx>
            <c:strRef>
              <c:f>AnnualReturn!$E$45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AnnualReturn!$B$46:$B$54</c:f>
            </c:strRef>
          </c:cat>
          <c:val>
            <c:numRef>
              <c:f>AnnualReturn!$E$46:$E$54</c:f>
              <c:numCache/>
            </c:numRef>
          </c:val>
        </c:ser>
        <c:ser>
          <c:idx val="3"/>
          <c:order val="3"/>
          <c:tx>
            <c:strRef>
              <c:f>AnnualReturn!$F$45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AnnualReturn!$F$46:$F$54</c:f>
              <c:numCache/>
            </c:numRef>
          </c:val>
        </c:ser>
        <c:ser>
          <c:idx val="4"/>
          <c:order val="4"/>
          <c:tx>
            <c:strRef>
              <c:f>AnnualReturn!$G$45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AnnualReturn!$G$46:$G$54</c:f>
              <c:numCache/>
            </c:numRef>
          </c:val>
        </c:ser>
        <c:ser>
          <c:idx val="5"/>
          <c:order val="5"/>
          <c:tx>
            <c:strRef>
              <c:f>AnnualReturn!$H$45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AnnualReturn!$H$46:$H$54</c:f>
              <c:numCache/>
            </c:numRef>
          </c:val>
        </c:ser>
        <c:ser>
          <c:idx val="6"/>
          <c:order val="6"/>
          <c:tx>
            <c:strRef>
              <c:f>AnnualReturn!$I$45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AnnualReturn!$I$46:$I$54</c:f>
              <c:numCache/>
            </c:numRef>
          </c:val>
        </c:ser>
        <c:ser>
          <c:idx val="7"/>
          <c:order val="7"/>
          <c:tx>
            <c:strRef>
              <c:f>AnnualReturn!$J$45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AnnualReturn!$J$46:$J$54</c:f>
              <c:numCache/>
            </c:numRef>
          </c:val>
        </c:ser>
        <c:ser>
          <c:idx val="8"/>
          <c:order val="8"/>
          <c:tx>
            <c:strRef>
              <c:f>AnnualReturn!$K$45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AnnualReturn!$K$46:$K$54</c:f>
              <c:numCache/>
            </c:numRef>
          </c:val>
        </c:ser>
        <c:ser>
          <c:idx val="9"/>
          <c:order val="9"/>
          <c:tx>
            <c:strRef>
              <c:f>AnnualReturn!$M$45</c:f>
            </c:strRef>
          </c:tx>
          <c:invertIfNegative val="0"/>
          <c:cat>
            <c:strRef>
              <c:f>AnnualReturn!$B$46:$B$54</c:f>
            </c:strRef>
          </c:cat>
          <c:val>
            <c:numRef>
              <c:f>AnnualReturn!$M$46:$M$54</c:f>
              <c:numCache/>
            </c:numRef>
          </c:val>
        </c:ser>
        <c:axId val="1873980141"/>
        <c:axId val="187030628"/>
      </c:barChart>
      <c:catAx>
        <c:axId val="1873980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30628"/>
      </c:catAx>
      <c:valAx>
        <c:axId val="187030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980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Dropoffs and Pickups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AnnualReturn!$C$26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AnnualReturn!$B$27:$B$41</c:f>
            </c:strRef>
          </c:cat>
          <c:val>
            <c:numRef>
              <c:f>AnnualReturn!$C$27:$C$41</c:f>
              <c:numCache/>
            </c:numRef>
          </c:val>
        </c:ser>
        <c:ser>
          <c:idx val="1"/>
          <c:order val="1"/>
          <c:tx>
            <c:strRef>
              <c:f>AnnualReturn!$D$26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AnnualReturn!$B$27:$B$41</c:f>
            </c:strRef>
          </c:cat>
          <c:val>
            <c:numRef>
              <c:f>AnnualReturn!$D$27:$D$41</c:f>
              <c:numCache/>
            </c:numRef>
          </c:val>
        </c:ser>
        <c:ser>
          <c:idx val="2"/>
          <c:order val="2"/>
          <c:tx>
            <c:strRef>
              <c:f>AnnualReturn!$E$26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AnnualReturn!$B$27:$B$41</c:f>
            </c:strRef>
          </c:cat>
          <c:val>
            <c:numRef>
              <c:f>AnnualReturn!$E$27:$E$41</c:f>
              <c:numCache/>
            </c:numRef>
          </c:val>
        </c:ser>
        <c:ser>
          <c:idx val="3"/>
          <c:order val="3"/>
          <c:tx>
            <c:strRef>
              <c:f>AnnualReturn!$F$26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AnnualReturn!$F$27:$F$41</c:f>
              <c:numCache/>
            </c:numRef>
          </c:val>
        </c:ser>
        <c:ser>
          <c:idx val="4"/>
          <c:order val="4"/>
          <c:tx>
            <c:strRef>
              <c:f>AnnualReturn!$G$26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AnnualReturn!$G$27:$G$41</c:f>
              <c:numCache/>
            </c:numRef>
          </c:val>
        </c:ser>
        <c:ser>
          <c:idx val="5"/>
          <c:order val="5"/>
          <c:tx>
            <c:strRef>
              <c:f>AnnualReturn!$H$26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AnnualReturn!$H$27:$H$41</c:f>
              <c:numCache/>
            </c:numRef>
          </c:val>
        </c:ser>
        <c:ser>
          <c:idx val="6"/>
          <c:order val="6"/>
          <c:tx>
            <c:strRef>
              <c:f>AnnualReturn!$I$26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AnnualReturn!$I$27:$I$41</c:f>
              <c:numCache/>
            </c:numRef>
          </c:val>
        </c:ser>
        <c:ser>
          <c:idx val="7"/>
          <c:order val="7"/>
          <c:tx>
            <c:strRef>
              <c:f>AnnualReturn!$J$26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AnnualReturn!$J$27:$J$41</c:f>
              <c:numCache/>
            </c:numRef>
          </c:val>
        </c:ser>
        <c:ser>
          <c:idx val="8"/>
          <c:order val="8"/>
          <c:tx>
            <c:strRef>
              <c:f>AnnualReturn!$K$26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AnnualReturn!$K$27:$K$41</c:f>
              <c:numCache/>
            </c:numRef>
          </c:val>
        </c:ser>
        <c:ser>
          <c:idx val="9"/>
          <c:order val="9"/>
          <c:tx>
            <c:strRef>
              <c:f>AnnualReturn!$L$26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AnnualReturn!$L$27:$L$41</c:f>
              <c:numCache/>
            </c:numRef>
          </c:val>
        </c:ser>
        <c:ser>
          <c:idx val="10"/>
          <c:order val="10"/>
          <c:tx>
            <c:strRef>
              <c:f>AnnualReturn!$M$26</c:f>
            </c:strRef>
          </c:tx>
          <c:invertIfNegative val="0"/>
          <c:cat>
            <c:strRef>
              <c:f>AnnualReturn!$B$27:$B$41</c:f>
            </c:strRef>
          </c:cat>
          <c:val>
            <c:numRef>
              <c:f>AnnualReturn!$M$27:$M$41</c:f>
              <c:numCache/>
            </c:numRef>
          </c:val>
        </c:ser>
        <c:axId val="1306543021"/>
        <c:axId val="1837202336"/>
      </c:barChart>
      <c:catAx>
        <c:axId val="1306543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202336"/>
      </c:catAx>
      <c:valAx>
        <c:axId val="1837202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543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Net Diversion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AnnualReturn!$C$59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AnnualReturn!$C$60</c:f>
              <c:numCache/>
            </c:numRef>
          </c:val>
        </c:ser>
        <c:ser>
          <c:idx val="1"/>
          <c:order val="1"/>
          <c:tx>
            <c:strRef>
              <c:f>AnnualReturn!$D$59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AnnualReturn!$D$60</c:f>
              <c:numCache/>
            </c:numRef>
          </c:val>
        </c:ser>
        <c:ser>
          <c:idx val="2"/>
          <c:order val="2"/>
          <c:tx>
            <c:strRef>
              <c:f>AnnualReturn!$E$59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AnnualReturn!$E$60</c:f>
              <c:numCache/>
            </c:numRef>
          </c:val>
        </c:ser>
        <c:ser>
          <c:idx val="3"/>
          <c:order val="3"/>
          <c:tx>
            <c:strRef>
              <c:f>AnnualReturn!$F$59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AnnualReturn!$F$60</c:f>
              <c:numCache/>
            </c:numRef>
          </c:val>
        </c:ser>
        <c:ser>
          <c:idx val="4"/>
          <c:order val="4"/>
          <c:tx>
            <c:strRef>
              <c:f>AnnualReturn!$G$59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AnnualReturn!$G$60</c:f>
              <c:numCache/>
            </c:numRef>
          </c:val>
        </c:ser>
        <c:ser>
          <c:idx val="5"/>
          <c:order val="5"/>
          <c:tx>
            <c:strRef>
              <c:f>AnnualReturn!$H$59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AnnualReturn!$H$60</c:f>
              <c:numCache/>
            </c:numRef>
          </c:val>
        </c:ser>
        <c:ser>
          <c:idx val="6"/>
          <c:order val="6"/>
          <c:tx>
            <c:strRef>
              <c:f>AnnualReturn!$I$59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AnnualReturn!$I$60</c:f>
              <c:numCache/>
            </c:numRef>
          </c:val>
        </c:ser>
        <c:ser>
          <c:idx val="7"/>
          <c:order val="7"/>
          <c:tx>
            <c:strRef>
              <c:f>AnnualReturn!$J$59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AnnualReturn!$J$60</c:f>
              <c:numCache/>
            </c:numRef>
          </c:val>
        </c:ser>
        <c:ser>
          <c:idx val="8"/>
          <c:order val="8"/>
          <c:tx>
            <c:strRef>
              <c:f>AnnualReturn!$K$59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AnnualReturn!$K$60</c:f>
              <c:numCache/>
            </c:numRef>
          </c:val>
        </c:ser>
        <c:ser>
          <c:idx val="9"/>
          <c:order val="9"/>
          <c:tx>
            <c:strRef>
              <c:f>AnnualReturn!$L$59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AnnualReturn!$L$60</c:f>
              <c:numCache/>
            </c:numRef>
          </c:val>
        </c:ser>
        <c:ser>
          <c:idx val="10"/>
          <c:order val="10"/>
          <c:tx>
            <c:strRef>
              <c:f>AnnualReturn!$M$59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AnnualReturn!$M$60</c:f>
              <c:numCache/>
            </c:numRef>
          </c:val>
        </c:ser>
        <c:ser>
          <c:idx val="11"/>
          <c:order val="11"/>
          <c:tx>
            <c:strRef>
              <c:f>AnnualReturn!$N$59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AnnualReturn!$N$60</c:f>
              <c:numCache/>
            </c:numRef>
          </c:val>
        </c:ser>
        <c:axId val="1288302350"/>
        <c:axId val="1277473397"/>
      </c:barChart>
      <c:catAx>
        <c:axId val="1288302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473397"/>
      </c:catAx>
      <c:valAx>
        <c:axId val="1277473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302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Graphs!$B$42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Graphs!$B$43:$B$46</c:f>
              <c:numCache/>
            </c:numRef>
          </c:val>
        </c:ser>
        <c:ser>
          <c:idx val="1"/>
          <c:order val="1"/>
          <c:tx>
            <c:strRef>
              <c:f>Graphs!$C$42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Graphs!$C$43:$C$46</c:f>
              <c:numCache/>
            </c:numRef>
          </c:val>
        </c:ser>
        <c:ser>
          <c:idx val="2"/>
          <c:order val="2"/>
          <c:tx>
            <c:strRef>
              <c:f>Graphs!$D$42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Graphs!$D$43:$D$46</c:f>
              <c:numCache/>
            </c:numRef>
          </c:val>
        </c:ser>
        <c:ser>
          <c:idx val="3"/>
          <c:order val="3"/>
          <c:tx>
            <c:strRef>
              <c:f>Graphs!$E$42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Graphs!$E$43:$E$46</c:f>
              <c:numCache/>
            </c:numRef>
          </c:val>
        </c:ser>
        <c:ser>
          <c:idx val="4"/>
          <c:order val="4"/>
          <c:tx>
            <c:strRef>
              <c:f>Graphs!$F$42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Graphs!$F$43:$F$46</c:f>
              <c:numCache/>
            </c:numRef>
          </c:val>
        </c:ser>
        <c:ser>
          <c:idx val="5"/>
          <c:order val="5"/>
          <c:tx>
            <c:strRef>
              <c:f>Graphs!$G$42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Graphs!$G$43:$G$46</c:f>
              <c:numCache/>
            </c:numRef>
          </c:val>
        </c:ser>
        <c:ser>
          <c:idx val="6"/>
          <c:order val="6"/>
          <c:tx>
            <c:strRef>
              <c:f>Graphs!$H$42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Graphs!$H$43:$H$46</c:f>
              <c:numCache/>
            </c:numRef>
          </c:val>
        </c:ser>
        <c:ser>
          <c:idx val="7"/>
          <c:order val="7"/>
          <c:tx>
            <c:strRef>
              <c:f>Graphs!$I$42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Graphs!$I$43:$I$46</c:f>
              <c:numCache/>
            </c:numRef>
          </c:val>
        </c:ser>
        <c:ser>
          <c:idx val="8"/>
          <c:order val="8"/>
          <c:tx>
            <c:strRef>
              <c:f>Graphs!$J$42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Graphs!$J$43:$J$46</c:f>
              <c:numCache/>
            </c:numRef>
          </c:val>
        </c:ser>
        <c:ser>
          <c:idx val="9"/>
          <c:order val="9"/>
          <c:tx>
            <c:strRef>
              <c:f>Graphs!$K$42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Graphs!$K$43:$K$46</c:f>
              <c:numCache/>
            </c:numRef>
          </c:val>
        </c:ser>
        <c:ser>
          <c:idx val="10"/>
          <c:order val="10"/>
          <c:tx>
            <c:strRef>
              <c:f>Graphs!$L$42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Graphs!$L$43:$L$46</c:f>
              <c:numCache/>
            </c:numRef>
          </c:val>
        </c:ser>
        <c:ser>
          <c:idx val="11"/>
          <c:order val="11"/>
          <c:tx>
            <c:strRef>
              <c:f>Graphs!$M$42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Graphs!$A$43:$A$46</c:f>
            </c:strRef>
          </c:cat>
          <c:val>
            <c:numRef>
              <c:f>Graphs!$M$43:$M$46</c:f>
              <c:numCache/>
            </c:numRef>
          </c:val>
        </c:ser>
        <c:axId val="1262601147"/>
        <c:axId val="1522273564"/>
      </c:barChart>
      <c:catAx>
        <c:axId val="1262601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273564"/>
      </c:catAx>
      <c:valAx>
        <c:axId val="1522273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601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13</xdr:row>
      <xdr:rowOff>47625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3" name="Shape 3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970700" y="110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Submit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962025</xdr:colOff>
      <xdr:row>34</xdr:row>
      <xdr:rowOff>19050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7" name="Shape 7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970700" y="110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Submit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361950</xdr:colOff>
      <xdr:row>13</xdr:row>
      <xdr:rowOff>47625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50" cy="520500"/>
          <a:chOff x="850600" y="1020725"/>
          <a:chExt cx="1000850" cy="520500"/>
        </a:xfrm>
      </xdr:grpSpPr>
      <xdr:sp>
        <xdr:nvSpPr>
          <xdr:cNvPr id="11" name="Shape 11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850650" y="1020725"/>
            <a:ext cx="1000800" cy="520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Submit - 100% Mixed</a:t>
            </a:r>
            <a:endParaRPr sz="1100"/>
          </a:p>
        </xdr:txBody>
      </xdr:sp>
    </xdr:grpSp>
    <xdr:clientData fLocksWithSheet="0"/>
  </xdr:oneCellAnchor>
  <xdr:oneCellAnchor>
    <xdr:from>
      <xdr:col>4</xdr:col>
      <xdr:colOff>361950</xdr:colOff>
      <xdr:row>34</xdr:row>
      <xdr:rowOff>19050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50" cy="520500"/>
          <a:chOff x="850600" y="1020725"/>
          <a:chExt cx="1000850" cy="520500"/>
        </a:xfrm>
      </xdr:grpSpPr>
      <xdr:sp>
        <xdr:nvSpPr>
          <xdr:cNvPr id="15" name="Shape 15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850650" y="1020725"/>
            <a:ext cx="1000800" cy="520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Submit - 100% Mixed</a:t>
            </a:r>
            <a:endParaRPr sz="1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1409700</xdr:colOff>
      <xdr:row>19</xdr:row>
      <xdr:rowOff>38100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5" name="Shape 5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83197" y="109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Submit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400050</xdr:colOff>
      <xdr:row>19</xdr:row>
      <xdr:rowOff>19050</xdr:rowOff>
    </xdr:from>
    <xdr:ext cx="1019175" cy="581025"/>
    <xdr:grpSp>
      <xdr:nvGrpSpPr>
        <xdr:cNvPr id="2" name="Shape 2" title="Drawing"/>
        <xdr:cNvGrpSpPr/>
      </xdr:nvGrpSpPr>
      <xdr:grpSpPr>
        <a:xfrm>
          <a:off x="850600" y="980911"/>
          <a:ext cx="1000800" cy="560314"/>
          <a:chOff x="850600" y="980911"/>
          <a:chExt cx="1000800" cy="560314"/>
        </a:xfrm>
      </xdr:grpSpPr>
      <xdr:sp>
        <xdr:nvSpPr>
          <xdr:cNvPr id="9" name="Shape 9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850600" y="980911"/>
            <a:ext cx="1000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100% Mixed</a:t>
            </a:r>
            <a:endParaRPr sz="1400"/>
          </a:p>
        </xdr:txBody>
      </xdr:sp>
    </xdr:grpSp>
    <xdr:clientData fLocksWithSheet="0"/>
  </xdr:oneCellAnchor>
  <xdr:oneCellAnchor>
    <xdr:from>
      <xdr:col>4</xdr:col>
      <xdr:colOff>657225</xdr:colOff>
      <xdr:row>19</xdr:row>
      <xdr:rowOff>19050</xdr:rowOff>
    </xdr:from>
    <xdr:ext cx="1019175" cy="581025"/>
    <xdr:grpSp>
      <xdr:nvGrpSpPr>
        <xdr:cNvPr id="2" name="Shape 2" title="Drawing"/>
        <xdr:cNvGrpSpPr/>
      </xdr:nvGrpSpPr>
      <xdr:grpSpPr>
        <a:xfrm>
          <a:off x="850600" y="980911"/>
          <a:ext cx="1000800" cy="560314"/>
          <a:chOff x="850600" y="980911"/>
          <a:chExt cx="1000800" cy="560314"/>
        </a:xfrm>
      </xdr:grpSpPr>
      <xdr:sp>
        <xdr:nvSpPr>
          <xdr:cNvPr id="13" name="Shape 13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850600" y="980911"/>
            <a:ext cx="1000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100% Timber</a:t>
            </a:r>
            <a:endParaRPr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1247775</xdr:colOff>
      <xdr:row>8</xdr:row>
      <xdr:rowOff>38100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5" name="Shape 5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83197" y="109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Submit</a:t>
            </a:r>
            <a:endParaRPr sz="1400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3</xdr:row>
      <xdr:rowOff>142875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17" name="Shape 17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1046900" y="110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Copy</a:t>
            </a:r>
            <a:endParaRPr sz="1400"/>
          </a:p>
        </xdr:txBody>
      </xdr:sp>
    </xdr:grp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400050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20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400050</xdr:colOff>
      <xdr:row>20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</xdr:colOff>
      <xdr:row>48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1247775</xdr:colOff>
      <xdr:row>18</xdr:row>
      <xdr:rowOff>38100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5" name="Shape 5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030750" y="109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Crate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942975</xdr:colOff>
      <xdr:row>18</xdr:row>
      <xdr:rowOff>38100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19" name="Shape 19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1030750" y="1090775"/>
            <a:ext cx="740400" cy="38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Pallet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1247775</xdr:colOff>
      <xdr:row>21</xdr:row>
      <xdr:rowOff>190500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21" name="Shape 21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2" name="Shape 22"/>
          <xdr:cNvSpPr txBox="1"/>
        </xdr:nvSpPr>
        <xdr:spPr>
          <a:xfrm>
            <a:off x="850600" y="1020725"/>
            <a:ext cx="1000800" cy="520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Crate - 100% Mixed</a:t>
            </a:r>
            <a:endParaRPr sz="1100"/>
          </a:p>
        </xdr:txBody>
      </xdr:sp>
    </xdr:grpSp>
    <xdr:clientData fLocksWithSheet="0"/>
  </xdr:oneCellAnchor>
  <xdr:oneCellAnchor>
    <xdr:from>
      <xdr:col>3</xdr:col>
      <xdr:colOff>942975</xdr:colOff>
      <xdr:row>21</xdr:row>
      <xdr:rowOff>190500</xdr:rowOff>
    </xdr:from>
    <xdr:ext cx="1019175" cy="542925"/>
    <xdr:grpSp>
      <xdr:nvGrpSpPr>
        <xdr:cNvPr id="2" name="Shape 2" title="Drawing"/>
        <xdr:cNvGrpSpPr/>
      </xdr:nvGrpSpPr>
      <xdr:grpSpPr>
        <a:xfrm>
          <a:off x="850600" y="1020725"/>
          <a:ext cx="1000800" cy="520500"/>
          <a:chOff x="850600" y="1020725"/>
          <a:chExt cx="1000800" cy="520500"/>
        </a:xfrm>
      </xdr:grpSpPr>
      <xdr:sp>
        <xdr:nvSpPr>
          <xdr:cNvPr id="23" name="Shape 23"/>
          <xdr:cNvSpPr/>
        </xdr:nvSpPr>
        <xdr:spPr>
          <a:xfrm>
            <a:off x="850600" y="1020725"/>
            <a:ext cx="1000800" cy="5205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4" name="Shape 24"/>
          <xdr:cNvSpPr txBox="1"/>
        </xdr:nvSpPr>
        <xdr:spPr>
          <a:xfrm>
            <a:off x="850600" y="1020725"/>
            <a:ext cx="1000800" cy="520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Pallet</a:t>
            </a:r>
            <a:r>
              <a:rPr lang="en-US" sz="1100"/>
              <a:t> - 100% Mixed</a:t>
            </a:r>
            <a:endParaRPr sz="11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63"/>
  </cols>
  <sheetData>
    <row r="1">
      <c r="A1" s="1" t="s">
        <v>0</v>
      </c>
      <c r="H1" s="1" t="s">
        <v>1</v>
      </c>
    </row>
    <row r="2">
      <c r="A2" s="1" t="s">
        <v>2</v>
      </c>
      <c r="B2" s="2" t="s">
        <v>3</v>
      </c>
      <c r="C2" s="5">
        <v>46303.0</v>
      </c>
      <c r="D2" s="1" t="s">
        <v>4</v>
      </c>
      <c r="H2" s="5"/>
    </row>
    <row r="3">
      <c r="B3" s="7" t="s">
        <v>5</v>
      </c>
      <c r="C3" s="8"/>
      <c r="D3" s="1" t="s">
        <v>7</v>
      </c>
      <c r="H3" s="8"/>
      <c r="Z3" s="1"/>
    </row>
    <row r="4">
      <c r="A4" s="9"/>
      <c r="B4" s="10" t="s">
        <v>8</v>
      </c>
      <c r="C4" s="11">
        <v>0.0</v>
      </c>
      <c r="H4" s="11"/>
    </row>
    <row r="5">
      <c r="A5" s="9" t="s">
        <v>10</v>
      </c>
      <c r="B5" s="13" t="s">
        <v>11</v>
      </c>
      <c r="C5" s="15">
        <v>0.0</v>
      </c>
      <c r="H5" s="15"/>
    </row>
    <row r="6">
      <c r="A6" s="16"/>
      <c r="B6" s="13" t="s">
        <v>13</v>
      </c>
      <c r="C6" s="15">
        <v>0.0</v>
      </c>
      <c r="H6" s="15"/>
    </row>
    <row r="7">
      <c r="A7" s="16"/>
      <c r="B7" s="13" t="s">
        <v>14</v>
      </c>
      <c r="C7" s="15">
        <v>0.0</v>
      </c>
      <c r="H7" s="15"/>
    </row>
    <row r="8">
      <c r="A8" s="16"/>
      <c r="B8" s="13" t="s">
        <v>16</v>
      </c>
      <c r="C8" s="15">
        <v>0.0</v>
      </c>
      <c r="H8" s="15"/>
    </row>
    <row r="9">
      <c r="A9" s="16"/>
      <c r="B9" s="13" t="s">
        <v>18</v>
      </c>
      <c r="C9" s="15">
        <v>0.0</v>
      </c>
      <c r="H9" s="15"/>
    </row>
    <row r="10">
      <c r="A10" s="16"/>
      <c r="B10" s="13" t="s">
        <v>21</v>
      </c>
      <c r="C10" s="15">
        <v>0.0</v>
      </c>
      <c r="H10" s="15"/>
    </row>
    <row r="11">
      <c r="A11" s="16"/>
      <c r="B11" s="13" t="s">
        <v>22</v>
      </c>
      <c r="C11" s="15">
        <v>0.0</v>
      </c>
      <c r="H11" s="15"/>
    </row>
    <row r="12">
      <c r="A12" s="16"/>
      <c r="B12" s="18" t="s">
        <v>24</v>
      </c>
      <c r="C12" s="19">
        <v>0.0</v>
      </c>
      <c r="H12" s="19"/>
    </row>
    <row r="13">
      <c r="B13" s="1"/>
      <c r="C13" s="1">
        <f>SUM(C4:C12)</f>
        <v>0</v>
      </c>
      <c r="D13" s="1" t="s">
        <v>35</v>
      </c>
    </row>
    <row r="14">
      <c r="B14" s="1"/>
      <c r="D14" s="1"/>
    </row>
    <row r="15">
      <c r="B15" s="1"/>
      <c r="D15" s="1"/>
      <c r="G15" s="1" t="s">
        <v>36</v>
      </c>
    </row>
    <row r="16">
      <c r="B16" s="1"/>
      <c r="D16" s="1"/>
      <c r="G16" s="1" t="s">
        <v>37</v>
      </c>
    </row>
    <row r="17">
      <c r="B17" s="1"/>
      <c r="D17" s="1"/>
    </row>
    <row r="18">
      <c r="A18" s="1" t="s">
        <v>40</v>
      </c>
      <c r="B18" s="2" t="s">
        <v>3</v>
      </c>
      <c r="C18" s="5">
        <f>C2</f>
        <v>46303</v>
      </c>
      <c r="D18" s="1" t="s">
        <v>4</v>
      </c>
      <c r="H18" s="5"/>
    </row>
    <row r="19">
      <c r="B19" s="12" t="s">
        <v>45</v>
      </c>
      <c r="C19" s="14"/>
      <c r="D19" s="1" t="s">
        <v>7</v>
      </c>
      <c r="H19" s="14"/>
    </row>
    <row r="20">
      <c r="A20" s="1" t="s">
        <v>47</v>
      </c>
      <c r="B20" s="7" t="s">
        <v>8</v>
      </c>
      <c r="C20" s="15">
        <v>0.0</v>
      </c>
      <c r="H20" s="15"/>
    </row>
    <row r="21">
      <c r="B21" s="7" t="s">
        <v>15</v>
      </c>
      <c r="C21" s="15">
        <v>0.0</v>
      </c>
      <c r="H21" s="15"/>
    </row>
    <row r="22">
      <c r="B22" s="7" t="s">
        <v>19</v>
      </c>
      <c r="C22" s="15">
        <v>0.0</v>
      </c>
      <c r="H22" s="15"/>
    </row>
    <row r="23">
      <c r="B23" s="7" t="s">
        <v>23</v>
      </c>
      <c r="C23" s="15">
        <v>0.0</v>
      </c>
      <c r="H23" s="15"/>
    </row>
    <row r="24">
      <c r="B24" s="7" t="s">
        <v>21</v>
      </c>
      <c r="C24" s="15">
        <v>0.0</v>
      </c>
      <c r="H24" s="15"/>
    </row>
    <row r="25">
      <c r="B25" s="7" t="s">
        <v>48</v>
      </c>
      <c r="C25" s="15">
        <v>0.0</v>
      </c>
      <c r="H25" s="15"/>
    </row>
    <row r="26">
      <c r="B26" s="7" t="s">
        <v>11</v>
      </c>
      <c r="C26" s="15">
        <v>0.0</v>
      </c>
      <c r="D26" s="1"/>
      <c r="H26" s="15"/>
    </row>
    <row r="27">
      <c r="B27" s="7" t="s">
        <v>30</v>
      </c>
      <c r="C27" s="15">
        <v>0.0</v>
      </c>
      <c r="H27" s="15"/>
    </row>
    <row r="28">
      <c r="B28" s="7" t="s">
        <v>32</v>
      </c>
      <c r="C28" s="15">
        <v>0.0</v>
      </c>
      <c r="H28" s="15"/>
    </row>
    <row r="29">
      <c r="B29" s="7" t="s">
        <v>50</v>
      </c>
      <c r="C29" s="15">
        <v>0.0</v>
      </c>
      <c r="H29" s="15"/>
    </row>
    <row r="30">
      <c r="B30" s="7" t="s">
        <v>16</v>
      </c>
      <c r="C30" s="15">
        <v>0.0</v>
      </c>
      <c r="H30" s="15"/>
    </row>
    <row r="31">
      <c r="B31" s="7" t="s">
        <v>14</v>
      </c>
      <c r="C31" s="15">
        <v>0.0</v>
      </c>
      <c r="H31" s="15"/>
    </row>
    <row r="32">
      <c r="B32" s="7" t="s">
        <v>22</v>
      </c>
      <c r="C32" s="15">
        <v>0.0</v>
      </c>
      <c r="H32" s="15"/>
    </row>
    <row r="33">
      <c r="B33" s="12" t="s">
        <v>24</v>
      </c>
      <c r="C33" s="19">
        <v>0.0</v>
      </c>
      <c r="H33" s="19"/>
    </row>
    <row r="34">
      <c r="C34" s="1">
        <f>SUM(C20:C33)</f>
        <v>0</v>
      </c>
      <c r="D34" s="1" t="s">
        <v>35</v>
      </c>
      <c r="H34" s="1">
        <f>SUM(H20:H33)</f>
        <v>0</v>
      </c>
    </row>
    <row r="36">
      <c r="G36" s="1" t="s">
        <v>36</v>
      </c>
    </row>
    <row r="37">
      <c r="G37" s="1" t="s">
        <v>37</v>
      </c>
    </row>
  </sheetData>
  <conditionalFormatting sqref="C13">
    <cfRule type="cellIs" dxfId="1" priority="1" operator="equal">
      <formula>100</formula>
    </cfRule>
  </conditionalFormatting>
  <conditionalFormatting sqref="C13">
    <cfRule type="cellIs" dxfId="0" priority="2" operator="notEqual">
      <formula>100</formula>
    </cfRule>
  </conditionalFormatting>
  <conditionalFormatting sqref="C2:C12 H2:H12 C18:C33 H18:H33">
    <cfRule type="containsBlanks" dxfId="2" priority="3">
      <formula>LEN(TRIM(C2))=0</formula>
    </cfRule>
  </conditionalFormatting>
  <conditionalFormatting sqref="C2 H2 C18 H18">
    <cfRule type="notContainsText" dxfId="2" priority="4" operator="notContains" text="??-??">
      <formula>ISERROR(SEARCH(("??-??"),(C2)))</formula>
    </cfRule>
  </conditionalFormatting>
  <conditionalFormatting sqref="C2 H2 C18 H18">
    <cfRule type="containsText" dxfId="1" priority="5" operator="containsText" text="??-??">
      <formula>NOT(ISERROR(SEARCH(("??-??"),(C2))))</formula>
    </cfRule>
  </conditionalFormatting>
  <conditionalFormatting sqref="C34 H34">
    <cfRule type="cellIs" dxfId="1" priority="6" operator="equal">
      <formula>100</formula>
    </cfRule>
  </conditionalFormatting>
  <conditionalFormatting sqref="C34 H34">
    <cfRule type="cellIs" dxfId="1" priority="7" operator="equal">
      <formula>100</formula>
    </cfRule>
  </conditionalFormatting>
  <conditionalFormatting sqref="C34 H34">
    <cfRule type="cellIs" dxfId="0" priority="8" operator="notEqual">
      <formula>100</formula>
    </cfRule>
  </conditionalFormatting>
  <conditionalFormatting sqref="C20:C33 H20:H33">
    <cfRule type="notContainsBlanks" dxfId="1" priority="9">
      <formula>LEN(TRIM(C20))&gt;0</formula>
    </cfRule>
  </conditionalFormatting>
  <conditionalFormatting sqref="C3 H3">
    <cfRule type="notContainsBlanks" dxfId="1" priority="10">
      <formula>LEN(TRIM(C3))&gt;0</formula>
    </cfRule>
  </conditionalFormatting>
  <conditionalFormatting sqref="C19 H19">
    <cfRule type="notContainsBlanks" dxfId="1" priority="11">
      <formula>LEN(TRIM(C19))&gt;0</formula>
    </cfRule>
  </conditionalFormatting>
  <conditionalFormatting sqref="C4:C12 H4:H12">
    <cfRule type="notContainsBlanks" dxfId="1" priority="12">
      <formula>LEN(TRIM(C4))&gt;0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4" max="4" width="14.5"/>
  </cols>
  <sheetData>
    <row r="1">
      <c r="A1" s="1" t="s">
        <v>0</v>
      </c>
      <c r="H1" s="1" t="s">
        <v>1</v>
      </c>
    </row>
    <row r="2">
      <c r="B2" s="3" t="s">
        <v>3</v>
      </c>
      <c r="C2" s="4">
        <v>46302.0</v>
      </c>
      <c r="D2" s="1" t="s">
        <v>4</v>
      </c>
      <c r="H2" s="4"/>
      <c r="L2" s="6"/>
    </row>
    <row r="3">
      <c r="B3" s="7" t="s">
        <v>6</v>
      </c>
      <c r="C3" s="8">
        <v>5.0</v>
      </c>
      <c r="D3" s="1"/>
      <c r="H3" s="8"/>
    </row>
    <row r="4">
      <c r="B4" s="12" t="s">
        <v>9</v>
      </c>
      <c r="C4" s="14"/>
      <c r="D4" s="1"/>
      <c r="H4" s="14"/>
    </row>
    <row r="5">
      <c r="B5" s="7" t="s">
        <v>8</v>
      </c>
      <c r="C5" s="8">
        <v>0.0</v>
      </c>
      <c r="D5" s="1" t="s">
        <v>7</v>
      </c>
      <c r="H5" s="8"/>
    </row>
    <row r="6">
      <c r="B6" s="7" t="s">
        <v>15</v>
      </c>
      <c r="C6" s="8">
        <v>0.0</v>
      </c>
      <c r="H6" s="8"/>
    </row>
    <row r="7">
      <c r="B7" s="7" t="s">
        <v>19</v>
      </c>
      <c r="C7" s="8">
        <v>0.0</v>
      </c>
      <c r="H7" s="8"/>
    </row>
    <row r="8">
      <c r="B8" s="7" t="s">
        <v>23</v>
      </c>
      <c r="C8" s="8">
        <v>0.0</v>
      </c>
      <c r="H8" s="8"/>
      <c r="L8" s="1" t="s">
        <v>6</v>
      </c>
    </row>
    <row r="9">
      <c r="B9" s="7" t="s">
        <v>13</v>
      </c>
      <c r="C9" s="8">
        <v>0.0</v>
      </c>
      <c r="H9" s="8"/>
      <c r="K9" s="1" t="s">
        <v>26</v>
      </c>
      <c r="L9" s="1">
        <v>1.0</v>
      </c>
    </row>
    <row r="10">
      <c r="B10" s="7" t="s">
        <v>18</v>
      </c>
      <c r="C10" s="8">
        <v>0.0</v>
      </c>
      <c r="H10" s="8"/>
      <c r="K10" s="1" t="s">
        <v>28</v>
      </c>
      <c r="L10" s="1">
        <v>2.0</v>
      </c>
    </row>
    <row r="11">
      <c r="B11" s="7" t="s">
        <v>11</v>
      </c>
      <c r="C11" s="8">
        <v>0.0</v>
      </c>
      <c r="H11" s="8"/>
      <c r="K11" s="1" t="s">
        <v>29</v>
      </c>
      <c r="L11" s="1">
        <v>3.0</v>
      </c>
    </row>
    <row r="12">
      <c r="B12" s="7" t="s">
        <v>30</v>
      </c>
      <c r="C12" s="8">
        <v>0.0</v>
      </c>
      <c r="H12" s="8"/>
      <c r="K12" s="1" t="s">
        <v>31</v>
      </c>
      <c r="L12" s="1">
        <v>4.0</v>
      </c>
    </row>
    <row r="13">
      <c r="B13" s="7" t="s">
        <v>32</v>
      </c>
      <c r="C13" s="8">
        <v>0.0</v>
      </c>
      <c r="H13" s="8"/>
      <c r="K13" s="1" t="s">
        <v>33</v>
      </c>
      <c r="L13" s="1">
        <v>5.0</v>
      </c>
    </row>
    <row r="14">
      <c r="B14" s="7" t="s">
        <v>16</v>
      </c>
      <c r="C14" s="8">
        <v>0.0</v>
      </c>
      <c r="H14" s="8"/>
      <c r="K14" s="1" t="s">
        <v>34</v>
      </c>
      <c r="L14" s="1">
        <v>6.0</v>
      </c>
    </row>
    <row r="15">
      <c r="B15" s="7" t="s">
        <v>14</v>
      </c>
      <c r="C15" s="8">
        <v>0.0</v>
      </c>
      <c r="H15" s="8"/>
    </row>
    <row r="16">
      <c r="B16" s="7" t="s">
        <v>22</v>
      </c>
      <c r="C16" s="8">
        <v>0.0</v>
      </c>
      <c r="H16" s="8"/>
    </row>
    <row r="17">
      <c r="B17" s="12" t="s">
        <v>24</v>
      </c>
      <c r="C17" s="14">
        <v>0.0</v>
      </c>
      <c r="H17" s="14"/>
    </row>
    <row r="18">
      <c r="C18" s="1">
        <f>SUM(C5:C17)</f>
        <v>0</v>
      </c>
      <c r="D18" s="1" t="s">
        <v>35</v>
      </c>
    </row>
    <row r="22">
      <c r="C22" s="1"/>
    </row>
    <row r="28">
      <c r="B28" s="2" t="s">
        <v>41</v>
      </c>
      <c r="C28" s="22"/>
      <c r="D28" s="23"/>
    </row>
    <row r="29">
      <c r="B29" s="7" t="s">
        <v>49</v>
      </c>
      <c r="C29" s="1">
        <v>60.0</v>
      </c>
      <c r="D29" s="24"/>
    </row>
    <row r="30">
      <c r="B30" s="7" t="s">
        <v>43</v>
      </c>
      <c r="C30" s="1">
        <v>6.0</v>
      </c>
      <c r="D30" s="24"/>
    </row>
    <row r="31">
      <c r="B31" s="7" t="s">
        <v>44</v>
      </c>
      <c r="C31" s="1">
        <v>18.0</v>
      </c>
      <c r="D31" s="24"/>
    </row>
    <row r="32">
      <c r="B32" s="12" t="s">
        <v>46</v>
      </c>
      <c r="C32" s="25">
        <v>30.0</v>
      </c>
      <c r="D32" s="26"/>
    </row>
  </sheetData>
  <conditionalFormatting sqref="C2 H2">
    <cfRule type="notContainsText" dxfId="0" priority="1" operator="notContains" text="??-??">
      <formula>ISERROR(SEARCH(("??-??"),(C2)))</formula>
    </cfRule>
  </conditionalFormatting>
  <conditionalFormatting sqref="C2 H2">
    <cfRule type="containsText" dxfId="1" priority="2" operator="containsText" text="??-??">
      <formula>NOT(ISERROR(SEARCH(("??-??"),(C2))))</formula>
    </cfRule>
  </conditionalFormatting>
  <conditionalFormatting sqref="C3:C17 H3:H17">
    <cfRule type="notContainsBlanks" dxfId="1" priority="3">
      <formula>LEN(TRIM(C3))&gt;0</formula>
    </cfRule>
  </conditionalFormatting>
  <conditionalFormatting sqref="C18">
    <cfRule type="notContainsText" dxfId="0" priority="4" operator="notContains" text="100">
      <formula>ISERROR(SEARCH(("100"),(C18)))</formula>
    </cfRule>
  </conditionalFormatting>
  <conditionalFormatting sqref="C18">
    <cfRule type="cellIs" dxfId="1" priority="5" operator="equal">
      <formula>100</formula>
    </cfRule>
  </conditionalFormatting>
  <conditionalFormatting sqref="C3:C17 H3:H17">
    <cfRule type="containsBlanks" dxfId="2" priority="6">
      <formula>LEN(TRIM(C3))=0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4" max="4" width="14.5"/>
  </cols>
  <sheetData>
    <row r="1">
      <c r="A1" s="1" t="s">
        <v>0</v>
      </c>
      <c r="H1" s="1" t="s">
        <v>1</v>
      </c>
    </row>
    <row r="2">
      <c r="B2" s="3" t="s">
        <v>3</v>
      </c>
      <c r="C2" s="17">
        <v>46316.0</v>
      </c>
      <c r="D2" s="1" t="s">
        <v>4</v>
      </c>
      <c r="H2" s="17"/>
      <c r="L2" s="6"/>
      <c r="Z2" s="1" t="s">
        <v>20</v>
      </c>
    </row>
    <row r="3">
      <c r="B3" s="7" t="s">
        <v>6</v>
      </c>
      <c r="C3" s="8"/>
      <c r="D3" s="1"/>
      <c r="H3" s="8"/>
    </row>
    <row r="4">
      <c r="B4" s="12" t="s">
        <v>9</v>
      </c>
      <c r="C4" s="14"/>
      <c r="D4" s="1"/>
      <c r="H4" s="14"/>
    </row>
    <row r="5">
      <c r="B5" s="7" t="s">
        <v>25</v>
      </c>
      <c r="C5" s="8">
        <v>0.0</v>
      </c>
      <c r="D5" s="1" t="s">
        <v>7</v>
      </c>
      <c r="H5" s="8"/>
    </row>
    <row r="6">
      <c r="B6" s="12" t="s">
        <v>27</v>
      </c>
      <c r="C6" s="14">
        <v>0.0</v>
      </c>
      <c r="H6" s="14"/>
    </row>
    <row r="7">
      <c r="C7" s="1">
        <f>SUM(C5:C6)</f>
        <v>0</v>
      </c>
      <c r="D7" s="1" t="s">
        <v>35</v>
      </c>
    </row>
    <row r="11">
      <c r="C11" s="1"/>
    </row>
    <row r="14">
      <c r="G14" s="1" t="s">
        <v>38</v>
      </c>
    </row>
    <row r="15">
      <c r="G15" s="1" t="s">
        <v>39</v>
      </c>
    </row>
    <row r="17">
      <c r="B17" s="2" t="s">
        <v>41</v>
      </c>
      <c r="C17" s="22"/>
      <c r="D17" s="23"/>
    </row>
    <row r="18">
      <c r="B18" s="7" t="s">
        <v>42</v>
      </c>
      <c r="C18" s="1">
        <v>50.0</v>
      </c>
      <c r="D18" s="24"/>
    </row>
    <row r="19">
      <c r="B19" s="7" t="s">
        <v>43</v>
      </c>
      <c r="C19" s="1">
        <v>6.0</v>
      </c>
      <c r="D19" s="24"/>
    </row>
    <row r="20">
      <c r="B20" s="7" t="s">
        <v>44</v>
      </c>
      <c r="C20" s="1">
        <v>18.0</v>
      </c>
      <c r="D20" s="24"/>
    </row>
    <row r="21">
      <c r="B21" s="12" t="s">
        <v>46</v>
      </c>
      <c r="C21" s="25">
        <v>30.0</v>
      </c>
      <c r="D21" s="26"/>
    </row>
  </sheetData>
  <conditionalFormatting sqref="C2 H2">
    <cfRule type="notContainsText" dxfId="0" priority="1" operator="notContains" text="??-??">
      <formula>ISERROR(SEARCH(("??-??"),(C2)))</formula>
    </cfRule>
  </conditionalFormatting>
  <conditionalFormatting sqref="C2 H2">
    <cfRule type="containsText" dxfId="1" priority="2" operator="containsText" text="??-??">
      <formula>NOT(ISERROR(SEARCH(("??-??"),(C2))))</formula>
    </cfRule>
  </conditionalFormatting>
  <conditionalFormatting sqref="C3:C6 H3:H6">
    <cfRule type="notContainsBlanks" dxfId="1" priority="3">
      <formula>LEN(TRIM(C3))&gt;0</formula>
    </cfRule>
  </conditionalFormatting>
  <conditionalFormatting sqref="C7">
    <cfRule type="notContainsText" dxfId="0" priority="4" operator="notContains" text="100">
      <formula>ISERROR(SEARCH(("100"),(C7)))</formula>
    </cfRule>
  </conditionalFormatting>
  <conditionalFormatting sqref="C7">
    <cfRule type="cellIs" dxfId="1" priority="5" operator="equal">
      <formula>100</formula>
    </cfRule>
  </conditionalFormatting>
  <conditionalFormatting sqref="C3:C6 H3:H6">
    <cfRule type="containsBlanks" dxfId="2" priority="6">
      <formula>LEN(TRIM(C3))=0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63"/>
    <col customWidth="1" min="12" max="12" width="13.88"/>
    <col customWidth="1" min="15" max="15" width="15.0"/>
    <col customWidth="1" min="18" max="18" width="15.5"/>
    <col customWidth="1" min="21" max="21" width="18.5"/>
  </cols>
  <sheetData>
    <row r="1">
      <c r="B1" s="9" t="s">
        <v>12</v>
      </c>
      <c r="C1" s="1" t="s">
        <v>17</v>
      </c>
      <c r="D1" s="9" t="s">
        <v>8</v>
      </c>
      <c r="E1" s="9" t="s">
        <v>11</v>
      </c>
      <c r="F1" s="9" t="s">
        <v>13</v>
      </c>
      <c r="G1" s="9" t="s">
        <v>14</v>
      </c>
      <c r="H1" s="9" t="s">
        <v>16</v>
      </c>
      <c r="I1" s="9" t="s">
        <v>18</v>
      </c>
      <c r="J1" s="9" t="s">
        <v>21</v>
      </c>
      <c r="K1" s="9" t="s">
        <v>22</v>
      </c>
      <c r="L1" s="9" t="s">
        <v>24</v>
      </c>
    </row>
    <row r="2">
      <c r="B2" s="20">
        <v>46204.0</v>
      </c>
      <c r="C2" s="21">
        <v>380.0</v>
      </c>
      <c r="D2" s="21">
        <f>380</f>
        <v>380</v>
      </c>
      <c r="E2" s="21">
        <f t="shared" ref="E2:L2" si="1">0</f>
        <v>0</v>
      </c>
      <c r="F2" s="21">
        <f t="shared" si="1"/>
        <v>0</v>
      </c>
      <c r="G2" s="21">
        <f t="shared" si="1"/>
        <v>0</v>
      </c>
      <c r="H2" s="21">
        <f t="shared" si="1"/>
        <v>0</v>
      </c>
      <c r="I2" s="21">
        <f t="shared" si="1"/>
        <v>0</v>
      </c>
      <c r="J2" s="21">
        <f t="shared" si="1"/>
        <v>0</v>
      </c>
      <c r="K2" s="21">
        <f t="shared" si="1"/>
        <v>0</v>
      </c>
      <c r="L2" s="21">
        <f t="shared" si="1"/>
        <v>0</v>
      </c>
      <c r="O2" s="20"/>
      <c r="R2" s="20"/>
    </row>
    <row r="3">
      <c r="B3" s="20">
        <v>46204.0</v>
      </c>
      <c r="C3" s="21">
        <v>400.0</v>
      </c>
      <c r="D3" s="21">
        <f t="shared" ref="D3:K3" si="2">0</f>
        <v>0</v>
      </c>
      <c r="E3" s="21">
        <f t="shared" si="2"/>
        <v>0</v>
      </c>
      <c r="F3" s="21">
        <f t="shared" si="2"/>
        <v>0</v>
      </c>
      <c r="G3" s="21">
        <f t="shared" si="2"/>
        <v>0</v>
      </c>
      <c r="H3" s="21">
        <f t="shared" si="2"/>
        <v>0</v>
      </c>
      <c r="I3" s="21">
        <f t="shared" si="2"/>
        <v>0</v>
      </c>
      <c r="J3" s="21">
        <f t="shared" si="2"/>
        <v>0</v>
      </c>
      <c r="K3" s="21">
        <f t="shared" si="2"/>
        <v>0</v>
      </c>
      <c r="L3" s="21">
        <f>400</f>
        <v>400</v>
      </c>
      <c r="O3" s="20"/>
      <c r="R3" s="20"/>
    </row>
    <row r="4">
      <c r="B4" s="20">
        <v>46204.0</v>
      </c>
      <c r="C4" s="21">
        <v>240.0</v>
      </c>
      <c r="D4" s="21">
        <f t="shared" ref="D4:D5" si="4">0</f>
        <v>0</v>
      </c>
      <c r="E4" s="21">
        <f>240</f>
        <v>240</v>
      </c>
      <c r="F4" s="21">
        <f t="shared" ref="F4:L4" si="3">0</f>
        <v>0</v>
      </c>
      <c r="G4" s="21">
        <f t="shared" si="3"/>
        <v>0</v>
      </c>
      <c r="H4" s="21">
        <f t="shared" si="3"/>
        <v>0</v>
      </c>
      <c r="I4" s="21">
        <f t="shared" si="3"/>
        <v>0</v>
      </c>
      <c r="J4" s="21">
        <f t="shared" si="3"/>
        <v>0</v>
      </c>
      <c r="K4" s="21">
        <f t="shared" si="3"/>
        <v>0</v>
      </c>
      <c r="L4" s="21">
        <f t="shared" si="3"/>
        <v>0</v>
      </c>
      <c r="O4" s="20"/>
      <c r="R4" s="20"/>
    </row>
    <row r="5">
      <c r="B5" s="20">
        <v>46204.0</v>
      </c>
      <c r="C5" s="21">
        <v>220.0</v>
      </c>
      <c r="D5" s="21">
        <f t="shared" si="4"/>
        <v>0</v>
      </c>
      <c r="E5" s="21">
        <f>0</f>
        <v>0</v>
      </c>
      <c r="F5" s="21">
        <f t="shared" ref="F5:G5" si="5">44</f>
        <v>44</v>
      </c>
      <c r="G5" s="21">
        <f t="shared" si="5"/>
        <v>44</v>
      </c>
      <c r="H5" s="21">
        <f t="shared" ref="H5:J5" si="6">0</f>
        <v>0</v>
      </c>
      <c r="I5" s="21">
        <f t="shared" si="6"/>
        <v>0</v>
      </c>
      <c r="J5" s="21">
        <f t="shared" si="6"/>
        <v>0</v>
      </c>
      <c r="K5" s="21">
        <f>22</f>
        <v>22</v>
      </c>
      <c r="L5" s="21">
        <f>110</f>
        <v>110</v>
      </c>
      <c r="O5" s="20"/>
      <c r="R5" s="20"/>
    </row>
    <row r="6">
      <c r="B6" s="20">
        <v>46204.0</v>
      </c>
      <c r="C6" s="21">
        <v>240.0</v>
      </c>
      <c r="D6" s="21">
        <v>0.0</v>
      </c>
      <c r="E6" s="21">
        <v>0.0</v>
      </c>
      <c r="F6" s="21">
        <v>0.0</v>
      </c>
      <c r="G6" s="21">
        <v>0.0</v>
      </c>
      <c r="H6" s="21">
        <v>0.0</v>
      </c>
      <c r="I6" s="21">
        <v>0.0</v>
      </c>
      <c r="J6" s="21">
        <v>0.0</v>
      </c>
      <c r="K6" s="21">
        <v>0.0</v>
      </c>
      <c r="L6" s="21">
        <v>240.0</v>
      </c>
      <c r="O6" s="20"/>
      <c r="R6" s="20"/>
    </row>
    <row r="7">
      <c r="B7" s="20">
        <v>46204.0</v>
      </c>
      <c r="C7" s="21">
        <v>300.0</v>
      </c>
      <c r="D7" s="21">
        <v>0.0</v>
      </c>
      <c r="E7" s="21">
        <v>0.0</v>
      </c>
      <c r="F7" s="21">
        <v>0.0</v>
      </c>
      <c r="G7" s="21">
        <v>0.0</v>
      </c>
      <c r="H7" s="21">
        <v>0.0</v>
      </c>
      <c r="I7" s="21">
        <v>0.0</v>
      </c>
      <c r="J7" s="21">
        <v>0.0</v>
      </c>
      <c r="K7" s="21">
        <v>0.0</v>
      </c>
      <c r="L7" s="21">
        <v>300.0</v>
      </c>
    </row>
    <row r="8">
      <c r="B8" s="20">
        <v>46205.0</v>
      </c>
      <c r="C8" s="21">
        <v>180.0</v>
      </c>
      <c r="D8" s="21">
        <f t="shared" ref="D8:E8" si="7">0</f>
        <v>0</v>
      </c>
      <c r="E8" s="21">
        <f t="shared" si="7"/>
        <v>0</v>
      </c>
      <c r="F8" s="21">
        <f>108</f>
        <v>108</v>
      </c>
      <c r="G8" s="21">
        <f>36</f>
        <v>36</v>
      </c>
      <c r="H8" s="21">
        <f t="shared" ref="H8:J8" si="8">0</f>
        <v>0</v>
      </c>
      <c r="I8" s="21">
        <f t="shared" si="8"/>
        <v>0</v>
      </c>
      <c r="J8" s="21">
        <f t="shared" si="8"/>
        <v>0</v>
      </c>
      <c r="K8" s="21">
        <f t="shared" ref="K8:L8" si="9">18</f>
        <v>18</v>
      </c>
      <c r="L8" s="21">
        <f t="shared" si="9"/>
        <v>18</v>
      </c>
      <c r="R8" s="20"/>
    </row>
    <row r="9">
      <c r="B9" s="20">
        <v>46205.0</v>
      </c>
      <c r="C9" s="21">
        <v>180.0</v>
      </c>
      <c r="D9" s="21">
        <v>0.0</v>
      </c>
      <c r="E9" s="21">
        <v>0.0</v>
      </c>
      <c r="F9" s="21">
        <v>0.0</v>
      </c>
      <c r="G9" s="21">
        <v>0.0</v>
      </c>
      <c r="H9" s="21">
        <v>0.0</v>
      </c>
      <c r="I9" s="21">
        <v>0.0</v>
      </c>
      <c r="J9" s="21">
        <v>0.0</v>
      </c>
      <c r="K9" s="21">
        <v>0.0</v>
      </c>
      <c r="L9" s="21">
        <v>180.0</v>
      </c>
      <c r="O9" s="20"/>
      <c r="R9" s="20"/>
    </row>
    <row r="10">
      <c r="B10" s="20">
        <v>46205.0</v>
      </c>
      <c r="C10" s="21">
        <v>220.0</v>
      </c>
      <c r="D10" s="21">
        <f t="shared" ref="D10:I10" si="10">0</f>
        <v>0</v>
      </c>
      <c r="E10" s="21">
        <f t="shared" si="10"/>
        <v>0</v>
      </c>
      <c r="F10" s="21">
        <f t="shared" si="10"/>
        <v>0</v>
      </c>
      <c r="G10" s="21">
        <f t="shared" si="10"/>
        <v>0</v>
      </c>
      <c r="H10" s="21">
        <f t="shared" si="10"/>
        <v>0</v>
      </c>
      <c r="I10" s="21">
        <f t="shared" si="10"/>
        <v>0</v>
      </c>
      <c r="J10" s="21">
        <f>44</f>
        <v>44</v>
      </c>
      <c r="K10" s="21">
        <f t="shared" ref="K10:K11" si="12">0</f>
        <v>0</v>
      </c>
      <c r="L10" s="21">
        <f>176</f>
        <v>176</v>
      </c>
      <c r="O10" s="20"/>
      <c r="R10" s="20"/>
    </row>
    <row r="11">
      <c r="B11" s="20">
        <v>46205.0</v>
      </c>
      <c r="C11" s="21">
        <v>260.0</v>
      </c>
      <c r="D11" s="21">
        <f t="shared" ref="D11:I11" si="11">0</f>
        <v>0</v>
      </c>
      <c r="E11" s="21">
        <f t="shared" si="11"/>
        <v>0</v>
      </c>
      <c r="F11" s="21">
        <f t="shared" si="11"/>
        <v>0</v>
      </c>
      <c r="G11" s="21">
        <f t="shared" si="11"/>
        <v>0</v>
      </c>
      <c r="H11" s="21">
        <f t="shared" si="11"/>
        <v>0</v>
      </c>
      <c r="I11" s="21">
        <f t="shared" si="11"/>
        <v>0</v>
      </c>
      <c r="J11" s="21">
        <f>156</f>
        <v>156</v>
      </c>
      <c r="K11" s="21">
        <f t="shared" si="12"/>
        <v>0</v>
      </c>
      <c r="L11" s="21">
        <f>104</f>
        <v>104</v>
      </c>
      <c r="O11" s="20"/>
      <c r="R11" s="20"/>
    </row>
    <row r="12">
      <c r="B12" s="20">
        <v>46206.0</v>
      </c>
      <c r="C12" s="21">
        <v>220.0</v>
      </c>
      <c r="D12" s="21">
        <f>220</f>
        <v>220</v>
      </c>
      <c r="E12" s="21">
        <f t="shared" ref="E12:L12" si="13">0</f>
        <v>0</v>
      </c>
      <c r="F12" s="21">
        <f t="shared" si="13"/>
        <v>0</v>
      </c>
      <c r="G12" s="21">
        <f t="shared" si="13"/>
        <v>0</v>
      </c>
      <c r="H12" s="21">
        <f t="shared" si="13"/>
        <v>0</v>
      </c>
      <c r="I12" s="21">
        <f t="shared" si="13"/>
        <v>0</v>
      </c>
      <c r="J12" s="21">
        <f t="shared" si="13"/>
        <v>0</v>
      </c>
      <c r="K12" s="21">
        <f t="shared" si="13"/>
        <v>0</v>
      </c>
      <c r="L12" s="21">
        <f t="shared" si="13"/>
        <v>0</v>
      </c>
      <c r="O12" s="20"/>
      <c r="R12" s="20"/>
    </row>
    <row r="13">
      <c r="B13" s="20">
        <v>46206.0</v>
      </c>
      <c r="C13" s="21">
        <v>260.0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260.0</v>
      </c>
      <c r="O13" s="20"/>
      <c r="R13" s="20"/>
    </row>
    <row r="14">
      <c r="B14" s="20">
        <v>46206.0</v>
      </c>
      <c r="C14" s="21">
        <v>260.0</v>
      </c>
      <c r="D14" s="21">
        <f t="shared" ref="D14:F14" si="14">0</f>
        <v>0</v>
      </c>
      <c r="E14" s="21">
        <f t="shared" si="14"/>
        <v>0</v>
      </c>
      <c r="F14" s="21">
        <f t="shared" si="14"/>
        <v>0</v>
      </c>
      <c r="G14" s="21">
        <f>52</f>
        <v>52</v>
      </c>
      <c r="H14" s="21">
        <f t="shared" ref="H14:I14" si="15">0</f>
        <v>0</v>
      </c>
      <c r="I14" s="21">
        <f t="shared" si="15"/>
        <v>0</v>
      </c>
      <c r="J14" s="21">
        <f>52</f>
        <v>52</v>
      </c>
      <c r="K14" s="21">
        <f>26</f>
        <v>26</v>
      </c>
      <c r="L14" s="21">
        <f>130</f>
        <v>130</v>
      </c>
      <c r="O14" s="20"/>
      <c r="R14" s="20"/>
    </row>
    <row r="15">
      <c r="B15" s="20">
        <v>46206.0</v>
      </c>
      <c r="C15" s="21">
        <v>260.0</v>
      </c>
      <c r="D15" s="21">
        <f t="shared" ref="D15:E15" si="16">0</f>
        <v>0</v>
      </c>
      <c r="E15" s="21">
        <f t="shared" si="16"/>
        <v>0</v>
      </c>
      <c r="F15" s="21">
        <f t="shared" ref="F15:G15" si="17">52</f>
        <v>52</v>
      </c>
      <c r="G15" s="21">
        <f t="shared" si="17"/>
        <v>52</v>
      </c>
      <c r="H15" s="21">
        <f t="shared" ref="H15:J15" si="18">0</f>
        <v>0</v>
      </c>
      <c r="I15" s="21">
        <f t="shared" si="18"/>
        <v>0</v>
      </c>
      <c r="J15" s="21">
        <f t="shared" si="18"/>
        <v>0</v>
      </c>
      <c r="K15" s="21">
        <f>52</f>
        <v>52</v>
      </c>
      <c r="L15" s="21">
        <f>104</f>
        <v>104</v>
      </c>
      <c r="O15" s="20"/>
      <c r="R15" s="20"/>
    </row>
    <row r="16">
      <c r="B16" s="20">
        <v>46206.0</v>
      </c>
      <c r="C16" s="21">
        <v>40.0</v>
      </c>
      <c r="D16" s="21">
        <f t="shared" ref="D16:K16" si="19">0</f>
        <v>0</v>
      </c>
      <c r="E16" s="21">
        <f t="shared" si="19"/>
        <v>0</v>
      </c>
      <c r="F16" s="21">
        <f t="shared" si="19"/>
        <v>0</v>
      </c>
      <c r="G16" s="21">
        <f t="shared" si="19"/>
        <v>0</v>
      </c>
      <c r="H16" s="21">
        <f t="shared" si="19"/>
        <v>0</v>
      </c>
      <c r="I16" s="21">
        <f t="shared" si="19"/>
        <v>0</v>
      </c>
      <c r="J16" s="21">
        <f t="shared" si="19"/>
        <v>0</v>
      </c>
      <c r="K16" s="21">
        <f t="shared" si="19"/>
        <v>0</v>
      </c>
      <c r="L16" s="21">
        <f>40</f>
        <v>40</v>
      </c>
      <c r="O16" s="20"/>
      <c r="R16" s="20"/>
    </row>
    <row r="17">
      <c r="B17" s="20">
        <v>46207.0</v>
      </c>
      <c r="C17" s="21">
        <v>180.0</v>
      </c>
      <c r="D17" s="21">
        <f t="shared" ref="D17:K17" si="20">0</f>
        <v>0</v>
      </c>
      <c r="E17" s="21">
        <f t="shared" si="20"/>
        <v>0</v>
      </c>
      <c r="F17" s="21">
        <f t="shared" si="20"/>
        <v>0</v>
      </c>
      <c r="G17" s="21">
        <f t="shared" si="20"/>
        <v>0</v>
      </c>
      <c r="H17" s="21">
        <f t="shared" si="20"/>
        <v>0</v>
      </c>
      <c r="I17" s="21">
        <f t="shared" si="20"/>
        <v>0</v>
      </c>
      <c r="J17" s="21">
        <f t="shared" si="20"/>
        <v>0</v>
      </c>
      <c r="K17" s="21">
        <f t="shared" si="20"/>
        <v>0</v>
      </c>
      <c r="L17" s="21">
        <f>180</f>
        <v>180</v>
      </c>
      <c r="O17" s="20"/>
      <c r="R17" s="20"/>
    </row>
    <row r="18">
      <c r="B18" s="20">
        <v>46207.0</v>
      </c>
      <c r="C18" s="21">
        <v>20.0</v>
      </c>
      <c r="D18" s="21">
        <v>0.0</v>
      </c>
      <c r="E18" s="21">
        <v>0.0</v>
      </c>
      <c r="F18" s="21">
        <v>0.0</v>
      </c>
      <c r="G18" s="21">
        <v>0.0</v>
      </c>
      <c r="H18" s="21">
        <v>0.0</v>
      </c>
      <c r="I18" s="21">
        <v>0.0</v>
      </c>
      <c r="J18" s="21">
        <v>0.0</v>
      </c>
      <c r="K18" s="21">
        <v>0.0</v>
      </c>
      <c r="L18" s="21">
        <v>20.0</v>
      </c>
      <c r="R18" s="20"/>
    </row>
    <row r="19">
      <c r="B19" s="20">
        <v>46207.0</v>
      </c>
      <c r="C19" s="21">
        <v>20.0</v>
      </c>
      <c r="D19" s="21">
        <v>0.0</v>
      </c>
      <c r="E19" s="21">
        <v>0.0</v>
      </c>
      <c r="F19" s="21">
        <v>0.0</v>
      </c>
      <c r="G19" s="21">
        <v>0.0</v>
      </c>
      <c r="H19" s="21">
        <v>0.0</v>
      </c>
      <c r="I19" s="21">
        <v>0.0</v>
      </c>
      <c r="J19" s="21">
        <v>0.0</v>
      </c>
      <c r="K19" s="21">
        <v>0.0</v>
      </c>
      <c r="L19" s="21">
        <v>20.0</v>
      </c>
      <c r="O19" s="20"/>
      <c r="R19" s="20"/>
    </row>
    <row r="20">
      <c r="B20" s="20">
        <v>46208.0</v>
      </c>
      <c r="C20" s="21">
        <v>40.0</v>
      </c>
      <c r="D20" s="21">
        <f t="shared" ref="D20:G20" si="21">0</f>
        <v>0</v>
      </c>
      <c r="E20" s="21">
        <f t="shared" si="21"/>
        <v>0</v>
      </c>
      <c r="F20" s="21">
        <f t="shared" si="21"/>
        <v>0</v>
      </c>
      <c r="G20" s="21">
        <f t="shared" si="21"/>
        <v>0</v>
      </c>
      <c r="H20" s="21">
        <f>40</f>
        <v>40</v>
      </c>
      <c r="I20" s="21">
        <f t="shared" ref="I20:L20" si="22">0</f>
        <v>0</v>
      </c>
      <c r="J20" s="21">
        <f t="shared" si="22"/>
        <v>0</v>
      </c>
      <c r="K20" s="21">
        <f t="shared" si="22"/>
        <v>0</v>
      </c>
      <c r="L20" s="21">
        <f t="shared" si="22"/>
        <v>0</v>
      </c>
      <c r="O20" s="20"/>
      <c r="R20" s="20"/>
    </row>
    <row r="21">
      <c r="B21" s="20">
        <v>46208.0</v>
      </c>
      <c r="C21" s="21">
        <v>20.0</v>
      </c>
      <c r="D21" s="21">
        <f t="shared" ref="D21:F21" si="23">0</f>
        <v>0</v>
      </c>
      <c r="E21" s="21">
        <f t="shared" si="23"/>
        <v>0</v>
      </c>
      <c r="F21" s="21">
        <f t="shared" si="23"/>
        <v>0</v>
      </c>
      <c r="G21" s="21">
        <f>20</f>
        <v>20</v>
      </c>
      <c r="H21" s="21">
        <f t="shared" ref="H21:L21" si="24">0</f>
        <v>0</v>
      </c>
      <c r="I21" s="21">
        <f t="shared" si="24"/>
        <v>0</v>
      </c>
      <c r="J21" s="21">
        <f t="shared" si="24"/>
        <v>0</v>
      </c>
      <c r="K21" s="21">
        <f t="shared" si="24"/>
        <v>0</v>
      </c>
      <c r="L21" s="21">
        <f t="shared" si="24"/>
        <v>0</v>
      </c>
      <c r="O21" s="20"/>
    </row>
    <row r="22">
      <c r="B22" s="20">
        <v>46209.0</v>
      </c>
      <c r="C22" s="21">
        <v>280.0</v>
      </c>
      <c r="D22" s="21">
        <f>84</f>
        <v>84</v>
      </c>
      <c r="E22" s="21">
        <f>168</f>
        <v>168</v>
      </c>
      <c r="F22" s="21">
        <f t="shared" ref="F22:K22" si="25">0</f>
        <v>0</v>
      </c>
      <c r="G22" s="21">
        <f t="shared" si="25"/>
        <v>0</v>
      </c>
      <c r="H22" s="21">
        <f t="shared" si="25"/>
        <v>0</v>
      </c>
      <c r="I22" s="21">
        <f t="shared" si="25"/>
        <v>0</v>
      </c>
      <c r="J22" s="21">
        <f t="shared" si="25"/>
        <v>0</v>
      </c>
      <c r="K22" s="21">
        <f t="shared" si="25"/>
        <v>0</v>
      </c>
      <c r="L22" s="21">
        <f>28</f>
        <v>28</v>
      </c>
      <c r="O22" s="20"/>
      <c r="R22" s="20"/>
    </row>
    <row r="23">
      <c r="B23" s="20">
        <v>46209.0</v>
      </c>
      <c r="C23" s="21">
        <v>220.0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  <c r="J23" s="21">
        <v>0.0</v>
      </c>
      <c r="K23" s="21">
        <v>0.0</v>
      </c>
      <c r="L23" s="21">
        <v>220.0</v>
      </c>
      <c r="O23" s="20"/>
    </row>
    <row r="24">
      <c r="B24" s="20">
        <v>46209.0</v>
      </c>
      <c r="C24" s="21">
        <v>280.0</v>
      </c>
      <c r="D24" s="21">
        <f t="shared" ref="D24:D25" si="27">0</f>
        <v>0</v>
      </c>
      <c r="E24" s="21">
        <f>280</f>
        <v>280</v>
      </c>
      <c r="F24" s="21">
        <f t="shared" ref="F24:L24" si="26">0</f>
        <v>0</v>
      </c>
      <c r="G24" s="21">
        <f t="shared" si="26"/>
        <v>0</v>
      </c>
      <c r="H24" s="21">
        <f t="shared" si="26"/>
        <v>0</v>
      </c>
      <c r="I24" s="21">
        <f t="shared" si="26"/>
        <v>0</v>
      </c>
      <c r="J24" s="21">
        <f t="shared" si="26"/>
        <v>0</v>
      </c>
      <c r="K24" s="21">
        <f t="shared" si="26"/>
        <v>0</v>
      </c>
      <c r="L24" s="21">
        <f t="shared" si="26"/>
        <v>0</v>
      </c>
      <c r="O24" s="20"/>
      <c r="R24" s="20"/>
    </row>
    <row r="25">
      <c r="B25" s="20">
        <v>46209.0</v>
      </c>
      <c r="C25" s="21">
        <v>200.0</v>
      </c>
      <c r="D25" s="21">
        <f t="shared" si="27"/>
        <v>0</v>
      </c>
      <c r="E25" s="21">
        <f>200</f>
        <v>200</v>
      </c>
      <c r="F25" s="21">
        <f t="shared" ref="F25:L25" si="28">0</f>
        <v>0</v>
      </c>
      <c r="G25" s="21">
        <f t="shared" si="28"/>
        <v>0</v>
      </c>
      <c r="H25" s="21">
        <f t="shared" si="28"/>
        <v>0</v>
      </c>
      <c r="I25" s="21">
        <f t="shared" si="28"/>
        <v>0</v>
      </c>
      <c r="J25" s="21">
        <f t="shared" si="28"/>
        <v>0</v>
      </c>
      <c r="K25" s="21">
        <f t="shared" si="28"/>
        <v>0</v>
      </c>
      <c r="L25" s="21">
        <f t="shared" si="28"/>
        <v>0</v>
      </c>
      <c r="O25" s="20"/>
      <c r="R25" s="20"/>
    </row>
    <row r="26">
      <c r="B26" s="20">
        <v>46210.0</v>
      </c>
      <c r="C26" s="21">
        <v>140.0</v>
      </c>
      <c r="D26" s="21">
        <v>0.0</v>
      </c>
      <c r="E26" s="21">
        <v>0.0</v>
      </c>
      <c r="F26" s="21">
        <v>0.0</v>
      </c>
      <c r="G26" s="21">
        <v>0.0</v>
      </c>
      <c r="H26" s="21">
        <v>0.0</v>
      </c>
      <c r="I26" s="21">
        <v>0.0</v>
      </c>
      <c r="J26" s="21">
        <v>0.0</v>
      </c>
      <c r="K26" s="21">
        <v>0.0</v>
      </c>
      <c r="L26" s="21">
        <v>140.0</v>
      </c>
      <c r="O26" s="20"/>
      <c r="R26" s="20"/>
    </row>
    <row r="27">
      <c r="B27" s="20">
        <v>46210.0</v>
      </c>
      <c r="C27" s="21">
        <v>180.0</v>
      </c>
      <c r="D27" s="21">
        <v>0.0</v>
      </c>
      <c r="E27" s="21">
        <v>0.0</v>
      </c>
      <c r="F27" s="21">
        <v>0.0</v>
      </c>
      <c r="G27" s="21">
        <v>0.0</v>
      </c>
      <c r="H27" s="21">
        <v>0.0</v>
      </c>
      <c r="I27" s="21">
        <v>0.0</v>
      </c>
      <c r="J27" s="21">
        <v>0.0</v>
      </c>
      <c r="K27" s="21">
        <v>0.0</v>
      </c>
      <c r="L27" s="21">
        <v>180.0</v>
      </c>
      <c r="O27" s="20"/>
      <c r="R27" s="20"/>
    </row>
    <row r="28">
      <c r="B28" s="20">
        <v>46210.0</v>
      </c>
      <c r="C28" s="21">
        <v>160.0</v>
      </c>
      <c r="D28" s="21">
        <f>160</f>
        <v>160</v>
      </c>
      <c r="E28" s="21">
        <f t="shared" ref="E28:L28" si="29">0</f>
        <v>0</v>
      </c>
      <c r="F28" s="21">
        <f t="shared" si="29"/>
        <v>0</v>
      </c>
      <c r="G28" s="21">
        <f t="shared" si="29"/>
        <v>0</v>
      </c>
      <c r="H28" s="21">
        <f t="shared" si="29"/>
        <v>0</v>
      </c>
      <c r="I28" s="21">
        <f t="shared" si="29"/>
        <v>0</v>
      </c>
      <c r="J28" s="21">
        <f t="shared" si="29"/>
        <v>0</v>
      </c>
      <c r="K28" s="21">
        <f t="shared" si="29"/>
        <v>0</v>
      </c>
      <c r="L28" s="21">
        <f t="shared" si="29"/>
        <v>0</v>
      </c>
      <c r="R28" s="20"/>
    </row>
    <row r="29">
      <c r="B29" s="20">
        <v>46210.0</v>
      </c>
      <c r="C29" s="21">
        <v>180.0</v>
      </c>
      <c r="D29" s="21">
        <f t="shared" ref="D29:E29" si="30">0</f>
        <v>0</v>
      </c>
      <c r="E29" s="21">
        <f t="shared" si="30"/>
        <v>0</v>
      </c>
      <c r="F29" s="21">
        <f>36</f>
        <v>36</v>
      </c>
      <c r="G29" s="21">
        <f>126</f>
        <v>126</v>
      </c>
      <c r="H29" s="21">
        <f t="shared" ref="H29:J29" si="31">0</f>
        <v>0</v>
      </c>
      <c r="I29" s="21">
        <f t="shared" si="31"/>
        <v>0</v>
      </c>
      <c r="J29" s="21">
        <f t="shared" si="31"/>
        <v>0</v>
      </c>
      <c r="K29" s="21">
        <f>18</f>
        <v>18</v>
      </c>
      <c r="L29" s="21">
        <f>0</f>
        <v>0</v>
      </c>
      <c r="O29" s="20"/>
      <c r="R29" s="20"/>
    </row>
    <row r="30">
      <c r="B30" s="20">
        <v>46210.0</v>
      </c>
      <c r="C30" s="21">
        <v>80.0</v>
      </c>
      <c r="D30" s="21">
        <f t="shared" ref="D30:G30" si="32">0</f>
        <v>0</v>
      </c>
      <c r="E30" s="21">
        <f t="shared" si="32"/>
        <v>0</v>
      </c>
      <c r="F30" s="21">
        <f t="shared" si="32"/>
        <v>0</v>
      </c>
      <c r="G30" s="21">
        <f t="shared" si="32"/>
        <v>0</v>
      </c>
      <c r="H30" s="21">
        <f>72</f>
        <v>72</v>
      </c>
      <c r="I30" s="21">
        <f t="shared" ref="I30:K30" si="33">0</f>
        <v>0</v>
      </c>
      <c r="J30" s="21">
        <f t="shared" si="33"/>
        <v>0</v>
      </c>
      <c r="K30" s="21">
        <f t="shared" si="33"/>
        <v>0</v>
      </c>
      <c r="L30" s="21">
        <f>8</f>
        <v>8</v>
      </c>
      <c r="O30" s="20"/>
      <c r="R30" s="20"/>
    </row>
    <row r="31">
      <c r="B31" s="20">
        <v>46211.0</v>
      </c>
      <c r="C31" s="21">
        <v>40.0</v>
      </c>
      <c r="D31" s="21">
        <v>0.0</v>
      </c>
      <c r="E31" s="21">
        <v>0.0</v>
      </c>
      <c r="F31" s="21">
        <v>0.0</v>
      </c>
      <c r="G31" s="21">
        <v>0.0</v>
      </c>
      <c r="H31" s="21">
        <v>0.0</v>
      </c>
      <c r="I31" s="21">
        <v>0.0</v>
      </c>
      <c r="J31" s="21">
        <v>0.0</v>
      </c>
      <c r="K31" s="21">
        <v>0.0</v>
      </c>
      <c r="L31" s="21">
        <v>40.0</v>
      </c>
      <c r="O31" s="20"/>
      <c r="R31" s="20"/>
    </row>
    <row r="32">
      <c r="B32" s="20">
        <v>46211.0</v>
      </c>
      <c r="C32" s="21">
        <v>300.0</v>
      </c>
      <c r="D32" s="21">
        <v>0.0</v>
      </c>
      <c r="E32" s="21">
        <v>0.0</v>
      </c>
      <c r="F32" s="21">
        <v>0.0</v>
      </c>
      <c r="G32" s="21">
        <v>0.0</v>
      </c>
      <c r="H32" s="21">
        <v>0.0</v>
      </c>
      <c r="I32" s="21">
        <v>0.0</v>
      </c>
      <c r="J32" s="21">
        <v>0.0</v>
      </c>
      <c r="K32" s="21">
        <v>0.0</v>
      </c>
      <c r="L32" s="21">
        <v>300.0</v>
      </c>
      <c r="O32" s="20"/>
      <c r="R32" s="20"/>
    </row>
    <row r="33">
      <c r="B33" s="20">
        <v>46211.0</v>
      </c>
      <c r="C33" s="21">
        <v>160.0</v>
      </c>
      <c r="D33" s="21">
        <f t="shared" ref="D33:K33" si="34">0</f>
        <v>0</v>
      </c>
      <c r="E33" s="21">
        <f t="shared" si="34"/>
        <v>0</v>
      </c>
      <c r="F33" s="21">
        <f t="shared" si="34"/>
        <v>0</v>
      </c>
      <c r="G33" s="21">
        <f t="shared" si="34"/>
        <v>0</v>
      </c>
      <c r="H33" s="21">
        <f t="shared" si="34"/>
        <v>0</v>
      </c>
      <c r="I33" s="21">
        <f t="shared" si="34"/>
        <v>0</v>
      </c>
      <c r="J33" s="21">
        <f t="shared" si="34"/>
        <v>0</v>
      </c>
      <c r="K33" s="21">
        <f t="shared" si="34"/>
        <v>0</v>
      </c>
      <c r="L33" s="21">
        <f>160</f>
        <v>160</v>
      </c>
      <c r="O33" s="20"/>
      <c r="R33" s="20"/>
    </row>
    <row r="34">
      <c r="B34" s="20">
        <v>46211.0</v>
      </c>
      <c r="C34" s="21">
        <v>200.0</v>
      </c>
      <c r="D34" s="21">
        <v>0.0</v>
      </c>
      <c r="E34" s="21">
        <v>0.0</v>
      </c>
      <c r="F34" s="21">
        <v>0.0</v>
      </c>
      <c r="G34" s="21">
        <v>0.0</v>
      </c>
      <c r="H34" s="21">
        <v>0.0</v>
      </c>
      <c r="I34" s="21">
        <v>0.0</v>
      </c>
      <c r="J34" s="21">
        <v>0.0</v>
      </c>
      <c r="K34" s="21">
        <v>0.0</v>
      </c>
      <c r="L34" s="21">
        <v>200.0</v>
      </c>
      <c r="O34" s="20"/>
      <c r="R34" s="20"/>
    </row>
    <row r="35">
      <c r="B35" s="20">
        <v>46212.0</v>
      </c>
      <c r="C35" s="21">
        <v>80.0</v>
      </c>
      <c r="D35" s="21">
        <v>0.0</v>
      </c>
      <c r="E35" s="21">
        <v>0.0</v>
      </c>
      <c r="F35" s="21">
        <v>0.0</v>
      </c>
      <c r="G35" s="21">
        <v>0.0</v>
      </c>
      <c r="H35" s="21">
        <v>0.0</v>
      </c>
      <c r="I35" s="21">
        <v>0.0</v>
      </c>
      <c r="J35" s="21">
        <v>0.0</v>
      </c>
      <c r="K35" s="21">
        <v>0.0</v>
      </c>
      <c r="L35" s="21">
        <v>80.0</v>
      </c>
      <c r="O35" s="20"/>
      <c r="R35" s="20"/>
    </row>
    <row r="36">
      <c r="B36" s="20">
        <v>46212.0</v>
      </c>
      <c r="C36" s="21">
        <v>200.0</v>
      </c>
      <c r="D36" s="21">
        <f>0</f>
        <v>0</v>
      </c>
      <c r="E36" s="21">
        <f>200</f>
        <v>200</v>
      </c>
      <c r="F36" s="21">
        <f t="shared" ref="F36:L36" si="35">0</f>
        <v>0</v>
      </c>
      <c r="G36" s="21">
        <f t="shared" si="35"/>
        <v>0</v>
      </c>
      <c r="H36" s="21">
        <f t="shared" si="35"/>
        <v>0</v>
      </c>
      <c r="I36" s="21">
        <f t="shared" si="35"/>
        <v>0</v>
      </c>
      <c r="J36" s="21">
        <f t="shared" si="35"/>
        <v>0</v>
      </c>
      <c r="K36" s="21">
        <f t="shared" si="35"/>
        <v>0</v>
      </c>
      <c r="L36" s="21">
        <f t="shared" si="35"/>
        <v>0</v>
      </c>
      <c r="O36" s="20"/>
      <c r="R36" s="20"/>
    </row>
    <row r="37">
      <c r="B37" s="20">
        <v>46212.0</v>
      </c>
      <c r="C37" s="21">
        <v>180.0</v>
      </c>
      <c r="D37" s="21">
        <f>180</f>
        <v>180</v>
      </c>
      <c r="E37" s="21">
        <f t="shared" ref="E37:L37" si="36">0</f>
        <v>0</v>
      </c>
      <c r="F37" s="21">
        <f t="shared" si="36"/>
        <v>0</v>
      </c>
      <c r="G37" s="21">
        <f t="shared" si="36"/>
        <v>0</v>
      </c>
      <c r="H37" s="21">
        <f t="shared" si="36"/>
        <v>0</v>
      </c>
      <c r="I37" s="21">
        <f t="shared" si="36"/>
        <v>0</v>
      </c>
      <c r="J37" s="21">
        <f t="shared" si="36"/>
        <v>0</v>
      </c>
      <c r="K37" s="21">
        <f t="shared" si="36"/>
        <v>0</v>
      </c>
      <c r="L37" s="21">
        <f t="shared" si="36"/>
        <v>0</v>
      </c>
      <c r="O37" s="20"/>
      <c r="R37" s="20"/>
    </row>
    <row r="38">
      <c r="B38" s="20">
        <v>46212.0</v>
      </c>
      <c r="C38" s="21">
        <v>200.0</v>
      </c>
      <c r="D38" s="21">
        <f>200</f>
        <v>200</v>
      </c>
      <c r="E38" s="21">
        <f t="shared" ref="E38:L38" si="37">0</f>
        <v>0</v>
      </c>
      <c r="F38" s="21">
        <f t="shared" si="37"/>
        <v>0</v>
      </c>
      <c r="G38" s="21">
        <f t="shared" si="37"/>
        <v>0</v>
      </c>
      <c r="H38" s="21">
        <f t="shared" si="37"/>
        <v>0</v>
      </c>
      <c r="I38" s="21">
        <f t="shared" si="37"/>
        <v>0</v>
      </c>
      <c r="J38" s="21">
        <f t="shared" si="37"/>
        <v>0</v>
      </c>
      <c r="K38" s="21">
        <f t="shared" si="37"/>
        <v>0</v>
      </c>
      <c r="L38" s="21">
        <f t="shared" si="37"/>
        <v>0</v>
      </c>
      <c r="O38" s="20"/>
      <c r="R38" s="20"/>
    </row>
    <row r="39">
      <c r="B39" s="20">
        <v>46212.0</v>
      </c>
      <c r="C39" s="21">
        <v>140.0</v>
      </c>
      <c r="D39" s="21">
        <f t="shared" ref="D39:E39" si="38">0</f>
        <v>0</v>
      </c>
      <c r="E39" s="21">
        <f t="shared" si="38"/>
        <v>0</v>
      </c>
      <c r="F39" s="21">
        <f>42</f>
        <v>42</v>
      </c>
      <c r="G39" s="21">
        <f>28</f>
        <v>28</v>
      </c>
      <c r="H39" s="21">
        <f t="shared" ref="H39:J39" si="39">0</f>
        <v>0</v>
      </c>
      <c r="I39" s="21">
        <f t="shared" si="39"/>
        <v>0</v>
      </c>
      <c r="J39" s="21">
        <f t="shared" si="39"/>
        <v>0</v>
      </c>
      <c r="K39" s="21">
        <f>28</f>
        <v>28</v>
      </c>
      <c r="L39" s="21">
        <f>42</f>
        <v>42</v>
      </c>
      <c r="O39" s="20"/>
      <c r="R39" s="20"/>
    </row>
    <row r="40">
      <c r="B40" s="20">
        <v>46213.0</v>
      </c>
      <c r="C40" s="21">
        <v>40.0</v>
      </c>
      <c r="D40" s="21">
        <v>0.0</v>
      </c>
      <c r="E40" s="21">
        <v>0.0</v>
      </c>
      <c r="F40" s="21">
        <v>0.0</v>
      </c>
      <c r="G40" s="21">
        <v>0.0</v>
      </c>
      <c r="H40" s="21">
        <v>0.0</v>
      </c>
      <c r="I40" s="21">
        <v>0.0</v>
      </c>
      <c r="J40" s="21">
        <v>0.0</v>
      </c>
      <c r="K40" s="21">
        <v>0.0</v>
      </c>
      <c r="L40" s="21">
        <v>40.0</v>
      </c>
      <c r="O40" s="20"/>
      <c r="R40" s="20"/>
    </row>
    <row r="41">
      <c r="B41" s="20">
        <v>46213.0</v>
      </c>
      <c r="C41" s="21">
        <v>260.0</v>
      </c>
      <c r="D41" s="28">
        <f>260</f>
        <v>260</v>
      </c>
      <c r="E41" s="28">
        <f t="shared" ref="E41:L41" si="40">0</f>
        <v>0</v>
      </c>
      <c r="F41" s="28">
        <f t="shared" si="40"/>
        <v>0</v>
      </c>
      <c r="G41" s="28">
        <f t="shared" si="40"/>
        <v>0</v>
      </c>
      <c r="H41" s="28">
        <f t="shared" si="40"/>
        <v>0</v>
      </c>
      <c r="I41" s="28">
        <f t="shared" si="40"/>
        <v>0</v>
      </c>
      <c r="J41" s="28">
        <f t="shared" si="40"/>
        <v>0</v>
      </c>
      <c r="K41" s="28">
        <f t="shared" si="40"/>
        <v>0</v>
      </c>
      <c r="L41" s="28">
        <f t="shared" si="40"/>
        <v>0</v>
      </c>
      <c r="O41" s="20"/>
      <c r="R41" s="20"/>
    </row>
    <row r="42">
      <c r="B42" s="20">
        <v>46213.0</v>
      </c>
      <c r="C42" s="21">
        <v>40.0</v>
      </c>
      <c r="D42" s="21">
        <f t="shared" ref="D42:D43" si="42">0</f>
        <v>0</v>
      </c>
      <c r="E42" s="21">
        <f>40</f>
        <v>40</v>
      </c>
      <c r="F42" s="21">
        <f t="shared" ref="F42:L42" si="41">0</f>
        <v>0</v>
      </c>
      <c r="G42" s="21">
        <f t="shared" si="41"/>
        <v>0</v>
      </c>
      <c r="H42" s="21">
        <f t="shared" si="41"/>
        <v>0</v>
      </c>
      <c r="I42" s="21">
        <f t="shared" si="41"/>
        <v>0</v>
      </c>
      <c r="J42" s="21">
        <f t="shared" si="41"/>
        <v>0</v>
      </c>
      <c r="K42" s="21">
        <f t="shared" si="41"/>
        <v>0</v>
      </c>
      <c r="L42" s="21">
        <f t="shared" si="41"/>
        <v>0</v>
      </c>
      <c r="O42" s="20"/>
      <c r="R42" s="20"/>
    </row>
    <row r="43">
      <c r="B43" s="20">
        <v>46213.0</v>
      </c>
      <c r="C43" s="21">
        <v>120.0</v>
      </c>
      <c r="D43" s="21">
        <f t="shared" si="42"/>
        <v>0</v>
      </c>
      <c r="E43" s="21">
        <f t="shared" ref="E43:K43" si="43">0</f>
        <v>0</v>
      </c>
      <c r="F43" s="21">
        <f t="shared" si="43"/>
        <v>0</v>
      </c>
      <c r="G43" s="21">
        <f t="shared" si="43"/>
        <v>0</v>
      </c>
      <c r="H43" s="21">
        <f t="shared" si="43"/>
        <v>0</v>
      </c>
      <c r="I43" s="21">
        <f t="shared" si="43"/>
        <v>0</v>
      </c>
      <c r="J43" s="21">
        <f t="shared" si="43"/>
        <v>0</v>
      </c>
      <c r="K43" s="21">
        <f t="shared" si="43"/>
        <v>0</v>
      </c>
      <c r="L43" s="21">
        <f>120</f>
        <v>120</v>
      </c>
      <c r="O43" s="20"/>
      <c r="R43" s="20"/>
    </row>
    <row r="44">
      <c r="B44" s="20">
        <v>46214.0</v>
      </c>
      <c r="C44" s="21">
        <v>200.0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200.0</v>
      </c>
      <c r="O44" s="20"/>
      <c r="R44" s="20"/>
    </row>
    <row r="45">
      <c r="B45" s="20">
        <v>46214.0</v>
      </c>
      <c r="C45" s="21">
        <v>120.0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120.0</v>
      </c>
      <c r="O45" s="20"/>
      <c r="R45" s="20"/>
    </row>
    <row r="46">
      <c r="B46" s="20">
        <v>46214.0</v>
      </c>
      <c r="C46" s="21">
        <v>100.0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100.0</v>
      </c>
      <c r="O46" s="20"/>
      <c r="R46" s="20"/>
    </row>
    <row r="47">
      <c r="B47" s="20">
        <v>46215.0</v>
      </c>
      <c r="C47" s="21">
        <v>360.0</v>
      </c>
      <c r="D47" s="21">
        <f t="shared" ref="D47:D51" si="45">0</f>
        <v>0</v>
      </c>
      <c r="E47" s="21">
        <f>72</f>
        <v>72</v>
      </c>
      <c r="F47" s="21">
        <f t="shared" ref="F47:K47" si="44">0</f>
        <v>0</v>
      </c>
      <c r="G47" s="21">
        <f t="shared" si="44"/>
        <v>0</v>
      </c>
      <c r="H47" s="21">
        <f t="shared" si="44"/>
        <v>0</v>
      </c>
      <c r="I47" s="21">
        <f t="shared" si="44"/>
        <v>0</v>
      </c>
      <c r="J47" s="21">
        <f t="shared" si="44"/>
        <v>0</v>
      </c>
      <c r="K47" s="21">
        <f t="shared" si="44"/>
        <v>0</v>
      </c>
      <c r="L47" s="21">
        <f>288</f>
        <v>288</v>
      </c>
      <c r="O47" s="20"/>
      <c r="R47" s="20"/>
    </row>
    <row r="48">
      <c r="B48" s="20">
        <v>46215.0</v>
      </c>
      <c r="C48" s="21">
        <v>60.0</v>
      </c>
      <c r="D48" s="21">
        <f t="shared" si="45"/>
        <v>0</v>
      </c>
      <c r="E48" s="21">
        <f t="shared" ref="E48:F48" si="46">0</f>
        <v>0</v>
      </c>
      <c r="F48" s="21">
        <f t="shared" si="46"/>
        <v>0</v>
      </c>
      <c r="G48" s="21">
        <f>60</f>
        <v>60</v>
      </c>
      <c r="H48" s="21">
        <f t="shared" ref="H48:L48" si="47">0</f>
        <v>0</v>
      </c>
      <c r="I48" s="21">
        <f t="shared" si="47"/>
        <v>0</v>
      </c>
      <c r="J48" s="21">
        <f t="shared" si="47"/>
        <v>0</v>
      </c>
      <c r="K48" s="21">
        <f t="shared" si="47"/>
        <v>0</v>
      </c>
      <c r="L48" s="21">
        <f t="shared" si="47"/>
        <v>0</v>
      </c>
      <c r="O48" s="20"/>
      <c r="R48" s="20"/>
    </row>
    <row r="49">
      <c r="B49" s="20">
        <v>46216.0</v>
      </c>
      <c r="C49" s="21">
        <v>140.0</v>
      </c>
      <c r="D49" s="21">
        <f t="shared" si="45"/>
        <v>0</v>
      </c>
      <c r="E49" s="21">
        <f t="shared" ref="E49:K49" si="48">0</f>
        <v>0</v>
      </c>
      <c r="F49" s="21">
        <f t="shared" si="48"/>
        <v>0</v>
      </c>
      <c r="G49" s="21">
        <f t="shared" si="48"/>
        <v>0</v>
      </c>
      <c r="H49" s="21">
        <f t="shared" si="48"/>
        <v>0</v>
      </c>
      <c r="I49" s="21">
        <f t="shared" si="48"/>
        <v>0</v>
      </c>
      <c r="J49" s="21">
        <f t="shared" si="48"/>
        <v>0</v>
      </c>
      <c r="K49" s="21">
        <f t="shared" si="48"/>
        <v>0</v>
      </c>
      <c r="L49" s="21">
        <f>140</f>
        <v>140</v>
      </c>
      <c r="O49" s="20"/>
      <c r="R49" s="20"/>
    </row>
    <row r="50">
      <c r="B50" s="20">
        <v>46216.0</v>
      </c>
      <c r="C50" s="21">
        <v>220.0</v>
      </c>
      <c r="D50" s="21">
        <f t="shared" si="45"/>
        <v>0</v>
      </c>
      <c r="E50" s="21">
        <f t="shared" ref="E50:K50" si="49">0</f>
        <v>0</v>
      </c>
      <c r="F50" s="21">
        <f t="shared" si="49"/>
        <v>0</v>
      </c>
      <c r="G50" s="21">
        <f t="shared" si="49"/>
        <v>0</v>
      </c>
      <c r="H50" s="21">
        <f t="shared" si="49"/>
        <v>0</v>
      </c>
      <c r="I50" s="21">
        <f t="shared" si="49"/>
        <v>0</v>
      </c>
      <c r="J50" s="21">
        <f t="shared" si="49"/>
        <v>0</v>
      </c>
      <c r="K50" s="21">
        <f t="shared" si="49"/>
        <v>0</v>
      </c>
      <c r="L50" s="21">
        <f>220</f>
        <v>220</v>
      </c>
      <c r="O50" s="20"/>
      <c r="R50" s="20"/>
    </row>
    <row r="51">
      <c r="B51" s="20">
        <v>46216.0</v>
      </c>
      <c r="C51" s="21">
        <v>180.0</v>
      </c>
      <c r="D51" s="21">
        <f t="shared" si="45"/>
        <v>0</v>
      </c>
      <c r="E51" s="21">
        <f>0</f>
        <v>0</v>
      </c>
      <c r="F51" s="21">
        <f>72</f>
        <v>72</v>
      </c>
      <c r="G51" s="21">
        <f>36</f>
        <v>36</v>
      </c>
      <c r="H51" s="21">
        <f t="shared" ref="H51:J51" si="50">0</f>
        <v>0</v>
      </c>
      <c r="I51" s="21">
        <f t="shared" si="50"/>
        <v>0</v>
      </c>
      <c r="J51" s="21">
        <f t="shared" si="50"/>
        <v>0</v>
      </c>
      <c r="K51" s="21">
        <f>18</f>
        <v>18</v>
      </c>
      <c r="L51" s="21">
        <f>54</f>
        <v>54</v>
      </c>
      <c r="O51" s="20"/>
      <c r="R51" s="20"/>
    </row>
    <row r="52">
      <c r="B52" s="20">
        <v>46217.0</v>
      </c>
      <c r="C52" s="21">
        <v>100.0</v>
      </c>
      <c r="D52" s="21">
        <v>0.0</v>
      </c>
      <c r="E52" s="21">
        <v>0.0</v>
      </c>
      <c r="F52" s="21">
        <v>0.0</v>
      </c>
      <c r="G52" s="21">
        <v>0.0</v>
      </c>
      <c r="H52" s="21">
        <v>0.0</v>
      </c>
      <c r="I52" s="21">
        <v>0.0</v>
      </c>
      <c r="J52" s="21">
        <v>0.0</v>
      </c>
      <c r="K52" s="21">
        <v>0.0</v>
      </c>
      <c r="L52" s="21">
        <v>100.0</v>
      </c>
      <c r="O52" s="20"/>
      <c r="R52" s="20"/>
    </row>
    <row r="53">
      <c r="B53" s="20">
        <v>46217.0</v>
      </c>
      <c r="C53" s="21">
        <v>60.0</v>
      </c>
      <c r="D53" s="21">
        <v>0.0</v>
      </c>
      <c r="E53" s="21">
        <v>0.0</v>
      </c>
      <c r="F53" s="21">
        <v>0.0</v>
      </c>
      <c r="G53" s="21">
        <v>0.0</v>
      </c>
      <c r="H53" s="21">
        <v>0.0</v>
      </c>
      <c r="I53" s="21">
        <v>0.0</v>
      </c>
      <c r="J53" s="21">
        <v>0.0</v>
      </c>
      <c r="K53" s="21">
        <v>0.0</v>
      </c>
      <c r="L53" s="21">
        <v>60.0</v>
      </c>
      <c r="O53" s="20"/>
      <c r="R53" s="20"/>
    </row>
    <row r="54">
      <c r="B54" s="20">
        <v>46217.0</v>
      </c>
      <c r="C54" s="21">
        <v>180.0</v>
      </c>
      <c r="D54" s="21">
        <v>0.0</v>
      </c>
      <c r="E54" s="21">
        <v>0.0</v>
      </c>
      <c r="F54" s="21">
        <v>0.0</v>
      </c>
      <c r="G54" s="21">
        <v>0.0</v>
      </c>
      <c r="H54" s="21">
        <v>0.0</v>
      </c>
      <c r="I54" s="21">
        <v>0.0</v>
      </c>
      <c r="J54" s="21">
        <v>0.0</v>
      </c>
      <c r="K54" s="21">
        <v>0.0</v>
      </c>
      <c r="L54" s="21">
        <v>180.0</v>
      </c>
      <c r="O54" s="20"/>
      <c r="R54" s="20"/>
    </row>
    <row r="55">
      <c r="B55" s="20">
        <v>46218.0</v>
      </c>
      <c r="C55" s="21">
        <v>120.0</v>
      </c>
      <c r="D55" s="21">
        <f t="shared" ref="D55:E55" si="51">0</f>
        <v>0</v>
      </c>
      <c r="E55" s="21">
        <f t="shared" si="51"/>
        <v>0</v>
      </c>
      <c r="F55" s="21">
        <f>60</f>
        <v>60</v>
      </c>
      <c r="G55" s="21">
        <f t="shared" ref="G55:J55" si="52">0</f>
        <v>0</v>
      </c>
      <c r="H55" s="21">
        <f t="shared" si="52"/>
        <v>0</v>
      </c>
      <c r="I55" s="21">
        <f t="shared" si="52"/>
        <v>0</v>
      </c>
      <c r="J55" s="21">
        <f t="shared" si="52"/>
        <v>0</v>
      </c>
      <c r="K55" s="21">
        <f>60</f>
        <v>60</v>
      </c>
      <c r="L55" s="21">
        <f>0</f>
        <v>0</v>
      </c>
      <c r="O55" s="20"/>
      <c r="R55" s="20"/>
    </row>
    <row r="56">
      <c r="B56" s="20">
        <v>46218.0</v>
      </c>
      <c r="C56" s="21">
        <v>180.0</v>
      </c>
      <c r="D56" s="21">
        <f t="shared" ref="D56:I56" si="53">0</f>
        <v>0</v>
      </c>
      <c r="E56" s="21">
        <f t="shared" si="53"/>
        <v>0</v>
      </c>
      <c r="F56" s="21">
        <f t="shared" si="53"/>
        <v>0</v>
      </c>
      <c r="G56" s="21">
        <f t="shared" si="53"/>
        <v>0</v>
      </c>
      <c r="H56" s="21">
        <f t="shared" si="53"/>
        <v>0</v>
      </c>
      <c r="I56" s="21">
        <f t="shared" si="53"/>
        <v>0</v>
      </c>
      <c r="J56" s="21">
        <f>9</f>
        <v>9</v>
      </c>
      <c r="K56" s="21">
        <f>0</f>
        <v>0</v>
      </c>
      <c r="L56" s="21">
        <f>171</f>
        <v>171</v>
      </c>
      <c r="O56" s="20"/>
      <c r="R56" s="20"/>
    </row>
    <row r="57">
      <c r="B57" s="20">
        <v>46218.0</v>
      </c>
      <c r="C57" s="21">
        <v>80.0</v>
      </c>
      <c r="D57" s="21">
        <f t="shared" ref="D57:F57" si="54">0</f>
        <v>0</v>
      </c>
      <c r="E57" s="21">
        <f t="shared" si="54"/>
        <v>0</v>
      </c>
      <c r="F57" s="21">
        <f t="shared" si="54"/>
        <v>0</v>
      </c>
      <c r="G57" s="21">
        <f>80</f>
        <v>80</v>
      </c>
      <c r="H57" s="21">
        <f t="shared" ref="H57:L57" si="55">0</f>
        <v>0</v>
      </c>
      <c r="I57" s="21">
        <f t="shared" si="55"/>
        <v>0</v>
      </c>
      <c r="J57" s="21">
        <f t="shared" si="55"/>
        <v>0</v>
      </c>
      <c r="K57" s="21">
        <f t="shared" si="55"/>
        <v>0</v>
      </c>
      <c r="L57" s="21">
        <f t="shared" si="55"/>
        <v>0</v>
      </c>
      <c r="O57" s="20"/>
      <c r="R57" s="20"/>
    </row>
    <row r="58">
      <c r="B58" s="20">
        <v>46219.0</v>
      </c>
      <c r="C58" s="21">
        <v>180.0</v>
      </c>
      <c r="D58" s="21">
        <f>180</f>
        <v>180</v>
      </c>
      <c r="E58" s="21">
        <f t="shared" ref="E58:L58" si="56">0</f>
        <v>0</v>
      </c>
      <c r="F58" s="21">
        <f t="shared" si="56"/>
        <v>0</v>
      </c>
      <c r="G58" s="21">
        <f t="shared" si="56"/>
        <v>0</v>
      </c>
      <c r="H58" s="21">
        <f t="shared" si="56"/>
        <v>0</v>
      </c>
      <c r="I58" s="21">
        <f t="shared" si="56"/>
        <v>0</v>
      </c>
      <c r="J58" s="21">
        <f t="shared" si="56"/>
        <v>0</v>
      </c>
      <c r="K58" s="21">
        <f t="shared" si="56"/>
        <v>0</v>
      </c>
      <c r="L58" s="21">
        <f t="shared" si="56"/>
        <v>0</v>
      </c>
      <c r="O58" s="20"/>
      <c r="R58" s="20"/>
    </row>
    <row r="59">
      <c r="B59" s="20">
        <v>46219.0</v>
      </c>
      <c r="C59" s="21">
        <v>180.0</v>
      </c>
      <c r="D59" s="21">
        <v>0.0</v>
      </c>
      <c r="E59" s="21">
        <v>0.0</v>
      </c>
      <c r="F59" s="21">
        <v>0.0</v>
      </c>
      <c r="G59" s="21">
        <v>0.0</v>
      </c>
      <c r="H59" s="21">
        <v>0.0</v>
      </c>
      <c r="I59" s="21">
        <v>0.0</v>
      </c>
      <c r="J59" s="21">
        <v>0.0</v>
      </c>
      <c r="K59" s="21">
        <v>0.0</v>
      </c>
      <c r="L59" s="21">
        <v>180.0</v>
      </c>
      <c r="O59" s="20"/>
      <c r="R59" s="20"/>
    </row>
    <row r="60">
      <c r="B60" s="20">
        <v>46219.0</v>
      </c>
      <c r="C60" s="21">
        <v>220.0</v>
      </c>
      <c r="D60" s="21">
        <f t="shared" ref="D60:D62" si="58">0</f>
        <v>0</v>
      </c>
      <c r="E60" s="21">
        <f>220</f>
        <v>220</v>
      </c>
      <c r="F60" s="21">
        <f t="shared" ref="F60:L60" si="57">0</f>
        <v>0</v>
      </c>
      <c r="G60" s="21">
        <f t="shared" si="57"/>
        <v>0</v>
      </c>
      <c r="H60" s="21">
        <f t="shared" si="57"/>
        <v>0</v>
      </c>
      <c r="I60" s="21">
        <f t="shared" si="57"/>
        <v>0</v>
      </c>
      <c r="J60" s="21">
        <f t="shared" si="57"/>
        <v>0</v>
      </c>
      <c r="K60" s="21">
        <f t="shared" si="57"/>
        <v>0</v>
      </c>
      <c r="L60" s="21">
        <f t="shared" si="57"/>
        <v>0</v>
      </c>
      <c r="O60" s="20"/>
      <c r="R60" s="20"/>
    </row>
    <row r="61">
      <c r="B61" s="20">
        <v>46219.0</v>
      </c>
      <c r="C61" s="21">
        <v>260.0</v>
      </c>
      <c r="D61" s="21">
        <f t="shared" si="58"/>
        <v>0</v>
      </c>
      <c r="E61" s="21">
        <f t="shared" ref="E61:E62" si="61">0</f>
        <v>0</v>
      </c>
      <c r="F61" s="21">
        <f t="shared" ref="F61:G61" si="59">52</f>
        <v>52</v>
      </c>
      <c r="G61" s="21">
        <f t="shared" si="59"/>
        <v>52</v>
      </c>
      <c r="H61" s="21">
        <f t="shared" ref="H61:J61" si="60">0</f>
        <v>0</v>
      </c>
      <c r="I61" s="21">
        <f t="shared" si="60"/>
        <v>0</v>
      </c>
      <c r="J61" s="21">
        <f t="shared" si="60"/>
        <v>0</v>
      </c>
      <c r="K61" s="21">
        <f>104</f>
        <v>104</v>
      </c>
      <c r="L61" s="21">
        <f>52</f>
        <v>52</v>
      </c>
      <c r="O61" s="20"/>
      <c r="R61" s="20"/>
    </row>
    <row r="62">
      <c r="B62" s="20">
        <v>46219.0</v>
      </c>
      <c r="C62" s="21">
        <v>60.0</v>
      </c>
      <c r="D62" s="21">
        <f t="shared" si="58"/>
        <v>0</v>
      </c>
      <c r="E62" s="21">
        <f t="shared" si="61"/>
        <v>0</v>
      </c>
      <c r="F62" s="21">
        <f>0</f>
        <v>0</v>
      </c>
      <c r="G62" s="21">
        <f>60</f>
        <v>60</v>
      </c>
      <c r="H62" s="21">
        <f t="shared" ref="H62:L62" si="62">0</f>
        <v>0</v>
      </c>
      <c r="I62" s="21">
        <f t="shared" si="62"/>
        <v>0</v>
      </c>
      <c r="J62" s="21">
        <f t="shared" si="62"/>
        <v>0</v>
      </c>
      <c r="K62" s="21">
        <f t="shared" si="62"/>
        <v>0</v>
      </c>
      <c r="L62" s="21">
        <f t="shared" si="62"/>
        <v>0</v>
      </c>
      <c r="O62" s="20"/>
      <c r="R62" s="20"/>
    </row>
    <row r="63">
      <c r="B63" s="20">
        <v>46220.0</v>
      </c>
      <c r="C63" s="21">
        <v>240.0</v>
      </c>
      <c r="D63" s="21">
        <v>0.0</v>
      </c>
      <c r="E63" s="21">
        <v>0.0</v>
      </c>
      <c r="F63" s="21">
        <v>0.0</v>
      </c>
      <c r="G63" s="21">
        <v>0.0</v>
      </c>
      <c r="H63" s="21">
        <v>0.0</v>
      </c>
      <c r="I63" s="21">
        <v>0.0</v>
      </c>
      <c r="J63" s="21">
        <v>0.0</v>
      </c>
      <c r="K63" s="21">
        <v>0.0</v>
      </c>
      <c r="L63" s="21">
        <v>240.0</v>
      </c>
      <c r="O63" s="20"/>
      <c r="R63" s="20"/>
    </row>
    <row r="64">
      <c r="B64" s="20">
        <v>46220.0</v>
      </c>
      <c r="C64" s="21">
        <v>160.0</v>
      </c>
      <c r="D64" s="21">
        <v>0.0</v>
      </c>
      <c r="E64" s="21">
        <v>0.0</v>
      </c>
      <c r="F64" s="21">
        <v>0.0</v>
      </c>
      <c r="G64" s="21">
        <v>0.0</v>
      </c>
      <c r="H64" s="21">
        <v>0.0</v>
      </c>
      <c r="I64" s="21">
        <v>0.0</v>
      </c>
      <c r="J64" s="21">
        <v>0.0</v>
      </c>
      <c r="K64" s="21">
        <v>0.0</v>
      </c>
      <c r="L64" s="21">
        <v>160.0</v>
      </c>
      <c r="O64" s="20"/>
      <c r="R64" s="20"/>
    </row>
    <row r="65">
      <c r="B65" s="20">
        <v>46220.0</v>
      </c>
      <c r="C65" s="21">
        <v>80.0</v>
      </c>
      <c r="D65" s="21">
        <f t="shared" ref="D65:F65" si="63">0</f>
        <v>0</v>
      </c>
      <c r="E65" s="21">
        <f t="shared" si="63"/>
        <v>0</v>
      </c>
      <c r="F65" s="21">
        <f t="shared" si="63"/>
        <v>0</v>
      </c>
      <c r="G65" s="21">
        <f>80</f>
        <v>80</v>
      </c>
      <c r="H65" s="21">
        <f t="shared" ref="H65:L65" si="64">0</f>
        <v>0</v>
      </c>
      <c r="I65" s="21">
        <f t="shared" si="64"/>
        <v>0</v>
      </c>
      <c r="J65" s="21">
        <f t="shared" si="64"/>
        <v>0</v>
      </c>
      <c r="K65" s="21">
        <f t="shared" si="64"/>
        <v>0</v>
      </c>
      <c r="L65" s="21">
        <f t="shared" si="64"/>
        <v>0</v>
      </c>
      <c r="O65" s="20"/>
      <c r="R65" s="20"/>
    </row>
    <row r="66">
      <c r="B66" s="20">
        <v>46220.0</v>
      </c>
      <c r="C66" s="21">
        <v>180.0</v>
      </c>
      <c r="D66" s="21">
        <f>0</f>
        <v>0</v>
      </c>
      <c r="E66" s="21">
        <f>180</f>
        <v>180</v>
      </c>
      <c r="F66" s="21">
        <f t="shared" ref="F66:L66" si="65">0</f>
        <v>0</v>
      </c>
      <c r="G66" s="21">
        <f t="shared" si="65"/>
        <v>0</v>
      </c>
      <c r="H66" s="21">
        <f t="shared" si="65"/>
        <v>0</v>
      </c>
      <c r="I66" s="21">
        <f t="shared" si="65"/>
        <v>0</v>
      </c>
      <c r="J66" s="21">
        <f t="shared" si="65"/>
        <v>0</v>
      </c>
      <c r="K66" s="21">
        <f t="shared" si="65"/>
        <v>0</v>
      </c>
      <c r="L66" s="21">
        <f t="shared" si="65"/>
        <v>0</v>
      </c>
      <c r="O66" s="20"/>
      <c r="R66" s="20"/>
    </row>
    <row r="67">
      <c r="B67" s="20">
        <v>46221.0</v>
      </c>
      <c r="C67" s="21">
        <v>280.0</v>
      </c>
      <c r="D67" s="21">
        <f>266</f>
        <v>266</v>
      </c>
      <c r="E67" s="21">
        <f t="shared" ref="E67:F67" si="66">0</f>
        <v>0</v>
      </c>
      <c r="F67" s="21">
        <f t="shared" si="66"/>
        <v>0</v>
      </c>
      <c r="G67" s="21">
        <f>14</f>
        <v>14</v>
      </c>
      <c r="H67" s="21">
        <f t="shared" ref="H67:L67" si="67">0</f>
        <v>0</v>
      </c>
      <c r="I67" s="21">
        <f t="shared" si="67"/>
        <v>0</v>
      </c>
      <c r="J67" s="21">
        <f t="shared" si="67"/>
        <v>0</v>
      </c>
      <c r="K67" s="21">
        <f t="shared" si="67"/>
        <v>0</v>
      </c>
      <c r="L67" s="21">
        <f t="shared" si="67"/>
        <v>0</v>
      </c>
      <c r="O67" s="20"/>
      <c r="R67" s="20"/>
    </row>
    <row r="68">
      <c r="B68" s="20">
        <v>46221.0</v>
      </c>
      <c r="C68" s="21">
        <v>280.0</v>
      </c>
      <c r="D68" s="21">
        <f t="shared" ref="D68:K68" si="68">0</f>
        <v>0</v>
      </c>
      <c r="E68" s="21">
        <f t="shared" si="68"/>
        <v>0</v>
      </c>
      <c r="F68" s="21">
        <f t="shared" si="68"/>
        <v>0</v>
      </c>
      <c r="G68" s="21">
        <f t="shared" si="68"/>
        <v>0</v>
      </c>
      <c r="H68" s="21">
        <f t="shared" si="68"/>
        <v>0</v>
      </c>
      <c r="I68" s="21">
        <f t="shared" si="68"/>
        <v>0</v>
      </c>
      <c r="J68" s="21">
        <f t="shared" si="68"/>
        <v>0</v>
      </c>
      <c r="K68" s="21">
        <f t="shared" si="68"/>
        <v>0</v>
      </c>
      <c r="L68" s="21">
        <f>280</f>
        <v>280</v>
      </c>
      <c r="O68" s="20"/>
      <c r="R68" s="20"/>
    </row>
    <row r="69">
      <c r="B69" s="20">
        <v>46221.0</v>
      </c>
      <c r="C69" s="21">
        <v>120.0</v>
      </c>
      <c r="D69" s="21">
        <v>0.0</v>
      </c>
      <c r="E69" s="21">
        <v>0.0</v>
      </c>
      <c r="F69" s="21">
        <v>0.0</v>
      </c>
      <c r="G69" s="21">
        <v>0.0</v>
      </c>
      <c r="H69" s="21">
        <v>0.0</v>
      </c>
      <c r="I69" s="21">
        <v>0.0</v>
      </c>
      <c r="J69" s="21">
        <v>0.0</v>
      </c>
      <c r="K69" s="21">
        <v>0.0</v>
      </c>
      <c r="L69" s="21">
        <v>120.0</v>
      </c>
      <c r="O69" s="20"/>
      <c r="R69" s="20"/>
    </row>
    <row r="70">
      <c r="B70" s="20">
        <v>46222.0</v>
      </c>
      <c r="C70" s="21">
        <v>120.0</v>
      </c>
      <c r="D70" s="21">
        <f t="shared" ref="D70:E70" si="69">0</f>
        <v>0</v>
      </c>
      <c r="E70" s="21">
        <f t="shared" si="69"/>
        <v>0</v>
      </c>
      <c r="F70" s="21">
        <f>24</f>
        <v>24</v>
      </c>
      <c r="G70" s="21">
        <f>36</f>
        <v>36</v>
      </c>
      <c r="H70" s="21">
        <f>24</f>
        <v>24</v>
      </c>
      <c r="I70" s="21">
        <f>36</f>
        <v>36</v>
      </c>
      <c r="J70" s="21">
        <f t="shared" ref="J70:L70" si="70">0</f>
        <v>0</v>
      </c>
      <c r="K70" s="21">
        <f t="shared" si="70"/>
        <v>0</v>
      </c>
      <c r="L70" s="21">
        <f t="shared" si="70"/>
        <v>0</v>
      </c>
      <c r="O70" s="20"/>
      <c r="R70" s="20"/>
    </row>
    <row r="71">
      <c r="B71" s="20">
        <v>46222.0</v>
      </c>
      <c r="C71" s="21">
        <v>100.0</v>
      </c>
      <c r="D71" s="21">
        <f t="shared" ref="D71:F71" si="71">0</f>
        <v>0</v>
      </c>
      <c r="E71" s="21">
        <f t="shared" si="71"/>
        <v>0</v>
      </c>
      <c r="F71" s="21">
        <f t="shared" si="71"/>
        <v>0</v>
      </c>
      <c r="G71" s="21">
        <f>5</f>
        <v>5</v>
      </c>
      <c r="H71" s="21">
        <f t="shared" ref="H71:K71" si="72">0</f>
        <v>0</v>
      </c>
      <c r="I71" s="21">
        <f t="shared" si="72"/>
        <v>0</v>
      </c>
      <c r="J71" s="21">
        <f t="shared" si="72"/>
        <v>0</v>
      </c>
      <c r="K71" s="21">
        <f t="shared" si="72"/>
        <v>0</v>
      </c>
      <c r="L71" s="21">
        <f>95</f>
        <v>95</v>
      </c>
      <c r="O71" s="20"/>
      <c r="R71" s="20"/>
    </row>
    <row r="72">
      <c r="B72" s="20">
        <v>46222.0</v>
      </c>
      <c r="C72" s="21">
        <v>40.0</v>
      </c>
      <c r="D72" s="21">
        <v>0.0</v>
      </c>
      <c r="E72" s="21">
        <v>0.0</v>
      </c>
      <c r="F72" s="21">
        <v>0.0</v>
      </c>
      <c r="G72" s="21">
        <v>0.0</v>
      </c>
      <c r="H72" s="21">
        <v>0.0</v>
      </c>
      <c r="I72" s="21">
        <v>0.0</v>
      </c>
      <c r="J72" s="21">
        <v>0.0</v>
      </c>
      <c r="K72" s="21">
        <v>0.0</v>
      </c>
      <c r="L72" s="21">
        <v>40.0</v>
      </c>
      <c r="O72" s="20"/>
      <c r="R72" s="20"/>
    </row>
    <row r="73">
      <c r="B73" s="20">
        <v>46223.0</v>
      </c>
      <c r="C73" s="21">
        <v>160.0</v>
      </c>
      <c r="D73" s="21">
        <f t="shared" ref="D73:F73" si="73">0</f>
        <v>0</v>
      </c>
      <c r="E73" s="21">
        <f t="shared" si="73"/>
        <v>0</v>
      </c>
      <c r="F73" s="21">
        <f t="shared" si="73"/>
        <v>0</v>
      </c>
      <c r="G73" s="21">
        <f>128</f>
        <v>128</v>
      </c>
      <c r="H73" s="21">
        <f t="shared" ref="H73:K73" si="74">0</f>
        <v>0</v>
      </c>
      <c r="I73" s="21">
        <f t="shared" si="74"/>
        <v>0</v>
      </c>
      <c r="J73" s="21">
        <f t="shared" si="74"/>
        <v>0</v>
      </c>
      <c r="K73" s="21">
        <f t="shared" si="74"/>
        <v>0</v>
      </c>
      <c r="L73" s="21">
        <f>32</f>
        <v>32</v>
      </c>
      <c r="O73" s="20"/>
      <c r="R73" s="20"/>
    </row>
    <row r="74">
      <c r="B74" s="20">
        <v>46223.0</v>
      </c>
      <c r="C74" s="21">
        <v>60.0</v>
      </c>
      <c r="D74" s="21">
        <v>0.0</v>
      </c>
      <c r="E74" s="21">
        <v>0.0</v>
      </c>
      <c r="F74" s="21">
        <v>0.0</v>
      </c>
      <c r="G74" s="21">
        <v>0.0</v>
      </c>
      <c r="H74" s="21">
        <v>0.0</v>
      </c>
      <c r="I74" s="21">
        <v>0.0</v>
      </c>
      <c r="J74" s="21">
        <v>0.0</v>
      </c>
      <c r="K74" s="21">
        <v>0.0</v>
      </c>
      <c r="L74" s="21">
        <v>60.0</v>
      </c>
      <c r="O74" s="20"/>
      <c r="R74" s="20"/>
    </row>
    <row r="75">
      <c r="B75" s="20">
        <v>46223.0</v>
      </c>
      <c r="C75" s="21">
        <v>40.0</v>
      </c>
      <c r="D75" s="21">
        <v>0.0</v>
      </c>
      <c r="E75" s="21">
        <v>0.0</v>
      </c>
      <c r="F75" s="21">
        <v>0.0</v>
      </c>
      <c r="G75" s="21">
        <v>0.0</v>
      </c>
      <c r="H75" s="21">
        <v>0.0</v>
      </c>
      <c r="I75" s="21">
        <v>0.0</v>
      </c>
      <c r="J75" s="21">
        <v>0.0</v>
      </c>
      <c r="K75" s="21">
        <v>0.0</v>
      </c>
      <c r="L75" s="21">
        <v>40.0</v>
      </c>
      <c r="O75" s="20"/>
      <c r="R75" s="20"/>
    </row>
    <row r="76">
      <c r="B76" s="20">
        <v>46223.0</v>
      </c>
      <c r="C76" s="21">
        <v>60.0</v>
      </c>
      <c r="D76" s="21">
        <f t="shared" ref="D76:F76" si="75">0</f>
        <v>0</v>
      </c>
      <c r="E76" s="21">
        <f t="shared" si="75"/>
        <v>0</v>
      </c>
      <c r="F76" s="21">
        <f t="shared" si="75"/>
        <v>0</v>
      </c>
      <c r="G76" s="21">
        <f>60</f>
        <v>60</v>
      </c>
      <c r="H76" s="21">
        <f t="shared" ref="H76:L76" si="76">0</f>
        <v>0</v>
      </c>
      <c r="I76" s="21">
        <f t="shared" si="76"/>
        <v>0</v>
      </c>
      <c r="J76" s="21">
        <f t="shared" si="76"/>
        <v>0</v>
      </c>
      <c r="K76" s="21">
        <f t="shared" si="76"/>
        <v>0</v>
      </c>
      <c r="L76" s="21">
        <f t="shared" si="76"/>
        <v>0</v>
      </c>
      <c r="O76" s="20"/>
      <c r="R76" s="20"/>
    </row>
    <row r="77">
      <c r="B77" s="20">
        <v>46224.0</v>
      </c>
      <c r="C77" s="21">
        <v>200.0</v>
      </c>
      <c r="D77" s="21">
        <f t="shared" ref="D77:E77" si="77">0</f>
        <v>0</v>
      </c>
      <c r="E77" s="21">
        <f t="shared" si="77"/>
        <v>0</v>
      </c>
      <c r="F77" s="21">
        <f t="shared" ref="F77:G77" si="78">20</f>
        <v>20</v>
      </c>
      <c r="G77" s="21">
        <f t="shared" si="78"/>
        <v>20</v>
      </c>
      <c r="H77" s="21">
        <f t="shared" ref="H77:I77" si="79">0</f>
        <v>0</v>
      </c>
      <c r="I77" s="21">
        <f t="shared" si="79"/>
        <v>0</v>
      </c>
      <c r="J77" s="21">
        <f>120</f>
        <v>120</v>
      </c>
      <c r="K77" s="21">
        <f t="shared" ref="K77:L77" si="80">20</f>
        <v>20</v>
      </c>
      <c r="L77" s="21">
        <f t="shared" si="80"/>
        <v>20</v>
      </c>
      <c r="O77" s="20"/>
      <c r="R77" s="20"/>
    </row>
    <row r="78">
      <c r="B78" s="20">
        <v>46224.0</v>
      </c>
      <c r="C78" s="21">
        <v>160.0</v>
      </c>
      <c r="D78" s="21">
        <f t="shared" ref="D78:E78" si="81">0</f>
        <v>0</v>
      </c>
      <c r="E78" s="21">
        <f t="shared" si="81"/>
        <v>0</v>
      </c>
      <c r="F78" s="21">
        <f t="shared" ref="F78:G78" si="82">80</f>
        <v>80</v>
      </c>
      <c r="G78" s="21">
        <f t="shared" si="82"/>
        <v>80</v>
      </c>
      <c r="H78" s="21">
        <f t="shared" ref="H78:L78" si="83">0</f>
        <v>0</v>
      </c>
      <c r="I78" s="21">
        <f t="shared" si="83"/>
        <v>0</v>
      </c>
      <c r="J78" s="21">
        <f t="shared" si="83"/>
        <v>0</v>
      </c>
      <c r="K78" s="21">
        <f t="shared" si="83"/>
        <v>0</v>
      </c>
      <c r="L78" s="21">
        <f t="shared" si="83"/>
        <v>0</v>
      </c>
      <c r="O78" s="20"/>
      <c r="R78" s="20"/>
    </row>
    <row r="79">
      <c r="B79" s="20">
        <v>46225.0</v>
      </c>
      <c r="C79" s="21">
        <v>200.0</v>
      </c>
      <c r="D79" s="21">
        <f>0</f>
        <v>0</v>
      </c>
      <c r="E79" s="21">
        <f>200</f>
        <v>200</v>
      </c>
      <c r="F79" s="21">
        <f t="shared" ref="F79:L79" si="84">0</f>
        <v>0</v>
      </c>
      <c r="G79" s="21">
        <f t="shared" si="84"/>
        <v>0</v>
      </c>
      <c r="H79" s="21">
        <f t="shared" si="84"/>
        <v>0</v>
      </c>
      <c r="I79" s="21">
        <f t="shared" si="84"/>
        <v>0</v>
      </c>
      <c r="J79" s="21">
        <f t="shared" si="84"/>
        <v>0</v>
      </c>
      <c r="K79" s="21">
        <f t="shared" si="84"/>
        <v>0</v>
      </c>
      <c r="L79" s="21">
        <f t="shared" si="84"/>
        <v>0</v>
      </c>
      <c r="O79" s="20"/>
      <c r="R79" s="20"/>
    </row>
    <row r="80">
      <c r="B80" s="20">
        <v>46225.0</v>
      </c>
      <c r="C80" s="21">
        <v>60.0</v>
      </c>
      <c r="D80" s="21">
        <v>0.0</v>
      </c>
      <c r="E80" s="21">
        <v>0.0</v>
      </c>
      <c r="F80" s="21">
        <v>0.0</v>
      </c>
      <c r="G80" s="21">
        <v>0.0</v>
      </c>
      <c r="H80" s="21">
        <v>0.0</v>
      </c>
      <c r="I80" s="21">
        <v>0.0</v>
      </c>
      <c r="J80" s="21">
        <v>0.0</v>
      </c>
      <c r="K80" s="21">
        <v>0.0</v>
      </c>
      <c r="L80" s="21">
        <v>60.0</v>
      </c>
      <c r="O80" s="20"/>
      <c r="R80" s="20"/>
    </row>
    <row r="81">
      <c r="B81" s="20">
        <v>46225.0</v>
      </c>
      <c r="C81" s="21">
        <v>160.0</v>
      </c>
      <c r="D81" s="21">
        <v>0.0</v>
      </c>
      <c r="E81" s="21">
        <v>0.0</v>
      </c>
      <c r="F81" s="21">
        <v>0.0</v>
      </c>
      <c r="G81" s="21">
        <v>0.0</v>
      </c>
      <c r="H81" s="21">
        <v>0.0</v>
      </c>
      <c r="I81" s="21">
        <v>0.0</v>
      </c>
      <c r="J81" s="21">
        <v>0.0</v>
      </c>
      <c r="K81" s="21">
        <v>0.0</v>
      </c>
      <c r="L81" s="21">
        <v>160.0</v>
      </c>
      <c r="O81" s="20"/>
      <c r="R81" s="20"/>
    </row>
    <row r="82">
      <c r="B82" s="20">
        <v>46226.0</v>
      </c>
      <c r="C82" s="21">
        <v>120.0</v>
      </c>
      <c r="D82" s="21">
        <f t="shared" ref="D82:K82" si="85">0</f>
        <v>0</v>
      </c>
      <c r="E82" s="21">
        <f t="shared" si="85"/>
        <v>0</v>
      </c>
      <c r="F82" s="21">
        <f t="shared" si="85"/>
        <v>0</v>
      </c>
      <c r="G82" s="21">
        <f t="shared" si="85"/>
        <v>0</v>
      </c>
      <c r="H82" s="21">
        <f t="shared" si="85"/>
        <v>0</v>
      </c>
      <c r="I82" s="21">
        <f t="shared" si="85"/>
        <v>0</v>
      </c>
      <c r="J82" s="21">
        <f t="shared" si="85"/>
        <v>0</v>
      </c>
      <c r="K82" s="21">
        <f t="shared" si="85"/>
        <v>0</v>
      </c>
      <c r="L82" s="21">
        <f>120</f>
        <v>120</v>
      </c>
      <c r="O82" s="20"/>
      <c r="R82" s="20"/>
    </row>
    <row r="83">
      <c r="B83" s="20">
        <v>46226.0</v>
      </c>
      <c r="C83" s="21">
        <v>20.0</v>
      </c>
      <c r="D83" s="21">
        <v>0.0</v>
      </c>
      <c r="E83" s="21">
        <v>0.0</v>
      </c>
      <c r="F83" s="21">
        <v>0.0</v>
      </c>
      <c r="G83" s="21">
        <v>0.0</v>
      </c>
      <c r="H83" s="21">
        <v>0.0</v>
      </c>
      <c r="I83" s="21">
        <v>0.0</v>
      </c>
      <c r="J83" s="21">
        <v>0.0</v>
      </c>
      <c r="K83" s="21">
        <v>0.0</v>
      </c>
      <c r="L83" s="21">
        <v>20.0</v>
      </c>
      <c r="O83" s="20"/>
      <c r="R83" s="20"/>
    </row>
    <row r="84">
      <c r="B84" s="20">
        <v>46226.0</v>
      </c>
      <c r="C84" s="21">
        <v>120.0</v>
      </c>
      <c r="D84" s="21">
        <f>0</f>
        <v>0</v>
      </c>
      <c r="E84" s="21">
        <f>108</f>
        <v>108</v>
      </c>
      <c r="F84" s="21">
        <f>0</f>
        <v>0</v>
      </c>
      <c r="G84" s="21">
        <f>12</f>
        <v>12</v>
      </c>
      <c r="H84" s="21">
        <f t="shared" ref="H84:L84" si="86">0</f>
        <v>0</v>
      </c>
      <c r="I84" s="21">
        <f t="shared" si="86"/>
        <v>0</v>
      </c>
      <c r="J84" s="21">
        <f t="shared" si="86"/>
        <v>0</v>
      </c>
      <c r="K84" s="21">
        <f t="shared" si="86"/>
        <v>0</v>
      </c>
      <c r="L84" s="21">
        <f t="shared" si="86"/>
        <v>0</v>
      </c>
      <c r="O84" s="20"/>
      <c r="R84" s="20"/>
    </row>
    <row r="85">
      <c r="B85" s="20">
        <v>46227.0</v>
      </c>
      <c r="C85" s="21">
        <v>380.0</v>
      </c>
      <c r="D85" s="21">
        <v>0.0</v>
      </c>
      <c r="E85" s="21">
        <v>0.0</v>
      </c>
      <c r="F85" s="21">
        <v>0.0</v>
      </c>
      <c r="G85" s="21">
        <v>0.0</v>
      </c>
      <c r="H85" s="21">
        <v>0.0</v>
      </c>
      <c r="I85" s="21">
        <v>0.0</v>
      </c>
      <c r="J85" s="21">
        <v>0.0</v>
      </c>
      <c r="K85" s="21">
        <v>0.0</v>
      </c>
      <c r="L85" s="21">
        <v>380.0</v>
      </c>
      <c r="O85" s="20"/>
      <c r="R85" s="20"/>
    </row>
    <row r="86">
      <c r="B86" s="20">
        <v>46227.0</v>
      </c>
      <c r="C86" s="21">
        <v>420.0</v>
      </c>
      <c r="D86" s="21">
        <f t="shared" ref="D86:E86" si="87">0</f>
        <v>0</v>
      </c>
      <c r="E86" s="21">
        <f t="shared" si="87"/>
        <v>0</v>
      </c>
      <c r="F86" s="21">
        <f>336</f>
        <v>336</v>
      </c>
      <c r="G86" s="21">
        <f t="shared" ref="G86:K86" si="88">0</f>
        <v>0</v>
      </c>
      <c r="H86" s="21">
        <f t="shared" si="88"/>
        <v>0</v>
      </c>
      <c r="I86" s="21">
        <f t="shared" si="88"/>
        <v>0</v>
      </c>
      <c r="J86" s="21">
        <f t="shared" si="88"/>
        <v>0</v>
      </c>
      <c r="K86" s="21">
        <f t="shared" si="88"/>
        <v>0</v>
      </c>
      <c r="L86" s="21">
        <f>84</f>
        <v>84</v>
      </c>
      <c r="O86" s="20"/>
      <c r="R86" s="20"/>
    </row>
    <row r="87">
      <c r="B87" s="20">
        <v>46227.0</v>
      </c>
      <c r="C87" s="21">
        <v>240.0</v>
      </c>
      <c r="D87" s="21">
        <f t="shared" ref="D87:E87" si="89">0</f>
        <v>0</v>
      </c>
      <c r="E87" s="21">
        <f t="shared" si="89"/>
        <v>0</v>
      </c>
      <c r="F87" s="21">
        <f>48</f>
        <v>48</v>
      </c>
      <c r="G87" s="21">
        <f>144</f>
        <v>144</v>
      </c>
      <c r="H87" s="21">
        <f t="shared" ref="H87:K87" si="90">0</f>
        <v>0</v>
      </c>
      <c r="I87" s="21">
        <f t="shared" si="90"/>
        <v>0</v>
      </c>
      <c r="J87" s="21">
        <f t="shared" si="90"/>
        <v>0</v>
      </c>
      <c r="K87" s="21">
        <f t="shared" si="90"/>
        <v>0</v>
      </c>
      <c r="L87" s="21">
        <f t="shared" ref="L87:L88" si="93">48</f>
        <v>48</v>
      </c>
      <c r="O87" s="20"/>
      <c r="R87" s="20"/>
    </row>
    <row r="88">
      <c r="B88" s="20">
        <v>46227.0</v>
      </c>
      <c r="C88" s="21">
        <v>120.0</v>
      </c>
      <c r="D88" s="21">
        <f t="shared" ref="D88:F88" si="91">0</f>
        <v>0</v>
      </c>
      <c r="E88" s="21">
        <f t="shared" si="91"/>
        <v>0</v>
      </c>
      <c r="F88" s="21">
        <f t="shared" si="91"/>
        <v>0</v>
      </c>
      <c r="G88" s="21">
        <f>72</f>
        <v>72</v>
      </c>
      <c r="H88" s="21">
        <f t="shared" ref="H88:K88" si="92">0</f>
        <v>0</v>
      </c>
      <c r="I88" s="21">
        <f t="shared" si="92"/>
        <v>0</v>
      </c>
      <c r="J88" s="21">
        <f t="shared" si="92"/>
        <v>0</v>
      </c>
      <c r="K88" s="21">
        <f t="shared" si="92"/>
        <v>0</v>
      </c>
      <c r="L88" s="21">
        <f t="shared" si="93"/>
        <v>48</v>
      </c>
      <c r="O88" s="20"/>
      <c r="R88" s="20"/>
    </row>
    <row r="89">
      <c r="B89" s="20">
        <v>46227.0</v>
      </c>
      <c r="C89" s="21">
        <v>420.0</v>
      </c>
      <c r="D89" s="21">
        <v>0.0</v>
      </c>
      <c r="E89" s="21">
        <v>0.0</v>
      </c>
      <c r="F89" s="21">
        <v>0.0</v>
      </c>
      <c r="G89" s="21">
        <v>0.0</v>
      </c>
      <c r="H89" s="21">
        <v>0.0</v>
      </c>
      <c r="I89" s="21">
        <v>0.0</v>
      </c>
      <c r="J89" s="21">
        <v>0.0</v>
      </c>
      <c r="K89" s="21">
        <v>0.0</v>
      </c>
      <c r="L89" s="21">
        <v>420.0</v>
      </c>
      <c r="O89" s="20"/>
      <c r="R89" s="20"/>
    </row>
    <row r="90">
      <c r="B90" s="20">
        <v>46228.0</v>
      </c>
      <c r="C90" s="21">
        <v>240.0</v>
      </c>
      <c r="D90" s="21">
        <f t="shared" ref="D90:F90" si="94">0</f>
        <v>0</v>
      </c>
      <c r="E90" s="21">
        <f t="shared" si="94"/>
        <v>0</v>
      </c>
      <c r="F90" s="21">
        <f t="shared" si="94"/>
        <v>0</v>
      </c>
      <c r="G90" s="21">
        <f>96</f>
        <v>96</v>
      </c>
      <c r="H90" s="21">
        <f t="shared" ref="H90:I90" si="95">0</f>
        <v>0</v>
      </c>
      <c r="I90" s="21">
        <f t="shared" si="95"/>
        <v>0</v>
      </c>
      <c r="J90" s="21">
        <f>48</f>
        <v>48</v>
      </c>
      <c r="K90" s="21">
        <f>0</f>
        <v>0</v>
      </c>
      <c r="L90" s="21">
        <f>96</f>
        <v>96</v>
      </c>
      <c r="O90" s="20"/>
      <c r="R90" s="20"/>
    </row>
    <row r="91">
      <c r="B91" s="20">
        <v>46228.0</v>
      </c>
      <c r="C91" s="21">
        <v>180.0</v>
      </c>
      <c r="D91" s="21">
        <f>180</f>
        <v>180</v>
      </c>
      <c r="E91" s="21">
        <f t="shared" ref="E91:L91" si="96">0</f>
        <v>0</v>
      </c>
      <c r="F91" s="21">
        <f t="shared" si="96"/>
        <v>0</v>
      </c>
      <c r="G91" s="21">
        <f t="shared" si="96"/>
        <v>0</v>
      </c>
      <c r="H91" s="21">
        <f t="shared" si="96"/>
        <v>0</v>
      </c>
      <c r="I91" s="21">
        <f t="shared" si="96"/>
        <v>0</v>
      </c>
      <c r="J91" s="21">
        <f t="shared" si="96"/>
        <v>0</v>
      </c>
      <c r="K91" s="21">
        <f t="shared" si="96"/>
        <v>0</v>
      </c>
      <c r="L91" s="21">
        <f t="shared" si="96"/>
        <v>0</v>
      </c>
      <c r="O91" s="20"/>
      <c r="R91" s="20"/>
    </row>
    <row r="92">
      <c r="B92" s="20">
        <v>46228.0</v>
      </c>
      <c r="C92" s="21">
        <v>80.0</v>
      </c>
      <c r="D92" s="21">
        <f t="shared" ref="D92:K92" si="97">0</f>
        <v>0</v>
      </c>
      <c r="E92" s="21">
        <f t="shared" si="97"/>
        <v>0</v>
      </c>
      <c r="F92" s="21">
        <f t="shared" si="97"/>
        <v>0</v>
      </c>
      <c r="G92" s="21">
        <f t="shared" si="97"/>
        <v>0</v>
      </c>
      <c r="H92" s="21">
        <f t="shared" si="97"/>
        <v>0</v>
      </c>
      <c r="I92" s="21">
        <f t="shared" si="97"/>
        <v>0</v>
      </c>
      <c r="J92" s="21">
        <f t="shared" si="97"/>
        <v>0</v>
      </c>
      <c r="K92" s="21">
        <f t="shared" si="97"/>
        <v>0</v>
      </c>
      <c r="L92" s="21">
        <f>80</f>
        <v>80</v>
      </c>
      <c r="O92" s="20"/>
      <c r="R92" s="20"/>
    </row>
    <row r="93">
      <c r="B93" s="20">
        <v>46229.0</v>
      </c>
      <c r="C93" s="21">
        <v>200.0</v>
      </c>
      <c r="D93" s="21">
        <f t="shared" ref="D93:K93" si="98">0</f>
        <v>0</v>
      </c>
      <c r="E93" s="21">
        <f t="shared" si="98"/>
        <v>0</v>
      </c>
      <c r="F93" s="21">
        <f t="shared" si="98"/>
        <v>0</v>
      </c>
      <c r="G93" s="21">
        <f t="shared" si="98"/>
        <v>0</v>
      </c>
      <c r="H93" s="21">
        <f t="shared" si="98"/>
        <v>0</v>
      </c>
      <c r="I93" s="21">
        <f t="shared" si="98"/>
        <v>0</v>
      </c>
      <c r="J93" s="21">
        <f t="shared" si="98"/>
        <v>0</v>
      </c>
      <c r="K93" s="21">
        <f t="shared" si="98"/>
        <v>0</v>
      </c>
      <c r="L93" s="21">
        <f>200</f>
        <v>200</v>
      </c>
      <c r="O93" s="20"/>
      <c r="R93" s="20"/>
    </row>
    <row r="94">
      <c r="B94" s="20">
        <v>46229.0</v>
      </c>
      <c r="C94" s="21">
        <v>120.0</v>
      </c>
      <c r="D94" s="21">
        <f t="shared" ref="D94:K94" si="99">0</f>
        <v>0</v>
      </c>
      <c r="E94" s="21">
        <f t="shared" si="99"/>
        <v>0</v>
      </c>
      <c r="F94" s="21">
        <f t="shared" si="99"/>
        <v>0</v>
      </c>
      <c r="G94" s="21">
        <f t="shared" si="99"/>
        <v>0</v>
      </c>
      <c r="H94" s="21">
        <f t="shared" si="99"/>
        <v>0</v>
      </c>
      <c r="I94" s="21">
        <f t="shared" si="99"/>
        <v>0</v>
      </c>
      <c r="J94" s="21">
        <f t="shared" si="99"/>
        <v>0</v>
      </c>
      <c r="K94" s="21">
        <f t="shared" si="99"/>
        <v>0</v>
      </c>
      <c r="L94" s="21">
        <f>120</f>
        <v>120</v>
      </c>
      <c r="O94" s="20"/>
      <c r="R94" s="20"/>
    </row>
    <row r="95">
      <c r="B95" s="20">
        <v>46229.0</v>
      </c>
      <c r="C95" s="21">
        <v>40.0</v>
      </c>
      <c r="D95" s="21">
        <f t="shared" ref="D95:F95" si="100">0</f>
        <v>0</v>
      </c>
      <c r="E95" s="21">
        <f t="shared" si="100"/>
        <v>0</v>
      </c>
      <c r="F95" s="21">
        <f t="shared" si="100"/>
        <v>0</v>
      </c>
      <c r="G95" s="21">
        <f>40</f>
        <v>40</v>
      </c>
      <c r="H95" s="21">
        <f t="shared" ref="H95:L95" si="101">0</f>
        <v>0</v>
      </c>
      <c r="I95" s="21">
        <f t="shared" si="101"/>
        <v>0</v>
      </c>
      <c r="J95" s="21">
        <f t="shared" si="101"/>
        <v>0</v>
      </c>
      <c r="K95" s="21">
        <f t="shared" si="101"/>
        <v>0</v>
      </c>
      <c r="L95" s="21">
        <f t="shared" si="101"/>
        <v>0</v>
      </c>
      <c r="O95" s="20"/>
    </row>
    <row r="96">
      <c r="B96" s="20">
        <v>46230.0</v>
      </c>
      <c r="C96" s="21">
        <v>180.0</v>
      </c>
      <c r="D96" s="21">
        <f t="shared" ref="D96:K96" si="102">0</f>
        <v>0</v>
      </c>
      <c r="E96" s="21">
        <f t="shared" si="102"/>
        <v>0</v>
      </c>
      <c r="F96" s="21">
        <f t="shared" si="102"/>
        <v>0</v>
      </c>
      <c r="G96" s="21">
        <f t="shared" si="102"/>
        <v>0</v>
      </c>
      <c r="H96" s="21">
        <f t="shared" si="102"/>
        <v>0</v>
      </c>
      <c r="I96" s="21">
        <f t="shared" si="102"/>
        <v>0</v>
      </c>
      <c r="J96" s="21">
        <f t="shared" si="102"/>
        <v>0</v>
      </c>
      <c r="K96" s="21">
        <f t="shared" si="102"/>
        <v>0</v>
      </c>
      <c r="L96" s="21">
        <f>180</f>
        <v>180</v>
      </c>
      <c r="O96" s="20"/>
      <c r="R96" s="20"/>
    </row>
    <row r="97">
      <c r="B97" s="20">
        <v>46230.0</v>
      </c>
      <c r="C97" s="21">
        <v>120.0</v>
      </c>
      <c r="D97" s="21">
        <f t="shared" ref="D97:I97" si="103">0</f>
        <v>0</v>
      </c>
      <c r="E97" s="21">
        <f t="shared" si="103"/>
        <v>0</v>
      </c>
      <c r="F97" s="21">
        <f t="shared" si="103"/>
        <v>0</v>
      </c>
      <c r="G97" s="21">
        <f t="shared" si="103"/>
        <v>0</v>
      </c>
      <c r="H97" s="21">
        <f t="shared" si="103"/>
        <v>0</v>
      </c>
      <c r="I97" s="21">
        <f t="shared" si="103"/>
        <v>0</v>
      </c>
      <c r="J97" s="21">
        <f>120</f>
        <v>120</v>
      </c>
      <c r="K97" s="21">
        <f t="shared" ref="K97:L97" si="104">0</f>
        <v>0</v>
      </c>
      <c r="L97" s="21">
        <f t="shared" si="104"/>
        <v>0</v>
      </c>
      <c r="O97" s="20"/>
      <c r="R97" s="20"/>
    </row>
    <row r="98">
      <c r="B98" s="20">
        <v>46230.0</v>
      </c>
      <c r="C98" s="21">
        <v>100.0</v>
      </c>
      <c r="D98" s="21">
        <f>50</f>
        <v>50</v>
      </c>
      <c r="E98" s="21">
        <f t="shared" ref="E98:J98" si="105">0</f>
        <v>0</v>
      </c>
      <c r="F98" s="21">
        <f t="shared" si="105"/>
        <v>0</v>
      </c>
      <c r="G98" s="21">
        <f t="shared" si="105"/>
        <v>0</v>
      </c>
      <c r="H98" s="21">
        <f t="shared" si="105"/>
        <v>0</v>
      </c>
      <c r="I98" s="21">
        <f t="shared" si="105"/>
        <v>0</v>
      </c>
      <c r="J98" s="21">
        <f t="shared" si="105"/>
        <v>0</v>
      </c>
      <c r="K98" s="21">
        <f>50</f>
        <v>50</v>
      </c>
      <c r="L98" s="21">
        <f>0</f>
        <v>0</v>
      </c>
      <c r="O98" s="20"/>
      <c r="R98" s="20"/>
    </row>
    <row r="99">
      <c r="B99" s="20">
        <v>46230.0</v>
      </c>
      <c r="C99" s="21">
        <v>80.0</v>
      </c>
      <c r="D99" s="21">
        <f t="shared" ref="D99:K99" si="106">0</f>
        <v>0</v>
      </c>
      <c r="E99" s="21">
        <f t="shared" si="106"/>
        <v>0</v>
      </c>
      <c r="F99" s="21">
        <f t="shared" si="106"/>
        <v>0</v>
      </c>
      <c r="G99" s="21">
        <f t="shared" si="106"/>
        <v>0</v>
      </c>
      <c r="H99" s="21">
        <f t="shared" si="106"/>
        <v>0</v>
      </c>
      <c r="I99" s="21">
        <f t="shared" si="106"/>
        <v>0</v>
      </c>
      <c r="J99" s="21">
        <f t="shared" si="106"/>
        <v>0</v>
      </c>
      <c r="K99" s="21">
        <f t="shared" si="106"/>
        <v>0</v>
      </c>
      <c r="L99" s="21">
        <f>80</f>
        <v>80</v>
      </c>
      <c r="O99" s="20"/>
      <c r="R99" s="20"/>
    </row>
    <row r="100">
      <c r="B100" s="20">
        <v>46230.0</v>
      </c>
      <c r="C100" s="21">
        <v>180.0</v>
      </c>
      <c r="D100" s="21">
        <f t="shared" ref="D100:I100" si="107">0</f>
        <v>0</v>
      </c>
      <c r="E100" s="21">
        <f t="shared" si="107"/>
        <v>0</v>
      </c>
      <c r="F100" s="21">
        <f t="shared" si="107"/>
        <v>0</v>
      </c>
      <c r="G100" s="21">
        <f t="shared" si="107"/>
        <v>0</v>
      </c>
      <c r="H100" s="21">
        <f t="shared" si="107"/>
        <v>0</v>
      </c>
      <c r="I100" s="21">
        <f t="shared" si="107"/>
        <v>0</v>
      </c>
      <c r="J100" s="21">
        <f>180</f>
        <v>180</v>
      </c>
      <c r="K100" s="21">
        <f t="shared" ref="K100:L100" si="108">0</f>
        <v>0</v>
      </c>
      <c r="L100" s="21">
        <f t="shared" si="108"/>
        <v>0</v>
      </c>
      <c r="O100" s="20"/>
      <c r="R100" s="20"/>
    </row>
    <row r="101">
      <c r="B101" s="20">
        <v>46231.0</v>
      </c>
      <c r="C101" s="21">
        <v>120.0</v>
      </c>
      <c r="D101" s="21">
        <v>0.0</v>
      </c>
      <c r="E101" s="21">
        <v>0.0</v>
      </c>
      <c r="F101" s="21">
        <v>0.0</v>
      </c>
      <c r="G101" s="21">
        <v>0.0</v>
      </c>
      <c r="H101" s="21">
        <v>0.0</v>
      </c>
      <c r="I101" s="21">
        <v>0.0</v>
      </c>
      <c r="J101" s="21">
        <v>0.0</v>
      </c>
      <c r="K101" s="21">
        <v>0.0</v>
      </c>
      <c r="L101" s="21">
        <v>120.0</v>
      </c>
      <c r="O101" s="20"/>
      <c r="R101" s="20"/>
    </row>
    <row r="102">
      <c r="B102" s="20">
        <v>46231.0</v>
      </c>
      <c r="C102" s="21">
        <v>120.0</v>
      </c>
      <c r="D102" s="21">
        <f t="shared" ref="D102:J102" si="109">0</f>
        <v>0</v>
      </c>
      <c r="E102" s="21">
        <f t="shared" si="109"/>
        <v>0</v>
      </c>
      <c r="F102" s="21">
        <f t="shared" si="109"/>
        <v>0</v>
      </c>
      <c r="G102" s="21">
        <f t="shared" si="109"/>
        <v>0</v>
      </c>
      <c r="H102" s="21">
        <f t="shared" si="109"/>
        <v>0</v>
      </c>
      <c r="I102" s="21">
        <f t="shared" si="109"/>
        <v>0</v>
      </c>
      <c r="J102" s="21">
        <f t="shared" si="109"/>
        <v>0</v>
      </c>
      <c r="K102" s="21">
        <f>24</f>
        <v>24</v>
      </c>
      <c r="L102" s="21">
        <f>96</f>
        <v>96</v>
      </c>
      <c r="O102" s="20"/>
      <c r="R102" s="20"/>
    </row>
    <row r="103">
      <c r="B103" s="20">
        <v>46231.0</v>
      </c>
      <c r="C103" s="21">
        <v>20.0</v>
      </c>
      <c r="D103" s="21">
        <v>0.0</v>
      </c>
      <c r="E103" s="21">
        <v>0.0</v>
      </c>
      <c r="F103" s="21">
        <v>0.0</v>
      </c>
      <c r="G103" s="21">
        <v>0.0</v>
      </c>
      <c r="H103" s="21">
        <v>0.0</v>
      </c>
      <c r="I103" s="21">
        <v>0.0</v>
      </c>
      <c r="J103" s="21">
        <v>0.0</v>
      </c>
      <c r="K103" s="21">
        <v>0.0</v>
      </c>
      <c r="L103" s="21">
        <v>20.0</v>
      </c>
      <c r="O103" s="20"/>
      <c r="R103" s="20"/>
    </row>
    <row r="104">
      <c r="B104" s="20">
        <v>46232.0</v>
      </c>
      <c r="C104" s="21">
        <v>100.0</v>
      </c>
      <c r="D104" s="21">
        <v>0.0</v>
      </c>
      <c r="E104" s="21">
        <v>0.0</v>
      </c>
      <c r="F104" s="21">
        <v>0.0</v>
      </c>
      <c r="G104" s="21">
        <v>0.0</v>
      </c>
      <c r="H104" s="21">
        <v>0.0</v>
      </c>
      <c r="I104" s="21">
        <v>0.0</v>
      </c>
      <c r="J104" s="21">
        <v>0.0</v>
      </c>
      <c r="K104" s="21">
        <v>0.0</v>
      </c>
      <c r="L104" s="21">
        <v>100.0</v>
      </c>
      <c r="O104" s="20"/>
      <c r="R104" s="20"/>
    </row>
    <row r="105">
      <c r="B105" s="20">
        <v>46232.0</v>
      </c>
      <c r="C105" s="21">
        <v>200.0</v>
      </c>
      <c r="D105" s="21">
        <v>0.0</v>
      </c>
      <c r="E105" s="21">
        <v>0.0</v>
      </c>
      <c r="F105" s="21">
        <v>0.0</v>
      </c>
      <c r="G105" s="21">
        <v>0.0</v>
      </c>
      <c r="H105" s="21">
        <v>0.0</v>
      </c>
      <c r="I105" s="21">
        <v>0.0</v>
      </c>
      <c r="J105" s="21">
        <v>0.0</v>
      </c>
      <c r="K105" s="21">
        <v>0.0</v>
      </c>
      <c r="L105" s="21">
        <v>200.0</v>
      </c>
      <c r="O105" s="20"/>
      <c r="R105" s="20"/>
    </row>
    <row r="106">
      <c r="B106" s="20">
        <v>46232.0</v>
      </c>
      <c r="C106" s="21">
        <v>80.0</v>
      </c>
      <c r="D106" s="21">
        <f t="shared" ref="D106:K106" si="110">0</f>
        <v>0</v>
      </c>
      <c r="E106" s="21">
        <f t="shared" si="110"/>
        <v>0</v>
      </c>
      <c r="F106" s="21">
        <f t="shared" si="110"/>
        <v>0</v>
      </c>
      <c r="G106" s="21">
        <f t="shared" si="110"/>
        <v>0</v>
      </c>
      <c r="H106" s="21">
        <f t="shared" si="110"/>
        <v>0</v>
      </c>
      <c r="I106" s="21">
        <f t="shared" si="110"/>
        <v>0</v>
      </c>
      <c r="J106" s="21">
        <f t="shared" si="110"/>
        <v>0</v>
      </c>
      <c r="K106" s="21">
        <f t="shared" si="110"/>
        <v>0</v>
      </c>
      <c r="L106" s="21">
        <f>80</f>
        <v>80</v>
      </c>
      <c r="O106" s="20"/>
      <c r="R106" s="20"/>
    </row>
    <row r="107">
      <c r="B107" s="20">
        <v>46232.0</v>
      </c>
      <c r="C107" s="21">
        <v>120.0</v>
      </c>
      <c r="D107" s="21">
        <v>0.0</v>
      </c>
      <c r="E107" s="21">
        <v>0.0</v>
      </c>
      <c r="F107" s="21">
        <v>0.0</v>
      </c>
      <c r="G107" s="21">
        <v>0.0</v>
      </c>
      <c r="H107" s="21">
        <v>0.0</v>
      </c>
      <c r="I107" s="21">
        <v>0.0</v>
      </c>
      <c r="J107" s="21">
        <v>0.0</v>
      </c>
      <c r="K107" s="21">
        <v>0.0</v>
      </c>
      <c r="L107" s="21">
        <v>120.0</v>
      </c>
      <c r="O107" s="20"/>
      <c r="R107" s="20"/>
    </row>
    <row r="108">
      <c r="B108" s="20">
        <v>46233.0</v>
      </c>
      <c r="C108" s="21">
        <v>320.0</v>
      </c>
      <c r="D108" s="21">
        <f t="shared" ref="D108:E108" si="111">0</f>
        <v>0</v>
      </c>
      <c r="E108" s="21">
        <f t="shared" si="111"/>
        <v>0</v>
      </c>
      <c r="F108" s="21">
        <f>32</f>
        <v>32</v>
      </c>
      <c r="G108" s="21">
        <f>64</f>
        <v>64</v>
      </c>
      <c r="H108" s="21">
        <f t="shared" ref="H108:J108" si="112">0</f>
        <v>0</v>
      </c>
      <c r="I108" s="21">
        <f t="shared" si="112"/>
        <v>0</v>
      </c>
      <c r="J108" s="21">
        <f t="shared" si="112"/>
        <v>0</v>
      </c>
      <c r="K108" s="21">
        <f>160</f>
        <v>160</v>
      </c>
      <c r="L108" s="21">
        <f>64</f>
        <v>64</v>
      </c>
      <c r="O108" s="20"/>
      <c r="R108" s="20"/>
    </row>
    <row r="109">
      <c r="B109" s="20">
        <v>46233.0</v>
      </c>
      <c r="C109" s="21">
        <v>160.0</v>
      </c>
      <c r="D109" s="21">
        <f>0</f>
        <v>0</v>
      </c>
      <c r="E109" s="21">
        <f>160</f>
        <v>160</v>
      </c>
      <c r="F109" s="21">
        <f t="shared" ref="F109:L109" si="113">0</f>
        <v>0</v>
      </c>
      <c r="G109" s="21">
        <f t="shared" si="113"/>
        <v>0</v>
      </c>
      <c r="H109" s="21">
        <f t="shared" si="113"/>
        <v>0</v>
      </c>
      <c r="I109" s="21">
        <f t="shared" si="113"/>
        <v>0</v>
      </c>
      <c r="J109" s="21">
        <f t="shared" si="113"/>
        <v>0</v>
      </c>
      <c r="K109" s="21">
        <f t="shared" si="113"/>
        <v>0</v>
      </c>
      <c r="L109" s="21">
        <f t="shared" si="113"/>
        <v>0</v>
      </c>
      <c r="O109" s="20"/>
      <c r="R109" s="20"/>
    </row>
    <row r="110">
      <c r="B110" s="20">
        <v>46233.0</v>
      </c>
      <c r="C110" s="21">
        <v>160.0</v>
      </c>
      <c r="D110" s="21">
        <v>0.0</v>
      </c>
      <c r="E110" s="21">
        <v>0.0</v>
      </c>
      <c r="F110" s="21">
        <v>0.0</v>
      </c>
      <c r="G110" s="21">
        <v>0.0</v>
      </c>
      <c r="H110" s="21">
        <v>0.0</v>
      </c>
      <c r="I110" s="21">
        <v>0.0</v>
      </c>
      <c r="J110" s="21">
        <v>0.0</v>
      </c>
      <c r="K110" s="21">
        <v>0.0</v>
      </c>
      <c r="L110" s="21">
        <v>160.0</v>
      </c>
      <c r="O110" s="20"/>
      <c r="R110" s="20"/>
    </row>
    <row r="111">
      <c r="B111" s="20">
        <v>46234.0</v>
      </c>
      <c r="C111" s="21">
        <v>240.0</v>
      </c>
      <c r="D111" s="21">
        <f t="shared" ref="D111:I111" si="114">0</f>
        <v>0</v>
      </c>
      <c r="E111" s="21">
        <f t="shared" si="114"/>
        <v>0</v>
      </c>
      <c r="F111" s="21">
        <f t="shared" si="114"/>
        <v>0</v>
      </c>
      <c r="G111" s="21">
        <f t="shared" si="114"/>
        <v>0</v>
      </c>
      <c r="H111" s="21">
        <f t="shared" si="114"/>
        <v>0</v>
      </c>
      <c r="I111" s="21">
        <f t="shared" si="114"/>
        <v>0</v>
      </c>
      <c r="J111" s="21">
        <f>72</f>
        <v>72</v>
      </c>
      <c r="K111" s="21">
        <f>0</f>
        <v>0</v>
      </c>
      <c r="L111" s="21">
        <f>168</f>
        <v>168</v>
      </c>
      <c r="O111" s="20"/>
      <c r="R111" s="20"/>
    </row>
    <row r="112">
      <c r="B112" s="20">
        <v>46234.0</v>
      </c>
      <c r="C112" s="21">
        <v>20.0</v>
      </c>
      <c r="D112" s="21">
        <f t="shared" ref="D112:K112" si="115">0</f>
        <v>0</v>
      </c>
      <c r="E112" s="21">
        <f t="shared" si="115"/>
        <v>0</v>
      </c>
      <c r="F112" s="21">
        <f t="shared" si="115"/>
        <v>0</v>
      </c>
      <c r="G112" s="21">
        <f t="shared" si="115"/>
        <v>0</v>
      </c>
      <c r="H112" s="21">
        <f t="shared" si="115"/>
        <v>0</v>
      </c>
      <c r="I112" s="21">
        <f t="shared" si="115"/>
        <v>0</v>
      </c>
      <c r="J112" s="21">
        <f t="shared" si="115"/>
        <v>0</v>
      </c>
      <c r="K112" s="21">
        <f t="shared" si="115"/>
        <v>0</v>
      </c>
      <c r="L112" s="21">
        <f>20</f>
        <v>20</v>
      </c>
      <c r="O112" s="20"/>
      <c r="R112" s="20"/>
    </row>
    <row r="113">
      <c r="B113" s="20">
        <v>46234.0</v>
      </c>
      <c r="C113" s="21">
        <v>100.0</v>
      </c>
      <c r="D113" s="21">
        <v>0.0</v>
      </c>
      <c r="E113" s="21">
        <v>0.0</v>
      </c>
      <c r="F113" s="21">
        <v>0.0</v>
      </c>
      <c r="G113" s="21">
        <v>0.0</v>
      </c>
      <c r="H113" s="21">
        <v>0.0</v>
      </c>
      <c r="I113" s="21">
        <v>0.0</v>
      </c>
      <c r="J113" s="21">
        <v>0.0</v>
      </c>
      <c r="K113" s="21">
        <v>0.0</v>
      </c>
      <c r="L113" s="21">
        <v>100.0</v>
      </c>
      <c r="O113" s="20"/>
      <c r="R113" s="20"/>
    </row>
    <row r="114">
      <c r="B114" s="20">
        <v>46234.0</v>
      </c>
      <c r="C114" s="21">
        <v>140.0</v>
      </c>
      <c r="D114" s="21">
        <v>0.0</v>
      </c>
      <c r="E114" s="21">
        <v>0.0</v>
      </c>
      <c r="F114" s="21">
        <v>0.0</v>
      </c>
      <c r="G114" s="21">
        <v>0.0</v>
      </c>
      <c r="H114" s="21">
        <v>0.0</v>
      </c>
      <c r="I114" s="21">
        <v>0.0</v>
      </c>
      <c r="J114" s="21">
        <v>0.0</v>
      </c>
      <c r="K114" s="21">
        <v>0.0</v>
      </c>
      <c r="L114" s="21">
        <v>140.0</v>
      </c>
      <c r="O114" s="20"/>
      <c r="R114" s="20"/>
    </row>
    <row r="115">
      <c r="B115" s="20">
        <v>46234.0</v>
      </c>
      <c r="C115" s="21">
        <v>80.0</v>
      </c>
      <c r="D115" s="21">
        <f>80</f>
        <v>80</v>
      </c>
      <c r="E115" s="21">
        <f t="shared" ref="E115:L115" si="116">0</f>
        <v>0</v>
      </c>
      <c r="F115" s="21">
        <f t="shared" si="116"/>
        <v>0</v>
      </c>
      <c r="G115" s="21">
        <f t="shared" si="116"/>
        <v>0</v>
      </c>
      <c r="H115" s="21">
        <f t="shared" si="116"/>
        <v>0</v>
      </c>
      <c r="I115" s="21">
        <f t="shared" si="116"/>
        <v>0</v>
      </c>
      <c r="J115" s="21">
        <f t="shared" si="116"/>
        <v>0</v>
      </c>
      <c r="K115" s="21">
        <f t="shared" si="116"/>
        <v>0</v>
      </c>
      <c r="L115" s="21">
        <f t="shared" si="116"/>
        <v>0</v>
      </c>
      <c r="O115" s="20"/>
      <c r="R115" s="20"/>
    </row>
    <row r="116">
      <c r="B116" s="20">
        <v>46235.0</v>
      </c>
      <c r="C116" s="21">
        <v>220.0</v>
      </c>
      <c r="D116" s="21">
        <f t="shared" ref="D116:F116" si="117">0</f>
        <v>0</v>
      </c>
      <c r="E116" s="21">
        <f t="shared" si="117"/>
        <v>0</v>
      </c>
      <c r="F116" s="21">
        <f t="shared" si="117"/>
        <v>0</v>
      </c>
      <c r="G116" s="21">
        <f>44</f>
        <v>44</v>
      </c>
      <c r="H116" s="21">
        <f t="shared" ref="H116:I116" si="118">0</f>
        <v>0</v>
      </c>
      <c r="I116" s="21">
        <f t="shared" si="118"/>
        <v>0</v>
      </c>
      <c r="J116" s="21">
        <f>44</f>
        <v>44</v>
      </c>
      <c r="K116" s="21">
        <f>0</f>
        <v>0</v>
      </c>
      <c r="L116" s="21">
        <f>132</f>
        <v>132</v>
      </c>
      <c r="O116" s="20"/>
      <c r="R116" s="20"/>
    </row>
    <row r="117">
      <c r="B117" s="20">
        <v>46235.0</v>
      </c>
      <c r="C117" s="21">
        <v>160.0</v>
      </c>
      <c r="D117" s="21">
        <v>0.0</v>
      </c>
      <c r="E117" s="21">
        <v>0.0</v>
      </c>
      <c r="F117" s="21">
        <v>0.0</v>
      </c>
      <c r="G117" s="21">
        <v>0.0</v>
      </c>
      <c r="H117" s="21">
        <v>0.0</v>
      </c>
      <c r="I117" s="21">
        <v>0.0</v>
      </c>
      <c r="J117" s="21">
        <v>0.0</v>
      </c>
      <c r="K117" s="21">
        <v>0.0</v>
      </c>
      <c r="L117" s="21">
        <v>160.0</v>
      </c>
      <c r="O117" s="20"/>
      <c r="R117" s="20"/>
    </row>
    <row r="118">
      <c r="B118" s="20">
        <v>46235.0</v>
      </c>
      <c r="C118" s="21">
        <v>40.0</v>
      </c>
      <c r="D118" s="21">
        <f t="shared" ref="D118:F118" si="119">0</f>
        <v>0</v>
      </c>
      <c r="E118" s="21">
        <f t="shared" si="119"/>
        <v>0</v>
      </c>
      <c r="F118" s="21">
        <f t="shared" si="119"/>
        <v>0</v>
      </c>
      <c r="G118" s="21">
        <f>40</f>
        <v>40</v>
      </c>
      <c r="H118" s="21">
        <f t="shared" ref="H118:L118" si="120">0</f>
        <v>0</v>
      </c>
      <c r="I118" s="21">
        <f t="shared" si="120"/>
        <v>0</v>
      </c>
      <c r="J118" s="21">
        <f t="shared" si="120"/>
        <v>0</v>
      </c>
      <c r="K118" s="21">
        <f t="shared" si="120"/>
        <v>0</v>
      </c>
      <c r="L118" s="21">
        <f t="shared" si="120"/>
        <v>0</v>
      </c>
      <c r="O118" s="20"/>
      <c r="R118" s="20"/>
    </row>
    <row r="119">
      <c r="B119" s="20">
        <v>46236.0</v>
      </c>
      <c r="C119" s="21">
        <v>80.0</v>
      </c>
      <c r="D119" s="21">
        <f>16</f>
        <v>16</v>
      </c>
      <c r="E119" s="21">
        <f t="shared" ref="E119:F119" si="121">0</f>
        <v>0</v>
      </c>
      <c r="F119" s="21">
        <f t="shared" si="121"/>
        <v>0</v>
      </c>
      <c r="G119" s="21">
        <f>48</f>
        <v>48</v>
      </c>
      <c r="H119" s="21">
        <f>8</f>
        <v>8</v>
      </c>
      <c r="I119" s="21">
        <f t="shared" ref="I119:K119" si="122">0</f>
        <v>0</v>
      </c>
      <c r="J119" s="21">
        <f t="shared" si="122"/>
        <v>0</v>
      </c>
      <c r="K119" s="21">
        <f t="shared" si="122"/>
        <v>0</v>
      </c>
      <c r="L119" s="21">
        <f>8</f>
        <v>8</v>
      </c>
    </row>
    <row r="120">
      <c r="B120" s="20">
        <v>46236.0</v>
      </c>
      <c r="C120" s="21">
        <v>100.0</v>
      </c>
      <c r="D120" s="21">
        <f t="shared" ref="D120:F120" si="123">0</f>
        <v>0</v>
      </c>
      <c r="E120" s="21">
        <f t="shared" si="123"/>
        <v>0</v>
      </c>
      <c r="F120" s="21">
        <f t="shared" si="123"/>
        <v>0</v>
      </c>
      <c r="G120" s="21">
        <f>20</f>
        <v>20</v>
      </c>
      <c r="H120" s="21">
        <f t="shared" ref="H120:K120" si="124">0</f>
        <v>0</v>
      </c>
      <c r="I120" s="21">
        <f t="shared" si="124"/>
        <v>0</v>
      </c>
      <c r="J120" s="21">
        <f t="shared" si="124"/>
        <v>0</v>
      </c>
      <c r="K120" s="21">
        <f t="shared" si="124"/>
        <v>0</v>
      </c>
      <c r="L120" s="21">
        <f>80</f>
        <v>80</v>
      </c>
    </row>
    <row r="121">
      <c r="B121" s="20">
        <v>46236.0</v>
      </c>
      <c r="C121" s="21">
        <v>280.0</v>
      </c>
      <c r="D121" s="21">
        <f>0</f>
        <v>0</v>
      </c>
      <c r="E121" s="21">
        <f>280</f>
        <v>280</v>
      </c>
      <c r="F121" s="21">
        <f t="shared" ref="F121:L121" si="125">0</f>
        <v>0</v>
      </c>
      <c r="G121" s="21">
        <f t="shared" si="125"/>
        <v>0</v>
      </c>
      <c r="H121" s="21">
        <f t="shared" si="125"/>
        <v>0</v>
      </c>
      <c r="I121" s="21">
        <f t="shared" si="125"/>
        <v>0</v>
      </c>
      <c r="J121" s="21">
        <f t="shared" si="125"/>
        <v>0</v>
      </c>
      <c r="K121" s="21">
        <f t="shared" si="125"/>
        <v>0</v>
      </c>
      <c r="L121" s="21">
        <f t="shared" si="125"/>
        <v>0</v>
      </c>
    </row>
    <row r="122">
      <c r="B122" s="20">
        <v>46237.0</v>
      </c>
      <c r="C122" s="21">
        <v>140.0</v>
      </c>
      <c r="D122" s="21">
        <f>140</f>
        <v>140</v>
      </c>
      <c r="E122" s="21">
        <f t="shared" ref="E122:L122" si="126">0</f>
        <v>0</v>
      </c>
      <c r="F122" s="21">
        <f t="shared" si="126"/>
        <v>0</v>
      </c>
      <c r="G122" s="21">
        <f t="shared" si="126"/>
        <v>0</v>
      </c>
      <c r="H122" s="21">
        <f t="shared" si="126"/>
        <v>0</v>
      </c>
      <c r="I122" s="21">
        <f t="shared" si="126"/>
        <v>0</v>
      </c>
      <c r="J122" s="21">
        <f t="shared" si="126"/>
        <v>0</v>
      </c>
      <c r="K122" s="21">
        <f t="shared" si="126"/>
        <v>0</v>
      </c>
      <c r="L122" s="21">
        <f t="shared" si="126"/>
        <v>0</v>
      </c>
    </row>
    <row r="123">
      <c r="B123" s="20">
        <v>46237.0</v>
      </c>
      <c r="C123" s="21">
        <v>100.0</v>
      </c>
      <c r="D123" s="21">
        <v>0.0</v>
      </c>
      <c r="E123" s="21">
        <v>0.0</v>
      </c>
      <c r="F123" s="21">
        <v>0.0</v>
      </c>
      <c r="G123" s="21">
        <v>0.0</v>
      </c>
      <c r="H123" s="21">
        <v>0.0</v>
      </c>
      <c r="I123" s="21">
        <v>0.0</v>
      </c>
      <c r="J123" s="21">
        <v>0.0</v>
      </c>
      <c r="K123" s="21">
        <v>0.0</v>
      </c>
      <c r="L123" s="21">
        <v>100.0</v>
      </c>
    </row>
    <row r="124">
      <c r="B124" s="20">
        <v>46238.0</v>
      </c>
      <c r="C124" s="21">
        <v>20.0</v>
      </c>
      <c r="D124" s="21">
        <f t="shared" ref="D124:K124" si="127">0</f>
        <v>0</v>
      </c>
      <c r="E124" s="21">
        <f t="shared" si="127"/>
        <v>0</v>
      </c>
      <c r="F124" s="21">
        <f t="shared" si="127"/>
        <v>0</v>
      </c>
      <c r="G124" s="21">
        <f t="shared" si="127"/>
        <v>0</v>
      </c>
      <c r="H124" s="21">
        <f t="shared" si="127"/>
        <v>0</v>
      </c>
      <c r="I124" s="21">
        <f t="shared" si="127"/>
        <v>0</v>
      </c>
      <c r="J124" s="21">
        <f t="shared" si="127"/>
        <v>0</v>
      </c>
      <c r="K124" s="21">
        <f t="shared" si="127"/>
        <v>0</v>
      </c>
      <c r="L124" s="21">
        <f>20</f>
        <v>20</v>
      </c>
    </row>
    <row r="125">
      <c r="B125" s="20">
        <v>46238.0</v>
      </c>
      <c r="C125" s="21">
        <v>60.0</v>
      </c>
      <c r="D125" s="21">
        <f t="shared" ref="D125:F125" si="128">0</f>
        <v>0</v>
      </c>
      <c r="E125" s="21">
        <f t="shared" si="128"/>
        <v>0</v>
      </c>
      <c r="F125" s="21">
        <f t="shared" si="128"/>
        <v>0</v>
      </c>
      <c r="G125" s="21">
        <f>60</f>
        <v>60</v>
      </c>
      <c r="H125" s="21">
        <f t="shared" ref="H125:L125" si="129">0</f>
        <v>0</v>
      </c>
      <c r="I125" s="21">
        <f t="shared" si="129"/>
        <v>0</v>
      </c>
      <c r="J125" s="21">
        <f t="shared" si="129"/>
        <v>0</v>
      </c>
      <c r="K125" s="21">
        <f t="shared" si="129"/>
        <v>0</v>
      </c>
      <c r="L125" s="21">
        <f t="shared" si="129"/>
        <v>0</v>
      </c>
    </row>
    <row r="126">
      <c r="B126" s="20">
        <v>46238.0</v>
      </c>
      <c r="C126" s="21">
        <v>120.0</v>
      </c>
      <c r="D126" s="21">
        <f t="shared" ref="D126:K126" si="130">0</f>
        <v>0</v>
      </c>
      <c r="E126" s="21">
        <f t="shared" si="130"/>
        <v>0</v>
      </c>
      <c r="F126" s="21">
        <f t="shared" si="130"/>
        <v>0</v>
      </c>
      <c r="G126" s="21">
        <f t="shared" si="130"/>
        <v>0</v>
      </c>
      <c r="H126" s="21">
        <f t="shared" si="130"/>
        <v>0</v>
      </c>
      <c r="I126" s="21">
        <f t="shared" si="130"/>
        <v>0</v>
      </c>
      <c r="J126" s="21">
        <f t="shared" si="130"/>
        <v>0</v>
      </c>
      <c r="K126" s="21">
        <f t="shared" si="130"/>
        <v>0</v>
      </c>
      <c r="L126" s="21">
        <f>120</f>
        <v>120</v>
      </c>
    </row>
    <row r="127">
      <c r="B127" s="20">
        <v>46238.0</v>
      </c>
      <c r="C127" s="21">
        <v>40.0</v>
      </c>
      <c r="D127" s="21">
        <f t="shared" ref="D127:K127" si="131">0</f>
        <v>0</v>
      </c>
      <c r="E127" s="21">
        <f t="shared" si="131"/>
        <v>0</v>
      </c>
      <c r="F127" s="21">
        <f t="shared" si="131"/>
        <v>0</v>
      </c>
      <c r="G127" s="21">
        <f t="shared" si="131"/>
        <v>0</v>
      </c>
      <c r="H127" s="21">
        <f t="shared" si="131"/>
        <v>0</v>
      </c>
      <c r="I127" s="21">
        <f t="shared" si="131"/>
        <v>0</v>
      </c>
      <c r="J127" s="21">
        <f t="shared" si="131"/>
        <v>0</v>
      </c>
      <c r="K127" s="21">
        <f t="shared" si="131"/>
        <v>0</v>
      </c>
      <c r="L127" s="21">
        <f>40</f>
        <v>40</v>
      </c>
    </row>
    <row r="128">
      <c r="B128" s="20">
        <v>46239.0</v>
      </c>
      <c r="C128" s="21">
        <v>260.0</v>
      </c>
      <c r="D128" s="21">
        <f t="shared" ref="D128:K128" si="132">0</f>
        <v>0</v>
      </c>
      <c r="E128" s="21">
        <f t="shared" si="132"/>
        <v>0</v>
      </c>
      <c r="F128" s="21">
        <f t="shared" si="132"/>
        <v>0</v>
      </c>
      <c r="G128" s="21">
        <f t="shared" si="132"/>
        <v>0</v>
      </c>
      <c r="H128" s="21">
        <f t="shared" si="132"/>
        <v>0</v>
      </c>
      <c r="I128" s="21">
        <f t="shared" si="132"/>
        <v>0</v>
      </c>
      <c r="J128" s="21">
        <f t="shared" si="132"/>
        <v>0</v>
      </c>
      <c r="K128" s="21">
        <f t="shared" si="132"/>
        <v>0</v>
      </c>
      <c r="L128" s="21">
        <f>260</f>
        <v>260</v>
      </c>
    </row>
    <row r="129">
      <c r="B129" s="20">
        <v>46239.0</v>
      </c>
      <c r="C129" s="21">
        <v>200.0</v>
      </c>
      <c r="D129" s="21">
        <f t="shared" ref="D129:D135" si="134">0</f>
        <v>0</v>
      </c>
      <c r="E129" s="21">
        <f>100</f>
        <v>100</v>
      </c>
      <c r="F129" s="21">
        <f t="shared" ref="F129:K129" si="133">0</f>
        <v>0</v>
      </c>
      <c r="G129" s="21">
        <f t="shared" si="133"/>
        <v>0</v>
      </c>
      <c r="H129" s="21">
        <f t="shared" si="133"/>
        <v>0</v>
      </c>
      <c r="I129" s="21">
        <f t="shared" si="133"/>
        <v>0</v>
      </c>
      <c r="J129" s="21">
        <f t="shared" si="133"/>
        <v>0</v>
      </c>
      <c r="K129" s="21">
        <f t="shared" si="133"/>
        <v>0</v>
      </c>
      <c r="L129" s="21">
        <f>100</f>
        <v>100</v>
      </c>
    </row>
    <row r="130">
      <c r="B130" s="20">
        <v>46239.0</v>
      </c>
      <c r="C130" s="21">
        <v>160.0</v>
      </c>
      <c r="D130" s="21">
        <f t="shared" si="134"/>
        <v>0</v>
      </c>
      <c r="E130" s="21">
        <f>144</f>
        <v>144</v>
      </c>
      <c r="F130" s="21">
        <f t="shared" ref="F130:J130" si="135">0</f>
        <v>0</v>
      </c>
      <c r="G130" s="21">
        <f t="shared" si="135"/>
        <v>0</v>
      </c>
      <c r="H130" s="21">
        <f t="shared" si="135"/>
        <v>0</v>
      </c>
      <c r="I130" s="21">
        <f t="shared" si="135"/>
        <v>0</v>
      </c>
      <c r="J130" s="21">
        <f t="shared" si="135"/>
        <v>0</v>
      </c>
      <c r="K130" s="21">
        <f>16</f>
        <v>16</v>
      </c>
      <c r="L130" s="21">
        <f>0</f>
        <v>0</v>
      </c>
    </row>
    <row r="131">
      <c r="B131" s="20">
        <v>46239.0</v>
      </c>
      <c r="C131" s="21">
        <v>120.0</v>
      </c>
      <c r="D131" s="21">
        <f t="shared" si="134"/>
        <v>0</v>
      </c>
      <c r="E131" s="21">
        <f t="shared" ref="E131:F131" si="136">0</f>
        <v>0</v>
      </c>
      <c r="F131" s="21">
        <f t="shared" si="136"/>
        <v>0</v>
      </c>
      <c r="G131" s="21">
        <f>12</f>
        <v>12</v>
      </c>
      <c r="H131" s="21">
        <f>0</f>
        <v>0</v>
      </c>
      <c r="I131" s="21">
        <f>108</f>
        <v>108</v>
      </c>
      <c r="J131" s="21">
        <f t="shared" ref="J131:L131" si="137">0</f>
        <v>0</v>
      </c>
      <c r="K131" s="21">
        <f t="shared" si="137"/>
        <v>0</v>
      </c>
      <c r="L131" s="21">
        <f t="shared" si="137"/>
        <v>0</v>
      </c>
    </row>
    <row r="132">
      <c r="B132" s="20">
        <v>46240.0</v>
      </c>
      <c r="C132" s="21">
        <v>80.0</v>
      </c>
      <c r="D132" s="21">
        <f t="shared" si="134"/>
        <v>0</v>
      </c>
      <c r="E132" s="21">
        <f t="shared" ref="E132:K132" si="138">0</f>
        <v>0</v>
      </c>
      <c r="F132" s="21">
        <f t="shared" si="138"/>
        <v>0</v>
      </c>
      <c r="G132" s="21">
        <f t="shared" si="138"/>
        <v>0</v>
      </c>
      <c r="H132" s="21">
        <f t="shared" si="138"/>
        <v>0</v>
      </c>
      <c r="I132" s="21">
        <f t="shared" si="138"/>
        <v>0</v>
      </c>
      <c r="J132" s="21">
        <f t="shared" si="138"/>
        <v>0</v>
      </c>
      <c r="K132" s="21">
        <f t="shared" si="138"/>
        <v>0</v>
      </c>
      <c r="L132" s="21">
        <f>80</f>
        <v>80</v>
      </c>
    </row>
    <row r="133">
      <c r="B133" s="20">
        <v>46240.0</v>
      </c>
      <c r="C133" s="21">
        <v>120.0</v>
      </c>
      <c r="D133" s="21">
        <f t="shared" si="134"/>
        <v>0</v>
      </c>
      <c r="E133" s="21">
        <f t="shared" ref="E133:J133" si="139">0</f>
        <v>0</v>
      </c>
      <c r="F133" s="21">
        <f t="shared" si="139"/>
        <v>0</v>
      </c>
      <c r="G133" s="21">
        <f t="shared" si="139"/>
        <v>0</v>
      </c>
      <c r="H133" s="21">
        <f t="shared" si="139"/>
        <v>0</v>
      </c>
      <c r="I133" s="21">
        <f t="shared" si="139"/>
        <v>0</v>
      </c>
      <c r="J133" s="21">
        <f t="shared" si="139"/>
        <v>0</v>
      </c>
      <c r="K133" s="21">
        <f>12</f>
        <v>12</v>
      </c>
      <c r="L133" s="21">
        <f>108</f>
        <v>108</v>
      </c>
    </row>
    <row r="134">
      <c r="B134" s="20">
        <v>46240.0</v>
      </c>
      <c r="C134" s="21">
        <v>80.0</v>
      </c>
      <c r="D134" s="21">
        <f t="shared" si="134"/>
        <v>0</v>
      </c>
      <c r="E134" s="21">
        <f t="shared" ref="E134:F134" si="140">0</f>
        <v>0</v>
      </c>
      <c r="F134" s="21">
        <f t="shared" si="140"/>
        <v>0</v>
      </c>
      <c r="G134" s="21">
        <f>16</f>
        <v>16</v>
      </c>
      <c r="H134" s="21">
        <f t="shared" ref="H134:K134" si="141">0</f>
        <v>0</v>
      </c>
      <c r="I134" s="21">
        <f t="shared" si="141"/>
        <v>0</v>
      </c>
      <c r="J134" s="21">
        <f t="shared" si="141"/>
        <v>0</v>
      </c>
      <c r="K134" s="21">
        <f t="shared" si="141"/>
        <v>0</v>
      </c>
      <c r="L134" s="21">
        <f>64</f>
        <v>64</v>
      </c>
    </row>
    <row r="135">
      <c r="B135" s="20">
        <v>46240.0</v>
      </c>
      <c r="C135" s="21">
        <v>240.0</v>
      </c>
      <c r="D135" s="21">
        <f t="shared" si="134"/>
        <v>0</v>
      </c>
      <c r="E135" s="21">
        <f t="shared" ref="E135:F135" si="142">0</f>
        <v>0</v>
      </c>
      <c r="F135" s="21">
        <f t="shared" si="142"/>
        <v>0</v>
      </c>
      <c r="G135" s="21">
        <f>240</f>
        <v>240</v>
      </c>
      <c r="H135" s="21">
        <f t="shared" ref="H135:L135" si="143">0</f>
        <v>0</v>
      </c>
      <c r="I135" s="21">
        <f t="shared" si="143"/>
        <v>0</v>
      </c>
      <c r="J135" s="21">
        <f t="shared" si="143"/>
        <v>0</v>
      </c>
      <c r="K135" s="21">
        <f t="shared" si="143"/>
        <v>0</v>
      </c>
      <c r="L135" s="21">
        <f t="shared" si="143"/>
        <v>0</v>
      </c>
    </row>
    <row r="136">
      <c r="B136" s="20">
        <v>46241.0</v>
      </c>
      <c r="C136" s="21">
        <v>220.0</v>
      </c>
      <c r="D136" s="21">
        <v>0.0</v>
      </c>
      <c r="E136" s="21">
        <v>0.0</v>
      </c>
      <c r="F136" s="21">
        <v>0.0</v>
      </c>
      <c r="G136" s="21">
        <v>0.0</v>
      </c>
      <c r="H136" s="21">
        <v>0.0</v>
      </c>
      <c r="I136" s="21">
        <v>0.0</v>
      </c>
      <c r="J136" s="21">
        <v>0.0</v>
      </c>
      <c r="K136" s="21">
        <v>0.0</v>
      </c>
      <c r="L136" s="21">
        <v>220.0</v>
      </c>
    </row>
    <row r="137">
      <c r="B137" s="20">
        <v>46241.0</v>
      </c>
      <c r="C137" s="21">
        <v>200.0</v>
      </c>
      <c r="D137" s="21">
        <v>0.0</v>
      </c>
      <c r="E137" s="21">
        <v>0.0</v>
      </c>
      <c r="F137" s="21">
        <v>0.0</v>
      </c>
      <c r="G137" s="21">
        <v>0.0</v>
      </c>
      <c r="H137" s="21">
        <v>0.0</v>
      </c>
      <c r="I137" s="21">
        <v>0.0</v>
      </c>
      <c r="J137" s="21">
        <v>0.0</v>
      </c>
      <c r="K137" s="21">
        <v>0.0</v>
      </c>
      <c r="L137" s="21">
        <v>200.0</v>
      </c>
    </row>
    <row r="138">
      <c r="B138" s="20">
        <v>46241.0</v>
      </c>
      <c r="C138" s="21">
        <v>40.0</v>
      </c>
      <c r="D138" s="21">
        <v>0.0</v>
      </c>
      <c r="E138" s="21">
        <v>0.0</v>
      </c>
      <c r="F138" s="21">
        <v>0.0</v>
      </c>
      <c r="G138" s="21">
        <v>0.0</v>
      </c>
      <c r="H138" s="21">
        <v>0.0</v>
      </c>
      <c r="I138" s="21">
        <v>0.0</v>
      </c>
      <c r="J138" s="21">
        <v>0.0</v>
      </c>
      <c r="K138" s="21">
        <v>0.0</v>
      </c>
      <c r="L138" s="21">
        <v>40.0</v>
      </c>
    </row>
    <row r="139">
      <c r="B139" s="20">
        <v>46241.0</v>
      </c>
      <c r="C139" s="21">
        <v>160.0</v>
      </c>
      <c r="D139" s="21">
        <f t="shared" ref="D139:I139" si="144">0</f>
        <v>0</v>
      </c>
      <c r="E139" s="21">
        <f t="shared" si="144"/>
        <v>0</v>
      </c>
      <c r="F139" s="21">
        <f t="shared" si="144"/>
        <v>0</v>
      </c>
      <c r="G139" s="21">
        <f t="shared" si="144"/>
        <v>0</v>
      </c>
      <c r="H139" s="21">
        <f t="shared" si="144"/>
        <v>0</v>
      </c>
      <c r="I139" s="21">
        <f t="shared" si="144"/>
        <v>0</v>
      </c>
      <c r="J139" s="21">
        <f>160</f>
        <v>160</v>
      </c>
      <c r="K139" s="21">
        <f t="shared" ref="K139:L139" si="145">0</f>
        <v>0</v>
      </c>
      <c r="L139" s="21">
        <f t="shared" si="145"/>
        <v>0</v>
      </c>
    </row>
    <row r="140">
      <c r="B140" s="20">
        <v>46242.0</v>
      </c>
      <c r="C140" s="21">
        <v>420.0</v>
      </c>
      <c r="D140" s="21">
        <f t="shared" ref="D140:D144" si="147">0</f>
        <v>0</v>
      </c>
      <c r="E140" s="21">
        <f>336</f>
        <v>336</v>
      </c>
      <c r="F140" s="21">
        <f t="shared" ref="F140:K140" si="146">0</f>
        <v>0</v>
      </c>
      <c r="G140" s="21">
        <f t="shared" si="146"/>
        <v>0</v>
      </c>
      <c r="H140" s="21">
        <f t="shared" si="146"/>
        <v>0</v>
      </c>
      <c r="I140" s="21">
        <f t="shared" si="146"/>
        <v>0</v>
      </c>
      <c r="J140" s="21">
        <f t="shared" si="146"/>
        <v>0</v>
      </c>
      <c r="K140" s="21">
        <f t="shared" si="146"/>
        <v>0</v>
      </c>
      <c r="L140" s="21">
        <f>84</f>
        <v>84</v>
      </c>
    </row>
    <row r="141">
      <c r="B141" s="20">
        <v>46242.0</v>
      </c>
      <c r="C141" s="21">
        <v>80.0</v>
      </c>
      <c r="D141" s="21">
        <f t="shared" si="147"/>
        <v>0</v>
      </c>
      <c r="E141" s="21">
        <f t="shared" ref="E141:K141" si="148">0</f>
        <v>0</v>
      </c>
      <c r="F141" s="21">
        <f t="shared" si="148"/>
        <v>0</v>
      </c>
      <c r="G141" s="21">
        <f t="shared" si="148"/>
        <v>0</v>
      </c>
      <c r="H141" s="21">
        <f t="shared" si="148"/>
        <v>0</v>
      </c>
      <c r="I141" s="21">
        <f t="shared" si="148"/>
        <v>0</v>
      </c>
      <c r="J141" s="21">
        <f t="shared" si="148"/>
        <v>0</v>
      </c>
      <c r="K141" s="21">
        <f t="shared" si="148"/>
        <v>0</v>
      </c>
      <c r="L141" s="21">
        <f>80</f>
        <v>80</v>
      </c>
    </row>
    <row r="142">
      <c r="B142" s="20">
        <v>46242.0</v>
      </c>
      <c r="C142" s="21">
        <v>200.0</v>
      </c>
      <c r="D142" s="21">
        <f t="shared" si="147"/>
        <v>0</v>
      </c>
      <c r="E142" s="21">
        <f t="shared" ref="E142:K142" si="149">0</f>
        <v>0</v>
      </c>
      <c r="F142" s="21">
        <f t="shared" si="149"/>
        <v>0</v>
      </c>
      <c r="G142" s="21">
        <f t="shared" si="149"/>
        <v>0</v>
      </c>
      <c r="H142" s="21">
        <f t="shared" si="149"/>
        <v>0</v>
      </c>
      <c r="I142" s="21">
        <f t="shared" si="149"/>
        <v>0</v>
      </c>
      <c r="J142" s="21">
        <f t="shared" si="149"/>
        <v>0</v>
      </c>
      <c r="K142" s="21">
        <f t="shared" si="149"/>
        <v>0</v>
      </c>
      <c r="L142" s="21">
        <f>200</f>
        <v>200</v>
      </c>
    </row>
    <row r="143">
      <c r="B143" s="20">
        <v>46242.0</v>
      </c>
      <c r="C143" s="21">
        <v>120.0</v>
      </c>
      <c r="D143" s="21">
        <f t="shared" si="147"/>
        <v>0</v>
      </c>
      <c r="E143" s="21">
        <f t="shared" ref="E143:K143" si="150">0</f>
        <v>0</v>
      </c>
      <c r="F143" s="21">
        <f t="shared" si="150"/>
        <v>0</v>
      </c>
      <c r="G143" s="21">
        <f t="shared" si="150"/>
        <v>0</v>
      </c>
      <c r="H143" s="21">
        <f t="shared" si="150"/>
        <v>0</v>
      </c>
      <c r="I143" s="21">
        <f t="shared" si="150"/>
        <v>0</v>
      </c>
      <c r="J143" s="21">
        <f t="shared" si="150"/>
        <v>0</v>
      </c>
      <c r="K143" s="21">
        <f t="shared" si="150"/>
        <v>0</v>
      </c>
      <c r="L143" s="21">
        <f>120</f>
        <v>120</v>
      </c>
    </row>
    <row r="144">
      <c r="B144" s="20">
        <v>46243.0</v>
      </c>
      <c r="C144" s="21">
        <v>140.0</v>
      </c>
      <c r="D144" s="21">
        <f t="shared" si="147"/>
        <v>0</v>
      </c>
      <c r="E144" s="21">
        <f t="shared" ref="E144:K144" si="151">0</f>
        <v>0</v>
      </c>
      <c r="F144" s="21">
        <f t="shared" si="151"/>
        <v>0</v>
      </c>
      <c r="G144" s="21">
        <f t="shared" si="151"/>
        <v>0</v>
      </c>
      <c r="H144" s="21">
        <f t="shared" si="151"/>
        <v>0</v>
      </c>
      <c r="I144" s="21">
        <f t="shared" si="151"/>
        <v>0</v>
      </c>
      <c r="J144" s="21">
        <f t="shared" si="151"/>
        <v>0</v>
      </c>
      <c r="K144" s="21">
        <f t="shared" si="151"/>
        <v>0</v>
      </c>
      <c r="L144" s="21">
        <f>140</f>
        <v>140</v>
      </c>
    </row>
    <row r="145">
      <c r="B145" s="20">
        <v>46243.0</v>
      </c>
      <c r="C145" s="21">
        <v>260.0</v>
      </c>
      <c r="D145" s="21">
        <v>0.0</v>
      </c>
      <c r="E145" s="21">
        <v>0.0</v>
      </c>
      <c r="F145" s="21">
        <v>0.0</v>
      </c>
      <c r="G145" s="21">
        <v>0.0</v>
      </c>
      <c r="H145" s="21">
        <v>0.0</v>
      </c>
      <c r="I145" s="21">
        <v>0.0</v>
      </c>
      <c r="J145" s="21">
        <v>0.0</v>
      </c>
      <c r="K145" s="21">
        <v>0.0</v>
      </c>
      <c r="L145" s="21">
        <v>260.0</v>
      </c>
    </row>
    <row r="146">
      <c r="B146" s="20">
        <v>46243.0</v>
      </c>
      <c r="C146" s="21">
        <v>140.0</v>
      </c>
      <c r="D146" s="21">
        <f t="shared" ref="D146:K146" si="152">0</f>
        <v>0</v>
      </c>
      <c r="E146" s="21">
        <f t="shared" si="152"/>
        <v>0</v>
      </c>
      <c r="F146" s="21">
        <f t="shared" si="152"/>
        <v>0</v>
      </c>
      <c r="G146" s="21">
        <f t="shared" si="152"/>
        <v>0</v>
      </c>
      <c r="H146" s="21">
        <f t="shared" si="152"/>
        <v>0</v>
      </c>
      <c r="I146" s="21">
        <f t="shared" si="152"/>
        <v>0</v>
      </c>
      <c r="J146" s="21">
        <f t="shared" si="152"/>
        <v>0</v>
      </c>
      <c r="K146" s="21">
        <f t="shared" si="152"/>
        <v>0</v>
      </c>
      <c r="L146" s="21">
        <f>140</f>
        <v>140</v>
      </c>
    </row>
    <row r="147">
      <c r="B147" s="20">
        <v>46244.0</v>
      </c>
      <c r="C147" s="21">
        <v>60.0</v>
      </c>
      <c r="D147" s="21">
        <v>0.0</v>
      </c>
      <c r="E147" s="21">
        <v>0.0</v>
      </c>
      <c r="F147" s="21">
        <v>0.0</v>
      </c>
      <c r="G147" s="21">
        <v>0.0</v>
      </c>
      <c r="H147" s="21">
        <v>0.0</v>
      </c>
      <c r="I147" s="21">
        <v>0.0</v>
      </c>
      <c r="J147" s="21">
        <v>0.0</v>
      </c>
      <c r="K147" s="21">
        <v>0.0</v>
      </c>
      <c r="L147" s="21">
        <v>60.0</v>
      </c>
    </row>
    <row r="148">
      <c r="B148" s="20">
        <v>46244.0</v>
      </c>
      <c r="C148" s="21">
        <v>60.0</v>
      </c>
      <c r="D148" s="21">
        <f>60</f>
        <v>60</v>
      </c>
      <c r="E148" s="21">
        <f t="shared" ref="E148:L148" si="153">0</f>
        <v>0</v>
      </c>
      <c r="F148" s="21">
        <f t="shared" si="153"/>
        <v>0</v>
      </c>
      <c r="G148" s="21">
        <f t="shared" si="153"/>
        <v>0</v>
      </c>
      <c r="H148" s="21">
        <f t="shared" si="153"/>
        <v>0</v>
      </c>
      <c r="I148" s="21">
        <f t="shared" si="153"/>
        <v>0</v>
      </c>
      <c r="J148" s="21">
        <f t="shared" si="153"/>
        <v>0</v>
      </c>
      <c r="K148" s="21">
        <f t="shared" si="153"/>
        <v>0</v>
      </c>
      <c r="L148" s="21">
        <f t="shared" si="153"/>
        <v>0</v>
      </c>
    </row>
    <row r="149">
      <c r="B149" s="20">
        <v>46244.0</v>
      </c>
      <c r="C149" s="21">
        <v>120.0</v>
      </c>
      <c r="D149" s="21">
        <f t="shared" ref="D149:J149" si="154">0</f>
        <v>0</v>
      </c>
      <c r="E149" s="21">
        <f t="shared" si="154"/>
        <v>0</v>
      </c>
      <c r="F149" s="21">
        <f t="shared" si="154"/>
        <v>0</v>
      </c>
      <c r="G149" s="21">
        <f t="shared" si="154"/>
        <v>0</v>
      </c>
      <c r="H149" s="21">
        <f t="shared" si="154"/>
        <v>0</v>
      </c>
      <c r="I149" s="21">
        <f t="shared" si="154"/>
        <v>0</v>
      </c>
      <c r="J149" s="21">
        <f t="shared" si="154"/>
        <v>0</v>
      </c>
      <c r="K149" s="21">
        <f>12</f>
        <v>12</v>
      </c>
      <c r="L149" s="21">
        <f>108</f>
        <v>108</v>
      </c>
    </row>
    <row r="150">
      <c r="B150" s="20">
        <v>46244.0</v>
      </c>
      <c r="C150" s="21">
        <v>200.0</v>
      </c>
      <c r="D150" s="21">
        <v>0.0</v>
      </c>
      <c r="E150" s="21">
        <v>0.0</v>
      </c>
      <c r="F150" s="21">
        <v>0.0</v>
      </c>
      <c r="G150" s="21">
        <v>0.0</v>
      </c>
      <c r="H150" s="21">
        <v>0.0</v>
      </c>
      <c r="I150" s="21">
        <v>0.0</v>
      </c>
      <c r="J150" s="21">
        <v>0.0</v>
      </c>
      <c r="K150" s="21">
        <v>0.0</v>
      </c>
      <c r="L150" s="21">
        <v>200.0</v>
      </c>
    </row>
    <row r="151">
      <c r="B151" s="20">
        <v>46245.0</v>
      </c>
      <c r="C151" s="21">
        <v>160.0</v>
      </c>
      <c r="D151" s="21">
        <f>0</f>
        <v>0</v>
      </c>
      <c r="E151" s="21">
        <f>160</f>
        <v>160</v>
      </c>
      <c r="F151" s="21">
        <f t="shared" ref="F151:L151" si="155">0</f>
        <v>0</v>
      </c>
      <c r="G151" s="21">
        <f t="shared" si="155"/>
        <v>0</v>
      </c>
      <c r="H151" s="21">
        <f t="shared" si="155"/>
        <v>0</v>
      </c>
      <c r="I151" s="21">
        <f t="shared" si="155"/>
        <v>0</v>
      </c>
      <c r="J151" s="21">
        <f t="shared" si="155"/>
        <v>0</v>
      </c>
      <c r="K151" s="21">
        <f t="shared" si="155"/>
        <v>0</v>
      </c>
      <c r="L151" s="21">
        <f t="shared" si="155"/>
        <v>0</v>
      </c>
    </row>
    <row r="152">
      <c r="B152" s="20">
        <v>46245.0</v>
      </c>
      <c r="C152" s="21">
        <v>120.0</v>
      </c>
      <c r="D152" s="21">
        <f>120</f>
        <v>120</v>
      </c>
      <c r="E152" s="21">
        <f t="shared" ref="E152:L152" si="156">0</f>
        <v>0</v>
      </c>
      <c r="F152" s="21">
        <f t="shared" si="156"/>
        <v>0</v>
      </c>
      <c r="G152" s="21">
        <f t="shared" si="156"/>
        <v>0</v>
      </c>
      <c r="H152" s="21">
        <f t="shared" si="156"/>
        <v>0</v>
      </c>
      <c r="I152" s="21">
        <f t="shared" si="156"/>
        <v>0</v>
      </c>
      <c r="J152" s="21">
        <f t="shared" si="156"/>
        <v>0</v>
      </c>
      <c r="K152" s="21">
        <f t="shared" si="156"/>
        <v>0</v>
      </c>
      <c r="L152" s="21">
        <f t="shared" si="156"/>
        <v>0</v>
      </c>
    </row>
    <row r="153">
      <c r="B153" s="20">
        <v>46245.0</v>
      </c>
      <c r="C153" s="21">
        <v>140.0</v>
      </c>
      <c r="D153" s="21">
        <f t="shared" ref="D153:K153" si="157">0</f>
        <v>0</v>
      </c>
      <c r="E153" s="21">
        <f t="shared" si="157"/>
        <v>0</v>
      </c>
      <c r="F153" s="21">
        <f t="shared" si="157"/>
        <v>0</v>
      </c>
      <c r="G153" s="21">
        <f t="shared" si="157"/>
        <v>0</v>
      </c>
      <c r="H153" s="21">
        <f t="shared" si="157"/>
        <v>0</v>
      </c>
      <c r="I153" s="21">
        <f t="shared" si="157"/>
        <v>0</v>
      </c>
      <c r="J153" s="21">
        <f t="shared" si="157"/>
        <v>0</v>
      </c>
      <c r="K153" s="21">
        <f t="shared" si="157"/>
        <v>0</v>
      </c>
      <c r="L153" s="21">
        <f>140</f>
        <v>140</v>
      </c>
    </row>
    <row r="154">
      <c r="B154" s="20">
        <v>46245.0</v>
      </c>
      <c r="C154" s="21">
        <v>80.0</v>
      </c>
      <c r="D154" s="21">
        <f t="shared" ref="D154:F154" si="158">0</f>
        <v>0</v>
      </c>
      <c r="E154" s="21">
        <f t="shared" si="158"/>
        <v>0</v>
      </c>
      <c r="F154" s="21">
        <f t="shared" si="158"/>
        <v>0</v>
      </c>
      <c r="G154" s="21">
        <f>80</f>
        <v>80</v>
      </c>
      <c r="H154" s="21">
        <f t="shared" ref="H154:L154" si="159">0</f>
        <v>0</v>
      </c>
      <c r="I154" s="21">
        <f t="shared" si="159"/>
        <v>0</v>
      </c>
      <c r="J154" s="21">
        <f t="shared" si="159"/>
        <v>0</v>
      </c>
      <c r="K154" s="21">
        <f t="shared" si="159"/>
        <v>0</v>
      </c>
      <c r="L154" s="21">
        <f t="shared" si="159"/>
        <v>0</v>
      </c>
    </row>
    <row r="155">
      <c r="B155" s="20">
        <v>46246.0</v>
      </c>
      <c r="C155" s="21">
        <v>20.0</v>
      </c>
      <c r="D155" s="21">
        <f t="shared" ref="D155:K155" si="160">0</f>
        <v>0</v>
      </c>
      <c r="E155" s="21">
        <f t="shared" si="160"/>
        <v>0</v>
      </c>
      <c r="F155" s="21">
        <f t="shared" si="160"/>
        <v>0</v>
      </c>
      <c r="G155" s="21">
        <f t="shared" si="160"/>
        <v>0</v>
      </c>
      <c r="H155" s="21">
        <f t="shared" si="160"/>
        <v>0</v>
      </c>
      <c r="I155" s="21">
        <f t="shared" si="160"/>
        <v>0</v>
      </c>
      <c r="J155" s="21">
        <f t="shared" si="160"/>
        <v>0</v>
      </c>
      <c r="K155" s="21">
        <f t="shared" si="160"/>
        <v>0</v>
      </c>
      <c r="L155" s="21">
        <f>20</f>
        <v>20</v>
      </c>
    </row>
    <row r="156">
      <c r="B156" s="20">
        <v>46246.0</v>
      </c>
      <c r="C156" s="21">
        <v>60.0</v>
      </c>
      <c r="D156" s="21">
        <f t="shared" ref="D156:K156" si="161">0</f>
        <v>0</v>
      </c>
      <c r="E156" s="21">
        <f t="shared" si="161"/>
        <v>0</v>
      </c>
      <c r="F156" s="21">
        <f t="shared" si="161"/>
        <v>0</v>
      </c>
      <c r="G156" s="21">
        <f t="shared" si="161"/>
        <v>0</v>
      </c>
      <c r="H156" s="21">
        <f t="shared" si="161"/>
        <v>0</v>
      </c>
      <c r="I156" s="21">
        <f t="shared" si="161"/>
        <v>0</v>
      </c>
      <c r="J156" s="21">
        <f t="shared" si="161"/>
        <v>0</v>
      </c>
      <c r="K156" s="21">
        <f t="shared" si="161"/>
        <v>0</v>
      </c>
      <c r="L156" s="21">
        <f>60</f>
        <v>60</v>
      </c>
    </row>
    <row r="157">
      <c r="B157" s="20">
        <v>46246.0</v>
      </c>
      <c r="C157" s="21">
        <v>100.0</v>
      </c>
      <c r="D157" s="21">
        <f t="shared" ref="D157:K157" si="162">0</f>
        <v>0</v>
      </c>
      <c r="E157" s="21">
        <f t="shared" si="162"/>
        <v>0</v>
      </c>
      <c r="F157" s="21">
        <f t="shared" si="162"/>
        <v>0</v>
      </c>
      <c r="G157" s="21">
        <f t="shared" si="162"/>
        <v>0</v>
      </c>
      <c r="H157" s="21">
        <f t="shared" si="162"/>
        <v>0</v>
      </c>
      <c r="I157" s="21">
        <f t="shared" si="162"/>
        <v>0</v>
      </c>
      <c r="J157" s="21">
        <f t="shared" si="162"/>
        <v>0</v>
      </c>
      <c r="K157" s="21">
        <f t="shared" si="162"/>
        <v>0</v>
      </c>
      <c r="L157" s="21">
        <f>100</f>
        <v>100</v>
      </c>
    </row>
    <row r="158">
      <c r="B158" s="20">
        <v>46246.0</v>
      </c>
      <c r="C158" s="21">
        <v>20.0</v>
      </c>
      <c r="D158" s="21">
        <f t="shared" ref="D158:K158" si="163">0</f>
        <v>0</v>
      </c>
      <c r="E158" s="21">
        <f t="shared" si="163"/>
        <v>0</v>
      </c>
      <c r="F158" s="21">
        <f t="shared" si="163"/>
        <v>0</v>
      </c>
      <c r="G158" s="21">
        <f t="shared" si="163"/>
        <v>0</v>
      </c>
      <c r="H158" s="21">
        <f t="shared" si="163"/>
        <v>0</v>
      </c>
      <c r="I158" s="21">
        <f t="shared" si="163"/>
        <v>0</v>
      </c>
      <c r="J158" s="21">
        <f t="shared" si="163"/>
        <v>0</v>
      </c>
      <c r="K158" s="21">
        <f t="shared" si="163"/>
        <v>0</v>
      </c>
      <c r="L158" s="21">
        <f>20</f>
        <v>20</v>
      </c>
    </row>
    <row r="159">
      <c r="B159" s="20">
        <v>46247.0</v>
      </c>
      <c r="C159" s="21">
        <v>40.0</v>
      </c>
      <c r="D159" s="21">
        <v>0.0</v>
      </c>
      <c r="E159" s="21">
        <v>0.0</v>
      </c>
      <c r="F159" s="21">
        <v>0.0</v>
      </c>
      <c r="G159" s="21">
        <v>0.0</v>
      </c>
      <c r="H159" s="21">
        <v>0.0</v>
      </c>
      <c r="I159" s="21">
        <v>0.0</v>
      </c>
      <c r="J159" s="21">
        <v>0.0</v>
      </c>
      <c r="K159" s="21">
        <v>0.0</v>
      </c>
      <c r="L159" s="21">
        <v>40.0</v>
      </c>
    </row>
    <row r="160">
      <c r="B160" s="20">
        <v>46247.0</v>
      </c>
      <c r="C160" s="21">
        <v>180.0</v>
      </c>
      <c r="D160" s="21">
        <f t="shared" ref="D160:K160" si="164">0</f>
        <v>0</v>
      </c>
      <c r="E160" s="21">
        <f t="shared" si="164"/>
        <v>0</v>
      </c>
      <c r="F160" s="21">
        <f t="shared" si="164"/>
        <v>0</v>
      </c>
      <c r="G160" s="21">
        <f t="shared" si="164"/>
        <v>0</v>
      </c>
      <c r="H160" s="21">
        <f t="shared" si="164"/>
        <v>0</v>
      </c>
      <c r="I160" s="21">
        <f t="shared" si="164"/>
        <v>0</v>
      </c>
      <c r="J160" s="21">
        <f t="shared" si="164"/>
        <v>0</v>
      </c>
      <c r="K160" s="21">
        <f t="shared" si="164"/>
        <v>0</v>
      </c>
      <c r="L160" s="21">
        <f>180</f>
        <v>180</v>
      </c>
    </row>
    <row r="161">
      <c r="B161" s="20">
        <v>46247.0</v>
      </c>
      <c r="C161" s="21">
        <v>40.0</v>
      </c>
      <c r="D161" s="21">
        <f t="shared" ref="D161:F161" si="165">0</f>
        <v>0</v>
      </c>
      <c r="E161" s="21">
        <f t="shared" si="165"/>
        <v>0</v>
      </c>
      <c r="F161" s="21">
        <f t="shared" si="165"/>
        <v>0</v>
      </c>
      <c r="G161" s="21">
        <f>40</f>
        <v>40</v>
      </c>
      <c r="H161" s="21">
        <f t="shared" ref="H161:L161" si="166">0</f>
        <v>0</v>
      </c>
      <c r="I161" s="21">
        <f t="shared" si="166"/>
        <v>0</v>
      </c>
      <c r="J161" s="21">
        <f t="shared" si="166"/>
        <v>0</v>
      </c>
      <c r="K161" s="21">
        <f t="shared" si="166"/>
        <v>0</v>
      </c>
      <c r="L161" s="21">
        <f t="shared" si="166"/>
        <v>0</v>
      </c>
    </row>
    <row r="162">
      <c r="B162" s="20">
        <v>46247.0</v>
      </c>
      <c r="C162" s="21">
        <v>240.0</v>
      </c>
      <c r="D162" s="21">
        <f t="shared" ref="D162:E162" si="167">0</f>
        <v>0</v>
      </c>
      <c r="E162" s="21">
        <f t="shared" si="167"/>
        <v>0</v>
      </c>
      <c r="F162" s="21">
        <f>24</f>
        <v>24</v>
      </c>
      <c r="G162" s="21">
        <f>48</f>
        <v>48</v>
      </c>
      <c r="H162" s="21">
        <f t="shared" ref="H162:I162" si="168">0</f>
        <v>0</v>
      </c>
      <c r="I162" s="21">
        <f t="shared" si="168"/>
        <v>0</v>
      </c>
      <c r="J162" s="21">
        <f>24</f>
        <v>24</v>
      </c>
      <c r="K162" s="21">
        <f t="shared" ref="K162:L162" si="169">72</f>
        <v>72</v>
      </c>
      <c r="L162" s="21">
        <f t="shared" si="169"/>
        <v>72</v>
      </c>
    </row>
    <row r="163">
      <c r="B163" s="20">
        <v>46248.0</v>
      </c>
      <c r="C163" s="21">
        <v>140.0</v>
      </c>
      <c r="D163" s="21">
        <f t="shared" ref="D163:K163" si="170">0</f>
        <v>0</v>
      </c>
      <c r="E163" s="21">
        <f t="shared" si="170"/>
        <v>0</v>
      </c>
      <c r="F163" s="21">
        <f t="shared" si="170"/>
        <v>0</v>
      </c>
      <c r="G163" s="21">
        <f t="shared" si="170"/>
        <v>0</v>
      </c>
      <c r="H163" s="21">
        <f t="shared" si="170"/>
        <v>0</v>
      </c>
      <c r="I163" s="21">
        <f t="shared" si="170"/>
        <v>0</v>
      </c>
      <c r="J163" s="21">
        <f t="shared" si="170"/>
        <v>0</v>
      </c>
      <c r="K163" s="21">
        <f t="shared" si="170"/>
        <v>0</v>
      </c>
      <c r="L163" s="21">
        <f>140</f>
        <v>140</v>
      </c>
    </row>
    <row r="164">
      <c r="B164" s="20">
        <v>46248.0</v>
      </c>
      <c r="C164" s="21">
        <v>60.0</v>
      </c>
      <c r="D164" s="21">
        <f t="shared" ref="D164:K164" si="171">0</f>
        <v>0</v>
      </c>
      <c r="E164" s="21">
        <f t="shared" si="171"/>
        <v>0</v>
      </c>
      <c r="F164" s="21">
        <f t="shared" si="171"/>
        <v>0</v>
      </c>
      <c r="G164" s="21">
        <f t="shared" si="171"/>
        <v>0</v>
      </c>
      <c r="H164" s="21">
        <f t="shared" si="171"/>
        <v>0</v>
      </c>
      <c r="I164" s="21">
        <f t="shared" si="171"/>
        <v>0</v>
      </c>
      <c r="J164" s="21">
        <f t="shared" si="171"/>
        <v>0</v>
      </c>
      <c r="K164" s="21">
        <f t="shared" si="171"/>
        <v>0</v>
      </c>
      <c r="L164" s="21">
        <f>60</f>
        <v>60</v>
      </c>
    </row>
    <row r="165">
      <c r="B165" s="20">
        <v>46248.0</v>
      </c>
      <c r="C165" s="21">
        <v>80.0</v>
      </c>
      <c r="D165" s="21">
        <f t="shared" ref="D165:K165" si="172">0</f>
        <v>0</v>
      </c>
      <c r="E165" s="21">
        <f t="shared" si="172"/>
        <v>0</v>
      </c>
      <c r="F165" s="21">
        <f t="shared" si="172"/>
        <v>0</v>
      </c>
      <c r="G165" s="21">
        <f t="shared" si="172"/>
        <v>0</v>
      </c>
      <c r="H165" s="21">
        <f t="shared" si="172"/>
        <v>0</v>
      </c>
      <c r="I165" s="21">
        <f t="shared" si="172"/>
        <v>0</v>
      </c>
      <c r="J165" s="21">
        <f t="shared" si="172"/>
        <v>0</v>
      </c>
      <c r="K165" s="21">
        <f t="shared" si="172"/>
        <v>0</v>
      </c>
      <c r="L165" s="21">
        <f>80</f>
        <v>80</v>
      </c>
    </row>
    <row r="166">
      <c r="B166" s="20">
        <v>46248.0</v>
      </c>
      <c r="C166" s="21">
        <v>340.0</v>
      </c>
      <c r="D166" s="21">
        <f>340</f>
        <v>340</v>
      </c>
      <c r="E166" s="21">
        <f t="shared" ref="E166:L166" si="173">0</f>
        <v>0</v>
      </c>
      <c r="F166" s="21">
        <f t="shared" si="173"/>
        <v>0</v>
      </c>
      <c r="G166" s="21">
        <f t="shared" si="173"/>
        <v>0</v>
      </c>
      <c r="H166" s="21">
        <f t="shared" si="173"/>
        <v>0</v>
      </c>
      <c r="I166" s="21">
        <f t="shared" si="173"/>
        <v>0</v>
      </c>
      <c r="J166" s="21">
        <f t="shared" si="173"/>
        <v>0</v>
      </c>
      <c r="K166" s="21">
        <f t="shared" si="173"/>
        <v>0</v>
      </c>
      <c r="L166" s="21">
        <f t="shared" si="173"/>
        <v>0</v>
      </c>
    </row>
    <row r="167">
      <c r="B167" s="20">
        <v>46248.0</v>
      </c>
      <c r="C167" s="21">
        <v>140.0</v>
      </c>
      <c r="D167" s="21">
        <f t="shared" ref="D167:K167" si="174">0</f>
        <v>0</v>
      </c>
      <c r="E167" s="21">
        <f t="shared" si="174"/>
        <v>0</v>
      </c>
      <c r="F167" s="21">
        <f t="shared" si="174"/>
        <v>0</v>
      </c>
      <c r="G167" s="21">
        <f t="shared" si="174"/>
        <v>0</v>
      </c>
      <c r="H167" s="21">
        <f t="shared" si="174"/>
        <v>0</v>
      </c>
      <c r="I167" s="21">
        <f t="shared" si="174"/>
        <v>0</v>
      </c>
      <c r="J167" s="21">
        <f t="shared" si="174"/>
        <v>0</v>
      </c>
      <c r="K167" s="21">
        <f t="shared" si="174"/>
        <v>0</v>
      </c>
      <c r="L167" s="21">
        <f>140</f>
        <v>140</v>
      </c>
    </row>
    <row r="168">
      <c r="B168" s="20">
        <v>46248.0</v>
      </c>
      <c r="C168" s="21">
        <v>180.0</v>
      </c>
      <c r="D168" s="21">
        <f t="shared" ref="D168:F168" si="175">0</f>
        <v>0</v>
      </c>
      <c r="E168" s="21">
        <f t="shared" si="175"/>
        <v>0</v>
      </c>
      <c r="F168" s="21">
        <f t="shared" si="175"/>
        <v>0</v>
      </c>
      <c r="G168" s="21">
        <f>9</f>
        <v>9</v>
      </c>
      <c r="H168" s="21">
        <f t="shared" ref="H168:K168" si="176">0</f>
        <v>0</v>
      </c>
      <c r="I168" s="21">
        <f t="shared" si="176"/>
        <v>0</v>
      </c>
      <c r="J168" s="21">
        <f t="shared" si="176"/>
        <v>0</v>
      </c>
      <c r="K168" s="21">
        <f t="shared" si="176"/>
        <v>0</v>
      </c>
      <c r="L168" s="21">
        <f>171</f>
        <v>171</v>
      </c>
    </row>
    <row r="169">
      <c r="B169" s="20">
        <v>46248.0</v>
      </c>
      <c r="C169" s="21">
        <v>40.0</v>
      </c>
      <c r="D169" s="21">
        <f t="shared" ref="D169:K169" si="177">0</f>
        <v>0</v>
      </c>
      <c r="E169" s="21">
        <f t="shared" si="177"/>
        <v>0</v>
      </c>
      <c r="F169" s="21">
        <f t="shared" si="177"/>
        <v>0</v>
      </c>
      <c r="G169" s="21">
        <f t="shared" si="177"/>
        <v>0</v>
      </c>
      <c r="H169" s="21">
        <f t="shared" si="177"/>
        <v>0</v>
      </c>
      <c r="I169" s="21">
        <f t="shared" si="177"/>
        <v>0</v>
      </c>
      <c r="J169" s="21">
        <f t="shared" si="177"/>
        <v>0</v>
      </c>
      <c r="K169" s="21">
        <f t="shared" si="177"/>
        <v>0</v>
      </c>
      <c r="L169" s="21">
        <f>40</f>
        <v>40</v>
      </c>
    </row>
    <row r="170">
      <c r="B170" s="20">
        <v>46249.0</v>
      </c>
      <c r="C170" s="21">
        <v>280.0</v>
      </c>
      <c r="D170" s="21">
        <f t="shared" ref="D170:K170" si="178">0</f>
        <v>0</v>
      </c>
      <c r="E170" s="21">
        <f t="shared" si="178"/>
        <v>0</v>
      </c>
      <c r="F170" s="21">
        <f t="shared" si="178"/>
        <v>0</v>
      </c>
      <c r="G170" s="21">
        <f t="shared" si="178"/>
        <v>0</v>
      </c>
      <c r="H170" s="21">
        <f t="shared" si="178"/>
        <v>0</v>
      </c>
      <c r="I170" s="21">
        <f t="shared" si="178"/>
        <v>0</v>
      </c>
      <c r="J170" s="21">
        <f t="shared" si="178"/>
        <v>0</v>
      </c>
      <c r="K170" s="21">
        <f t="shared" si="178"/>
        <v>0</v>
      </c>
      <c r="L170" s="21">
        <f>280</f>
        <v>280</v>
      </c>
    </row>
    <row r="171">
      <c r="B171" s="20">
        <v>46249.0</v>
      </c>
      <c r="C171" s="21">
        <v>160.0</v>
      </c>
      <c r="D171" s="21">
        <f t="shared" ref="D171:K171" si="179">0</f>
        <v>0</v>
      </c>
      <c r="E171" s="21">
        <f t="shared" si="179"/>
        <v>0</v>
      </c>
      <c r="F171" s="21">
        <f t="shared" si="179"/>
        <v>0</v>
      </c>
      <c r="G171" s="21">
        <f t="shared" si="179"/>
        <v>0</v>
      </c>
      <c r="H171" s="21">
        <f t="shared" si="179"/>
        <v>0</v>
      </c>
      <c r="I171" s="21">
        <f t="shared" si="179"/>
        <v>0</v>
      </c>
      <c r="J171" s="21">
        <f t="shared" si="179"/>
        <v>0</v>
      </c>
      <c r="K171" s="21">
        <f t="shared" si="179"/>
        <v>0</v>
      </c>
      <c r="L171" s="21">
        <f>160</f>
        <v>160</v>
      </c>
    </row>
    <row r="172">
      <c r="B172" s="20">
        <v>46249.0</v>
      </c>
      <c r="C172" s="21">
        <v>40.0</v>
      </c>
      <c r="D172" s="21">
        <f t="shared" ref="D172:F172" si="180">0</f>
        <v>0</v>
      </c>
      <c r="E172" s="21">
        <f t="shared" si="180"/>
        <v>0</v>
      </c>
      <c r="F172" s="21">
        <f t="shared" si="180"/>
        <v>0</v>
      </c>
      <c r="G172" s="21">
        <f>40</f>
        <v>40</v>
      </c>
      <c r="H172" s="21">
        <f t="shared" ref="H172:L172" si="181">0</f>
        <v>0</v>
      </c>
      <c r="I172" s="21">
        <f t="shared" si="181"/>
        <v>0</v>
      </c>
      <c r="J172" s="21">
        <f t="shared" si="181"/>
        <v>0</v>
      </c>
      <c r="K172" s="21">
        <f t="shared" si="181"/>
        <v>0</v>
      </c>
      <c r="L172" s="21">
        <f t="shared" si="181"/>
        <v>0</v>
      </c>
    </row>
    <row r="173">
      <c r="B173" s="20">
        <v>46250.0</v>
      </c>
      <c r="C173" s="21">
        <v>80.0</v>
      </c>
      <c r="D173" s="21">
        <f t="shared" ref="D173:E173" si="182">0</f>
        <v>0</v>
      </c>
      <c r="E173" s="21">
        <f t="shared" si="182"/>
        <v>0</v>
      </c>
      <c r="F173" s="21">
        <f>16</f>
        <v>16</v>
      </c>
      <c r="G173" s="21">
        <f>48</f>
        <v>48</v>
      </c>
      <c r="H173" s="21">
        <f>16</f>
        <v>16</v>
      </c>
      <c r="I173" s="21">
        <f t="shared" ref="I173:L173" si="183">0</f>
        <v>0</v>
      </c>
      <c r="J173" s="21">
        <f t="shared" si="183"/>
        <v>0</v>
      </c>
      <c r="K173" s="21">
        <f t="shared" si="183"/>
        <v>0</v>
      </c>
      <c r="L173" s="21">
        <f t="shared" si="183"/>
        <v>0</v>
      </c>
    </row>
    <row r="174">
      <c r="B174" s="20">
        <v>46250.0</v>
      </c>
      <c r="C174" s="21">
        <v>120.0</v>
      </c>
      <c r="D174" s="21">
        <f t="shared" ref="D174:D179" si="185">0</f>
        <v>0</v>
      </c>
      <c r="E174" s="21">
        <f>120</f>
        <v>120</v>
      </c>
      <c r="F174" s="21">
        <f t="shared" ref="F174:L174" si="184">0</f>
        <v>0</v>
      </c>
      <c r="G174" s="21">
        <f t="shared" si="184"/>
        <v>0</v>
      </c>
      <c r="H174" s="21">
        <f t="shared" si="184"/>
        <v>0</v>
      </c>
      <c r="I174" s="21">
        <f t="shared" si="184"/>
        <v>0</v>
      </c>
      <c r="J174" s="21">
        <f t="shared" si="184"/>
        <v>0</v>
      </c>
      <c r="K174" s="21">
        <f t="shared" si="184"/>
        <v>0</v>
      </c>
      <c r="L174" s="21">
        <f t="shared" si="184"/>
        <v>0</v>
      </c>
    </row>
    <row r="175">
      <c r="B175" s="20">
        <v>46250.0</v>
      </c>
      <c r="C175" s="21">
        <v>100.0</v>
      </c>
      <c r="D175" s="21">
        <f t="shared" si="185"/>
        <v>0</v>
      </c>
      <c r="E175" s="21">
        <f t="shared" ref="E175:K175" si="186">0</f>
        <v>0</v>
      </c>
      <c r="F175" s="21">
        <f t="shared" si="186"/>
        <v>0</v>
      </c>
      <c r="G175" s="21">
        <f t="shared" si="186"/>
        <v>0</v>
      </c>
      <c r="H175" s="21">
        <f t="shared" si="186"/>
        <v>0</v>
      </c>
      <c r="I175" s="21">
        <f t="shared" si="186"/>
        <v>0</v>
      </c>
      <c r="J175" s="21">
        <f t="shared" si="186"/>
        <v>0</v>
      </c>
      <c r="K175" s="21">
        <f t="shared" si="186"/>
        <v>0</v>
      </c>
      <c r="L175" s="21">
        <f>100</f>
        <v>100</v>
      </c>
    </row>
    <row r="176">
      <c r="B176" s="20">
        <v>46251.0</v>
      </c>
      <c r="C176" s="21">
        <v>140.0</v>
      </c>
      <c r="D176" s="21">
        <f t="shared" si="185"/>
        <v>0</v>
      </c>
      <c r="E176" s="21">
        <f t="shared" ref="E176:K176" si="187">0</f>
        <v>0</v>
      </c>
      <c r="F176" s="21">
        <f t="shared" si="187"/>
        <v>0</v>
      </c>
      <c r="G176" s="21">
        <f t="shared" si="187"/>
        <v>0</v>
      </c>
      <c r="H176" s="21">
        <f t="shared" si="187"/>
        <v>0</v>
      </c>
      <c r="I176" s="21">
        <f t="shared" si="187"/>
        <v>0</v>
      </c>
      <c r="J176" s="21">
        <f t="shared" si="187"/>
        <v>0</v>
      </c>
      <c r="K176" s="21">
        <f t="shared" si="187"/>
        <v>0</v>
      </c>
      <c r="L176" s="21">
        <f>140</f>
        <v>140</v>
      </c>
    </row>
    <row r="177">
      <c r="B177" s="20">
        <v>46251.0</v>
      </c>
      <c r="C177" s="21">
        <v>40.0</v>
      </c>
      <c r="D177" s="21">
        <f t="shared" si="185"/>
        <v>0</v>
      </c>
      <c r="E177" s="21">
        <f t="shared" ref="E177:K177" si="188">0</f>
        <v>0</v>
      </c>
      <c r="F177" s="21">
        <f t="shared" si="188"/>
        <v>0</v>
      </c>
      <c r="G177" s="21">
        <f t="shared" si="188"/>
        <v>0</v>
      </c>
      <c r="H177" s="21">
        <f t="shared" si="188"/>
        <v>0</v>
      </c>
      <c r="I177" s="21">
        <f t="shared" si="188"/>
        <v>0</v>
      </c>
      <c r="J177" s="21">
        <f t="shared" si="188"/>
        <v>0</v>
      </c>
      <c r="K177" s="21">
        <f t="shared" si="188"/>
        <v>0</v>
      </c>
      <c r="L177" s="21">
        <f>40</f>
        <v>40</v>
      </c>
    </row>
    <row r="178">
      <c r="B178" s="20">
        <v>46251.0</v>
      </c>
      <c r="C178" s="21">
        <v>300.0</v>
      </c>
      <c r="D178" s="21">
        <f t="shared" si="185"/>
        <v>0</v>
      </c>
      <c r="E178" s="21">
        <f>300</f>
        <v>300</v>
      </c>
      <c r="F178" s="21">
        <f t="shared" ref="F178:L178" si="189">0</f>
        <v>0</v>
      </c>
      <c r="G178" s="21">
        <f t="shared" si="189"/>
        <v>0</v>
      </c>
      <c r="H178" s="21">
        <f t="shared" si="189"/>
        <v>0</v>
      </c>
      <c r="I178" s="21">
        <f t="shared" si="189"/>
        <v>0</v>
      </c>
      <c r="J178" s="21">
        <f t="shared" si="189"/>
        <v>0</v>
      </c>
      <c r="K178" s="21">
        <f t="shared" si="189"/>
        <v>0</v>
      </c>
      <c r="L178" s="21">
        <f t="shared" si="189"/>
        <v>0</v>
      </c>
    </row>
    <row r="179">
      <c r="B179" s="20">
        <v>46251.0</v>
      </c>
      <c r="C179" s="21">
        <v>180.0</v>
      </c>
      <c r="D179" s="21">
        <f t="shared" si="185"/>
        <v>0</v>
      </c>
      <c r="E179" s="21">
        <f t="shared" ref="E179:K179" si="190">0</f>
        <v>0</v>
      </c>
      <c r="F179" s="21">
        <f t="shared" si="190"/>
        <v>0</v>
      </c>
      <c r="G179" s="21">
        <f t="shared" si="190"/>
        <v>0</v>
      </c>
      <c r="H179" s="21">
        <f t="shared" si="190"/>
        <v>0</v>
      </c>
      <c r="I179" s="21">
        <f t="shared" si="190"/>
        <v>0</v>
      </c>
      <c r="J179" s="21">
        <f t="shared" si="190"/>
        <v>0</v>
      </c>
      <c r="K179" s="21">
        <f t="shared" si="190"/>
        <v>0</v>
      </c>
      <c r="L179" s="21">
        <f>180</f>
        <v>180</v>
      </c>
    </row>
    <row r="180">
      <c r="B180" s="20">
        <v>46252.0</v>
      </c>
      <c r="C180" s="21">
        <v>180.0</v>
      </c>
      <c r="D180" s="21">
        <f>180</f>
        <v>180</v>
      </c>
      <c r="E180" s="21">
        <f t="shared" ref="E180:L180" si="191">0</f>
        <v>0</v>
      </c>
      <c r="F180" s="21">
        <f t="shared" si="191"/>
        <v>0</v>
      </c>
      <c r="G180" s="21">
        <f t="shared" si="191"/>
        <v>0</v>
      </c>
      <c r="H180" s="21">
        <f t="shared" si="191"/>
        <v>0</v>
      </c>
      <c r="I180" s="21">
        <f t="shared" si="191"/>
        <v>0</v>
      </c>
      <c r="J180" s="21">
        <f t="shared" si="191"/>
        <v>0</v>
      </c>
      <c r="K180" s="21">
        <f t="shared" si="191"/>
        <v>0</v>
      </c>
      <c r="L180" s="21">
        <f t="shared" si="191"/>
        <v>0</v>
      </c>
    </row>
    <row r="181">
      <c r="B181" s="20">
        <v>46252.0</v>
      </c>
      <c r="C181" s="21">
        <v>60.0</v>
      </c>
      <c r="D181" s="21">
        <f t="shared" ref="D181:F181" si="192">0</f>
        <v>0</v>
      </c>
      <c r="E181" s="21">
        <f t="shared" si="192"/>
        <v>0</v>
      </c>
      <c r="F181" s="21">
        <f t="shared" si="192"/>
        <v>0</v>
      </c>
      <c r="G181" s="21">
        <f>60</f>
        <v>60</v>
      </c>
      <c r="H181" s="21">
        <f t="shared" ref="H181:L181" si="193">0</f>
        <v>0</v>
      </c>
      <c r="I181" s="21">
        <f t="shared" si="193"/>
        <v>0</v>
      </c>
      <c r="J181" s="21">
        <f t="shared" si="193"/>
        <v>0</v>
      </c>
      <c r="K181" s="21">
        <f t="shared" si="193"/>
        <v>0</v>
      </c>
      <c r="L181" s="21">
        <f t="shared" si="193"/>
        <v>0</v>
      </c>
    </row>
    <row r="182">
      <c r="B182" s="20">
        <v>46252.0</v>
      </c>
      <c r="C182" s="21">
        <v>0.0</v>
      </c>
      <c r="D182" s="21">
        <f t="shared" ref="D182:L182" si="194">0</f>
        <v>0</v>
      </c>
      <c r="E182" s="21">
        <f t="shared" si="194"/>
        <v>0</v>
      </c>
      <c r="F182" s="21">
        <f t="shared" si="194"/>
        <v>0</v>
      </c>
      <c r="G182" s="21">
        <f t="shared" si="194"/>
        <v>0</v>
      </c>
      <c r="H182" s="21">
        <f t="shared" si="194"/>
        <v>0</v>
      </c>
      <c r="I182" s="21">
        <f t="shared" si="194"/>
        <v>0</v>
      </c>
      <c r="J182" s="21">
        <f t="shared" si="194"/>
        <v>0</v>
      </c>
      <c r="K182" s="21">
        <f t="shared" si="194"/>
        <v>0</v>
      </c>
      <c r="L182" s="21">
        <f t="shared" si="194"/>
        <v>0</v>
      </c>
    </row>
    <row r="183">
      <c r="B183" s="20">
        <v>46252.0</v>
      </c>
      <c r="C183" s="21">
        <v>40.0</v>
      </c>
      <c r="D183" s="21">
        <f t="shared" ref="D183:K183" si="195">0</f>
        <v>0</v>
      </c>
      <c r="E183" s="21">
        <f t="shared" si="195"/>
        <v>0</v>
      </c>
      <c r="F183" s="21">
        <f t="shared" si="195"/>
        <v>0</v>
      </c>
      <c r="G183" s="21">
        <f t="shared" si="195"/>
        <v>0</v>
      </c>
      <c r="H183" s="21">
        <f t="shared" si="195"/>
        <v>0</v>
      </c>
      <c r="I183" s="21">
        <f t="shared" si="195"/>
        <v>0</v>
      </c>
      <c r="J183" s="21">
        <f t="shared" si="195"/>
        <v>0</v>
      </c>
      <c r="K183" s="21">
        <f t="shared" si="195"/>
        <v>0</v>
      </c>
      <c r="L183" s="21">
        <f>40</f>
        <v>40</v>
      </c>
    </row>
    <row r="184">
      <c r="B184" s="20">
        <v>46253.0</v>
      </c>
      <c r="C184" s="21">
        <v>300.0</v>
      </c>
      <c r="D184" s="21">
        <f t="shared" ref="D184:E184" si="196">30</f>
        <v>30</v>
      </c>
      <c r="E184" s="21">
        <f t="shared" si="196"/>
        <v>30</v>
      </c>
      <c r="F184" s="21">
        <f>60</f>
        <v>60</v>
      </c>
      <c r="G184" s="21">
        <f>90</f>
        <v>90</v>
      </c>
      <c r="H184" s="21">
        <f t="shared" ref="H184:J184" si="197">0</f>
        <v>0</v>
      </c>
      <c r="I184" s="21">
        <f t="shared" si="197"/>
        <v>0</v>
      </c>
      <c r="J184" s="21">
        <f t="shared" si="197"/>
        <v>0</v>
      </c>
      <c r="K184" s="21">
        <f>90</f>
        <v>90</v>
      </c>
      <c r="L184" s="21">
        <f>0</f>
        <v>0</v>
      </c>
    </row>
    <row r="185">
      <c r="B185" s="20">
        <v>46253.0</v>
      </c>
      <c r="C185" s="21">
        <v>100.0</v>
      </c>
      <c r="D185" s="21">
        <f t="shared" ref="D185:K185" si="198">0</f>
        <v>0</v>
      </c>
      <c r="E185" s="21">
        <f t="shared" si="198"/>
        <v>0</v>
      </c>
      <c r="F185" s="21">
        <f t="shared" si="198"/>
        <v>0</v>
      </c>
      <c r="G185" s="21">
        <f t="shared" si="198"/>
        <v>0</v>
      </c>
      <c r="H185" s="21">
        <f t="shared" si="198"/>
        <v>0</v>
      </c>
      <c r="I185" s="21">
        <f t="shared" si="198"/>
        <v>0</v>
      </c>
      <c r="J185" s="21">
        <f t="shared" si="198"/>
        <v>0</v>
      </c>
      <c r="K185" s="21">
        <f t="shared" si="198"/>
        <v>0</v>
      </c>
      <c r="L185" s="21">
        <f>100</f>
        <v>100</v>
      </c>
    </row>
    <row r="186">
      <c r="B186" s="20">
        <v>46253.0</v>
      </c>
      <c r="C186" s="21">
        <v>80.0</v>
      </c>
      <c r="D186" s="21">
        <f t="shared" ref="D186:I186" si="199">0</f>
        <v>0</v>
      </c>
      <c r="E186" s="21">
        <f t="shared" si="199"/>
        <v>0</v>
      </c>
      <c r="F186" s="21">
        <f t="shared" si="199"/>
        <v>0</v>
      </c>
      <c r="G186" s="21">
        <f t="shared" si="199"/>
        <v>0</v>
      </c>
      <c r="H186" s="21">
        <f t="shared" si="199"/>
        <v>0</v>
      </c>
      <c r="I186" s="21">
        <f t="shared" si="199"/>
        <v>0</v>
      </c>
      <c r="J186" s="21">
        <f>80</f>
        <v>80</v>
      </c>
      <c r="K186" s="21">
        <f t="shared" ref="K186:L186" si="200">0</f>
        <v>0</v>
      </c>
      <c r="L186" s="21">
        <f t="shared" si="200"/>
        <v>0</v>
      </c>
    </row>
    <row r="187">
      <c r="B187" s="20">
        <v>46254.0</v>
      </c>
      <c r="C187" s="21">
        <v>200.0</v>
      </c>
      <c r="D187" s="21">
        <f t="shared" ref="D187:F187" si="201">0</f>
        <v>0</v>
      </c>
      <c r="E187" s="21">
        <f t="shared" si="201"/>
        <v>0</v>
      </c>
      <c r="F187" s="21">
        <f t="shared" si="201"/>
        <v>0</v>
      </c>
      <c r="G187" s="21">
        <f>10</f>
        <v>10</v>
      </c>
      <c r="H187" s="21">
        <f t="shared" ref="H187:K187" si="202">0</f>
        <v>0</v>
      </c>
      <c r="I187" s="21">
        <f t="shared" si="202"/>
        <v>0</v>
      </c>
      <c r="J187" s="21">
        <f t="shared" si="202"/>
        <v>0</v>
      </c>
      <c r="K187" s="21">
        <f t="shared" si="202"/>
        <v>0</v>
      </c>
      <c r="L187" s="21">
        <f>190</f>
        <v>190</v>
      </c>
    </row>
    <row r="188">
      <c r="B188" s="20">
        <v>46254.0</v>
      </c>
      <c r="C188" s="21">
        <v>20.0</v>
      </c>
      <c r="D188" s="21">
        <v>0.0</v>
      </c>
      <c r="E188" s="21">
        <v>0.0</v>
      </c>
      <c r="F188" s="21">
        <v>0.0</v>
      </c>
      <c r="G188" s="21">
        <v>0.0</v>
      </c>
      <c r="H188" s="21">
        <v>0.0</v>
      </c>
      <c r="I188" s="21">
        <v>0.0</v>
      </c>
      <c r="J188" s="21">
        <v>0.0</v>
      </c>
      <c r="K188" s="21">
        <v>0.0</v>
      </c>
      <c r="L188" s="21">
        <v>20.0</v>
      </c>
    </row>
    <row r="189">
      <c r="B189" s="20">
        <v>46254.0</v>
      </c>
      <c r="C189" s="21">
        <v>60.0</v>
      </c>
      <c r="D189" s="21">
        <v>0.0</v>
      </c>
      <c r="E189" s="21">
        <v>0.0</v>
      </c>
      <c r="F189" s="21">
        <v>0.0</v>
      </c>
      <c r="G189" s="21">
        <v>0.0</v>
      </c>
      <c r="H189" s="21">
        <v>0.0</v>
      </c>
      <c r="I189" s="21">
        <v>0.0</v>
      </c>
      <c r="J189" s="21">
        <v>0.0</v>
      </c>
      <c r="K189" s="21">
        <v>0.0</v>
      </c>
      <c r="L189" s="21">
        <v>60.0</v>
      </c>
    </row>
    <row r="190">
      <c r="B190" s="20">
        <v>46254.0</v>
      </c>
      <c r="C190" s="21">
        <v>180.0</v>
      </c>
      <c r="D190" s="21">
        <f>18</f>
        <v>18</v>
      </c>
      <c r="E190" s="21">
        <f t="shared" ref="E190:F190" si="203">0</f>
        <v>0</v>
      </c>
      <c r="F190" s="21">
        <f t="shared" si="203"/>
        <v>0</v>
      </c>
      <c r="G190" s="21">
        <f t="shared" ref="G190:H190" si="204">36</f>
        <v>36</v>
      </c>
      <c r="H190" s="21">
        <f t="shared" si="204"/>
        <v>36</v>
      </c>
      <c r="I190" s="21">
        <f>0</f>
        <v>0</v>
      </c>
      <c r="J190" s="21">
        <f>54</f>
        <v>54</v>
      </c>
      <c r="K190" s="21">
        <f>0</f>
        <v>0</v>
      </c>
      <c r="L190" s="21">
        <f>36</f>
        <v>36</v>
      </c>
    </row>
    <row r="191">
      <c r="B191" s="20">
        <v>46255.0</v>
      </c>
      <c r="C191" s="21">
        <v>200.0</v>
      </c>
      <c r="D191" s="21">
        <f t="shared" ref="D191:E191" si="205">0</f>
        <v>0</v>
      </c>
      <c r="E191" s="21">
        <f t="shared" si="205"/>
        <v>0</v>
      </c>
      <c r="F191" s="21">
        <f>60</f>
        <v>60</v>
      </c>
      <c r="G191" s="21">
        <f>120</f>
        <v>120</v>
      </c>
      <c r="H191" s="21">
        <f t="shared" ref="H191:K191" si="206">0</f>
        <v>0</v>
      </c>
      <c r="I191" s="21">
        <f t="shared" si="206"/>
        <v>0</v>
      </c>
      <c r="J191" s="21">
        <f t="shared" si="206"/>
        <v>0</v>
      </c>
      <c r="K191" s="21">
        <f t="shared" si="206"/>
        <v>0</v>
      </c>
      <c r="L191" s="21">
        <f>20</f>
        <v>20</v>
      </c>
    </row>
    <row r="192">
      <c r="B192" s="20">
        <v>46255.0</v>
      </c>
      <c r="C192" s="21">
        <v>60.0</v>
      </c>
      <c r="D192" s="21">
        <v>0.0</v>
      </c>
      <c r="E192" s="21">
        <v>0.0</v>
      </c>
      <c r="F192" s="21">
        <v>0.0</v>
      </c>
      <c r="G192" s="21">
        <v>0.0</v>
      </c>
      <c r="H192" s="21">
        <v>0.0</v>
      </c>
      <c r="I192" s="21">
        <v>0.0</v>
      </c>
      <c r="J192" s="21">
        <v>0.0</v>
      </c>
      <c r="K192" s="21">
        <v>0.0</v>
      </c>
      <c r="L192" s="21">
        <v>60.0</v>
      </c>
    </row>
    <row r="193">
      <c r="B193" s="20">
        <v>46255.0</v>
      </c>
      <c r="C193" s="21">
        <v>60.0</v>
      </c>
      <c r="D193" s="21">
        <v>0.0</v>
      </c>
      <c r="E193" s="21">
        <v>0.0</v>
      </c>
      <c r="F193" s="21">
        <v>0.0</v>
      </c>
      <c r="G193" s="21">
        <v>0.0</v>
      </c>
      <c r="H193" s="21">
        <v>0.0</v>
      </c>
      <c r="I193" s="21">
        <v>0.0</v>
      </c>
      <c r="J193" s="21">
        <v>0.0</v>
      </c>
      <c r="K193" s="21">
        <v>0.0</v>
      </c>
      <c r="L193" s="21">
        <v>60.0</v>
      </c>
    </row>
    <row r="194">
      <c r="B194" s="20">
        <v>46255.0</v>
      </c>
      <c r="C194" s="21">
        <v>60.0</v>
      </c>
      <c r="D194" s="21">
        <v>0.0</v>
      </c>
      <c r="E194" s="21">
        <v>0.0</v>
      </c>
      <c r="F194" s="21">
        <v>0.0</v>
      </c>
      <c r="G194" s="21">
        <v>0.0</v>
      </c>
      <c r="H194" s="21">
        <v>0.0</v>
      </c>
      <c r="I194" s="21">
        <v>0.0</v>
      </c>
      <c r="J194" s="21">
        <v>0.0</v>
      </c>
      <c r="K194" s="21">
        <v>0.0</v>
      </c>
      <c r="L194" s="21">
        <v>60.0</v>
      </c>
    </row>
    <row r="195">
      <c r="B195" s="20">
        <v>46255.0</v>
      </c>
      <c r="C195" s="21">
        <v>240.0</v>
      </c>
      <c r="D195" s="21">
        <v>0.0</v>
      </c>
      <c r="E195" s="21">
        <v>0.0</v>
      </c>
      <c r="F195" s="21">
        <v>0.0</v>
      </c>
      <c r="G195" s="21">
        <v>0.0</v>
      </c>
      <c r="H195" s="21">
        <v>0.0</v>
      </c>
      <c r="I195" s="21">
        <v>0.0</v>
      </c>
      <c r="J195" s="21">
        <v>0.0</v>
      </c>
      <c r="K195" s="21">
        <v>0.0</v>
      </c>
      <c r="L195" s="21">
        <v>240.0</v>
      </c>
    </row>
    <row r="196">
      <c r="B196" s="20">
        <v>46256.0</v>
      </c>
      <c r="C196" s="21">
        <v>100.0</v>
      </c>
      <c r="D196" s="21">
        <v>0.0</v>
      </c>
      <c r="E196" s="21">
        <v>0.0</v>
      </c>
      <c r="F196" s="21">
        <v>0.0</v>
      </c>
      <c r="G196" s="21">
        <v>0.0</v>
      </c>
      <c r="H196" s="21">
        <v>0.0</v>
      </c>
      <c r="I196" s="21">
        <v>0.0</v>
      </c>
      <c r="J196" s="21">
        <v>0.0</v>
      </c>
      <c r="K196" s="21">
        <v>0.0</v>
      </c>
      <c r="L196" s="21">
        <v>100.0</v>
      </c>
    </row>
    <row r="197">
      <c r="B197" s="20">
        <v>46256.0</v>
      </c>
      <c r="C197" s="21">
        <v>80.0</v>
      </c>
      <c r="D197" s="21">
        <f t="shared" ref="D197:F197" si="207">0</f>
        <v>0</v>
      </c>
      <c r="E197" s="21">
        <f t="shared" si="207"/>
        <v>0</v>
      </c>
      <c r="F197" s="21">
        <f t="shared" si="207"/>
        <v>0</v>
      </c>
      <c r="G197" s="21">
        <f>40</f>
        <v>40</v>
      </c>
      <c r="H197" s="21">
        <f t="shared" ref="H197:K197" si="208">0</f>
        <v>0</v>
      </c>
      <c r="I197" s="21">
        <f t="shared" si="208"/>
        <v>0</v>
      </c>
      <c r="J197" s="21">
        <f t="shared" si="208"/>
        <v>0</v>
      </c>
      <c r="K197" s="21">
        <f t="shared" si="208"/>
        <v>0</v>
      </c>
      <c r="L197" s="21">
        <f>40</f>
        <v>40</v>
      </c>
    </row>
    <row r="198">
      <c r="B198" s="20">
        <v>46256.0</v>
      </c>
      <c r="C198" s="21">
        <v>20.0</v>
      </c>
      <c r="D198" s="21">
        <v>0.0</v>
      </c>
      <c r="E198" s="21">
        <v>0.0</v>
      </c>
      <c r="F198" s="21">
        <v>0.0</v>
      </c>
      <c r="G198" s="21">
        <v>0.0</v>
      </c>
      <c r="H198" s="21">
        <v>0.0</v>
      </c>
      <c r="I198" s="21">
        <v>0.0</v>
      </c>
      <c r="J198" s="21">
        <v>0.0</v>
      </c>
      <c r="K198" s="21">
        <v>0.0</v>
      </c>
      <c r="L198" s="21">
        <v>20.0</v>
      </c>
    </row>
    <row r="199">
      <c r="B199" s="20">
        <v>46257.0</v>
      </c>
      <c r="C199" s="21">
        <v>40.0</v>
      </c>
      <c r="D199" s="21">
        <v>0.0</v>
      </c>
      <c r="E199" s="21">
        <v>0.0</v>
      </c>
      <c r="F199" s="21">
        <v>0.0</v>
      </c>
      <c r="G199" s="21">
        <v>0.0</v>
      </c>
      <c r="H199" s="21">
        <v>0.0</v>
      </c>
      <c r="I199" s="21">
        <v>0.0</v>
      </c>
      <c r="J199" s="21">
        <v>0.0</v>
      </c>
      <c r="K199" s="21">
        <v>0.0</v>
      </c>
      <c r="L199" s="21">
        <v>40.0</v>
      </c>
    </row>
    <row r="200">
      <c r="B200" s="20">
        <v>46257.0</v>
      </c>
      <c r="C200" s="21">
        <v>100.0</v>
      </c>
      <c r="D200" s="21">
        <f t="shared" ref="D200:F200" si="209">0</f>
        <v>0</v>
      </c>
      <c r="E200" s="21">
        <f t="shared" si="209"/>
        <v>0</v>
      </c>
      <c r="F200" s="21">
        <f t="shared" si="209"/>
        <v>0</v>
      </c>
      <c r="G200" s="21">
        <f>100</f>
        <v>100</v>
      </c>
      <c r="H200" s="21">
        <f t="shared" ref="H200:L200" si="210">0</f>
        <v>0</v>
      </c>
      <c r="I200" s="21">
        <f t="shared" si="210"/>
        <v>0</v>
      </c>
      <c r="J200" s="21">
        <f t="shared" si="210"/>
        <v>0</v>
      </c>
      <c r="K200" s="21">
        <f t="shared" si="210"/>
        <v>0</v>
      </c>
      <c r="L200" s="21">
        <f t="shared" si="210"/>
        <v>0</v>
      </c>
    </row>
    <row r="201">
      <c r="B201" s="20">
        <v>46257.0</v>
      </c>
      <c r="C201" s="21">
        <v>40.0</v>
      </c>
      <c r="D201" s="21">
        <v>0.0</v>
      </c>
      <c r="E201" s="21">
        <v>0.0</v>
      </c>
      <c r="F201" s="21">
        <v>0.0</v>
      </c>
      <c r="G201" s="21">
        <v>0.0</v>
      </c>
      <c r="H201" s="21">
        <v>0.0</v>
      </c>
      <c r="I201" s="21">
        <v>0.0</v>
      </c>
      <c r="J201" s="21">
        <v>0.0</v>
      </c>
      <c r="K201" s="21">
        <v>0.0</v>
      </c>
      <c r="L201" s="21">
        <v>40.0</v>
      </c>
    </row>
    <row r="202">
      <c r="B202" s="20">
        <v>46258.0</v>
      </c>
      <c r="C202" s="21">
        <v>220.0</v>
      </c>
      <c r="D202" s="21">
        <f>66</f>
        <v>66</v>
      </c>
      <c r="E202" s="21">
        <f>0</f>
        <v>0</v>
      </c>
      <c r="F202" s="21">
        <f>66</f>
        <v>66</v>
      </c>
      <c r="G202" s="21">
        <f>22</f>
        <v>22</v>
      </c>
      <c r="H202" s="21">
        <f>44</f>
        <v>44</v>
      </c>
      <c r="I202" s="21">
        <f t="shared" ref="I202:K202" si="211">0</f>
        <v>0</v>
      </c>
      <c r="J202" s="21">
        <f t="shared" si="211"/>
        <v>0</v>
      </c>
      <c r="K202" s="21">
        <f t="shared" si="211"/>
        <v>0</v>
      </c>
      <c r="L202" s="21">
        <f>22</f>
        <v>22</v>
      </c>
    </row>
    <row r="203">
      <c r="B203" s="20">
        <v>46258.0</v>
      </c>
      <c r="C203" s="21">
        <v>80.0</v>
      </c>
      <c r="D203" s="21">
        <f t="shared" ref="D203:I203" si="212">0</f>
        <v>0</v>
      </c>
      <c r="E203" s="21">
        <f t="shared" si="212"/>
        <v>0</v>
      </c>
      <c r="F203" s="21">
        <f t="shared" si="212"/>
        <v>0</v>
      </c>
      <c r="G203" s="21">
        <f t="shared" si="212"/>
        <v>0</v>
      </c>
      <c r="H203" s="21">
        <f t="shared" si="212"/>
        <v>0</v>
      </c>
      <c r="I203" s="21">
        <f t="shared" si="212"/>
        <v>0</v>
      </c>
      <c r="J203" s="21">
        <f>40</f>
        <v>40</v>
      </c>
      <c r="K203" s="21">
        <f>0</f>
        <v>0</v>
      </c>
      <c r="L203" s="21">
        <f>40</f>
        <v>40</v>
      </c>
    </row>
    <row r="204">
      <c r="B204" s="20">
        <v>46258.0</v>
      </c>
      <c r="C204" s="21">
        <v>40.0</v>
      </c>
      <c r="D204" s="21">
        <v>0.0</v>
      </c>
      <c r="E204" s="21">
        <v>0.0</v>
      </c>
      <c r="F204" s="21">
        <v>0.0</v>
      </c>
      <c r="G204" s="21">
        <v>0.0</v>
      </c>
      <c r="H204" s="21">
        <v>0.0</v>
      </c>
      <c r="I204" s="21">
        <v>0.0</v>
      </c>
      <c r="J204" s="21">
        <v>0.0</v>
      </c>
      <c r="K204" s="21">
        <v>0.0</v>
      </c>
      <c r="L204" s="21">
        <v>40.0</v>
      </c>
    </row>
    <row r="205">
      <c r="B205" s="20">
        <v>46259.0</v>
      </c>
      <c r="C205" s="21">
        <v>140.0</v>
      </c>
      <c r="D205" s="21">
        <v>0.0</v>
      </c>
      <c r="E205" s="21">
        <v>0.0</v>
      </c>
      <c r="F205" s="21">
        <v>0.0</v>
      </c>
      <c r="G205" s="21">
        <v>0.0</v>
      </c>
      <c r="H205" s="21">
        <v>0.0</v>
      </c>
      <c r="I205" s="21">
        <v>0.0</v>
      </c>
      <c r="J205" s="21">
        <v>0.0</v>
      </c>
      <c r="K205" s="21">
        <v>0.0</v>
      </c>
      <c r="L205" s="21">
        <v>140.0</v>
      </c>
    </row>
    <row r="206">
      <c r="B206" s="20">
        <v>46259.0</v>
      </c>
      <c r="C206" s="21">
        <v>100.0</v>
      </c>
      <c r="D206" s="21">
        <f t="shared" ref="D206:F206" si="213">0</f>
        <v>0</v>
      </c>
      <c r="E206" s="21">
        <f t="shared" si="213"/>
        <v>0</v>
      </c>
      <c r="F206" s="21">
        <f t="shared" si="213"/>
        <v>0</v>
      </c>
      <c r="G206" s="21">
        <f>100</f>
        <v>100</v>
      </c>
      <c r="H206" s="21">
        <f t="shared" ref="H206:L206" si="214">0</f>
        <v>0</v>
      </c>
      <c r="I206" s="21">
        <f t="shared" si="214"/>
        <v>0</v>
      </c>
      <c r="J206" s="21">
        <f t="shared" si="214"/>
        <v>0</v>
      </c>
      <c r="K206" s="21">
        <f t="shared" si="214"/>
        <v>0</v>
      </c>
      <c r="L206" s="21">
        <f t="shared" si="214"/>
        <v>0</v>
      </c>
    </row>
    <row r="207">
      <c r="B207" s="20">
        <v>46260.0</v>
      </c>
      <c r="C207" s="21">
        <v>160.0</v>
      </c>
      <c r="D207" s="21">
        <f>0</f>
        <v>0</v>
      </c>
      <c r="E207" s="21">
        <f t="shared" ref="E207:G207" si="215">32</f>
        <v>32</v>
      </c>
      <c r="F207" s="21">
        <f t="shared" si="215"/>
        <v>32</v>
      </c>
      <c r="G207" s="21">
        <f t="shared" si="215"/>
        <v>32</v>
      </c>
      <c r="H207" s="21">
        <f t="shared" ref="H207:J207" si="216">0</f>
        <v>0</v>
      </c>
      <c r="I207" s="21">
        <f t="shared" si="216"/>
        <v>0</v>
      </c>
      <c r="J207" s="21">
        <f t="shared" si="216"/>
        <v>0</v>
      </c>
      <c r="K207" s="21">
        <f>48</f>
        <v>48</v>
      </c>
      <c r="L207" s="21">
        <f>16</f>
        <v>16</v>
      </c>
    </row>
    <row r="208">
      <c r="B208" s="20">
        <v>46260.0</v>
      </c>
      <c r="C208" s="21">
        <v>140.0</v>
      </c>
      <c r="D208" s="21">
        <f>140</f>
        <v>140</v>
      </c>
      <c r="E208" s="21">
        <f t="shared" ref="E208:L208" si="217">0</f>
        <v>0</v>
      </c>
      <c r="F208" s="21">
        <f t="shared" si="217"/>
        <v>0</v>
      </c>
      <c r="G208" s="21">
        <f t="shared" si="217"/>
        <v>0</v>
      </c>
      <c r="H208" s="21">
        <f t="shared" si="217"/>
        <v>0</v>
      </c>
      <c r="I208" s="21">
        <f t="shared" si="217"/>
        <v>0</v>
      </c>
      <c r="J208" s="21">
        <f t="shared" si="217"/>
        <v>0</v>
      </c>
      <c r="K208" s="21">
        <f t="shared" si="217"/>
        <v>0</v>
      </c>
      <c r="L208" s="21">
        <f t="shared" si="217"/>
        <v>0</v>
      </c>
    </row>
    <row r="209">
      <c r="B209" s="20">
        <v>46260.0</v>
      </c>
      <c r="C209" s="21">
        <v>260.0</v>
      </c>
      <c r="D209" s="21">
        <f t="shared" ref="D209:K209" si="218">0</f>
        <v>0</v>
      </c>
      <c r="E209" s="21">
        <f t="shared" si="218"/>
        <v>0</v>
      </c>
      <c r="F209" s="21">
        <f t="shared" si="218"/>
        <v>0</v>
      </c>
      <c r="G209" s="21">
        <f t="shared" si="218"/>
        <v>0</v>
      </c>
      <c r="H209" s="21">
        <f t="shared" si="218"/>
        <v>0</v>
      </c>
      <c r="I209" s="21">
        <f t="shared" si="218"/>
        <v>0</v>
      </c>
      <c r="J209" s="21">
        <f t="shared" si="218"/>
        <v>0</v>
      </c>
      <c r="K209" s="21">
        <f t="shared" si="218"/>
        <v>0</v>
      </c>
      <c r="L209" s="21">
        <f>260</f>
        <v>260</v>
      </c>
    </row>
    <row r="210">
      <c r="B210" s="20">
        <v>46261.0</v>
      </c>
      <c r="C210" s="21">
        <v>260.0</v>
      </c>
      <c r="D210" s="21">
        <f>260</f>
        <v>260</v>
      </c>
      <c r="E210" s="21">
        <f t="shared" ref="E210:L210" si="219">0</f>
        <v>0</v>
      </c>
      <c r="F210" s="21">
        <f t="shared" si="219"/>
        <v>0</v>
      </c>
      <c r="G210" s="21">
        <f t="shared" si="219"/>
        <v>0</v>
      </c>
      <c r="H210" s="21">
        <f t="shared" si="219"/>
        <v>0</v>
      </c>
      <c r="I210" s="21">
        <f t="shared" si="219"/>
        <v>0</v>
      </c>
      <c r="J210" s="21">
        <f t="shared" si="219"/>
        <v>0</v>
      </c>
      <c r="K210" s="21">
        <f t="shared" si="219"/>
        <v>0</v>
      </c>
      <c r="L210" s="21">
        <f t="shared" si="219"/>
        <v>0</v>
      </c>
    </row>
    <row r="211">
      <c r="B211" s="20">
        <v>46261.0</v>
      </c>
      <c r="C211" s="21">
        <v>140.0</v>
      </c>
      <c r="D211" s="21">
        <f t="shared" ref="D211:K211" si="220">0</f>
        <v>0</v>
      </c>
      <c r="E211" s="21">
        <f t="shared" si="220"/>
        <v>0</v>
      </c>
      <c r="F211" s="21">
        <f t="shared" si="220"/>
        <v>0</v>
      </c>
      <c r="G211" s="21">
        <f t="shared" si="220"/>
        <v>0</v>
      </c>
      <c r="H211" s="21">
        <f t="shared" si="220"/>
        <v>0</v>
      </c>
      <c r="I211" s="21">
        <f t="shared" si="220"/>
        <v>0</v>
      </c>
      <c r="J211" s="21">
        <f t="shared" si="220"/>
        <v>0</v>
      </c>
      <c r="K211" s="21">
        <f t="shared" si="220"/>
        <v>0</v>
      </c>
      <c r="L211" s="21">
        <f t="shared" ref="L211:L212" si="222">140</f>
        <v>140</v>
      </c>
    </row>
    <row r="212">
      <c r="B212" s="20">
        <v>46261.0</v>
      </c>
      <c r="C212" s="21">
        <v>140.0</v>
      </c>
      <c r="D212" s="21">
        <f t="shared" ref="D212:K212" si="221">0</f>
        <v>0</v>
      </c>
      <c r="E212" s="21">
        <f t="shared" si="221"/>
        <v>0</v>
      </c>
      <c r="F212" s="21">
        <f t="shared" si="221"/>
        <v>0</v>
      </c>
      <c r="G212" s="21">
        <f t="shared" si="221"/>
        <v>0</v>
      </c>
      <c r="H212" s="21">
        <f t="shared" si="221"/>
        <v>0</v>
      </c>
      <c r="I212" s="21">
        <f t="shared" si="221"/>
        <v>0</v>
      </c>
      <c r="J212" s="21">
        <f t="shared" si="221"/>
        <v>0</v>
      </c>
      <c r="K212" s="21">
        <f t="shared" si="221"/>
        <v>0</v>
      </c>
      <c r="L212" s="21">
        <f t="shared" si="222"/>
        <v>140</v>
      </c>
    </row>
    <row r="213">
      <c r="B213" s="20">
        <v>46261.0</v>
      </c>
      <c r="C213" s="21">
        <v>40.0</v>
      </c>
      <c r="D213" s="21">
        <f t="shared" ref="D213:K213" si="223">0</f>
        <v>0</v>
      </c>
      <c r="E213" s="21">
        <f t="shared" si="223"/>
        <v>0</v>
      </c>
      <c r="F213" s="21">
        <f t="shared" si="223"/>
        <v>0</v>
      </c>
      <c r="G213" s="21">
        <f t="shared" si="223"/>
        <v>0</v>
      </c>
      <c r="H213" s="21">
        <f t="shared" si="223"/>
        <v>0</v>
      </c>
      <c r="I213" s="21">
        <f t="shared" si="223"/>
        <v>0</v>
      </c>
      <c r="J213" s="21">
        <f t="shared" si="223"/>
        <v>0</v>
      </c>
      <c r="K213" s="21">
        <f t="shared" si="223"/>
        <v>0</v>
      </c>
      <c r="L213" s="21">
        <f>40</f>
        <v>40</v>
      </c>
    </row>
    <row r="214">
      <c r="B214" s="20">
        <v>46262.0</v>
      </c>
      <c r="C214" s="21">
        <v>160.0</v>
      </c>
      <c r="D214" s="21">
        <v>0.0</v>
      </c>
      <c r="E214" s="21">
        <v>0.0</v>
      </c>
      <c r="F214" s="21">
        <v>0.0</v>
      </c>
      <c r="G214" s="21">
        <v>0.0</v>
      </c>
      <c r="H214" s="21">
        <v>0.0</v>
      </c>
      <c r="I214" s="21">
        <v>0.0</v>
      </c>
      <c r="J214" s="21">
        <v>0.0</v>
      </c>
      <c r="K214" s="21">
        <v>0.0</v>
      </c>
      <c r="L214" s="21">
        <v>160.0</v>
      </c>
    </row>
    <row r="215">
      <c r="B215" s="20">
        <v>46262.0</v>
      </c>
      <c r="C215" s="21">
        <v>240.0</v>
      </c>
      <c r="D215" s="21">
        <f>0</f>
        <v>0</v>
      </c>
      <c r="E215" s="21">
        <f>72</f>
        <v>72</v>
      </c>
      <c r="F215" s="21">
        <f t="shared" ref="F215:K215" si="224">0</f>
        <v>0</v>
      </c>
      <c r="G215" s="21">
        <f t="shared" si="224"/>
        <v>0</v>
      </c>
      <c r="H215" s="21">
        <f t="shared" si="224"/>
        <v>0</v>
      </c>
      <c r="I215" s="21">
        <f t="shared" si="224"/>
        <v>0</v>
      </c>
      <c r="J215" s="21">
        <f t="shared" si="224"/>
        <v>0</v>
      </c>
      <c r="K215" s="21">
        <f t="shared" si="224"/>
        <v>0</v>
      </c>
      <c r="L215" s="21">
        <f>168</f>
        <v>168</v>
      </c>
    </row>
    <row r="216">
      <c r="B216" s="20">
        <v>46262.0</v>
      </c>
      <c r="C216" s="21">
        <v>20.0</v>
      </c>
      <c r="D216" s="21">
        <v>0.0</v>
      </c>
      <c r="E216" s="21">
        <v>0.0</v>
      </c>
      <c r="F216" s="21">
        <v>0.0</v>
      </c>
      <c r="G216" s="21">
        <v>0.0</v>
      </c>
      <c r="H216" s="21">
        <v>0.0</v>
      </c>
      <c r="I216" s="21">
        <v>0.0</v>
      </c>
      <c r="J216" s="21">
        <v>0.0</v>
      </c>
      <c r="K216" s="21">
        <v>0.0</v>
      </c>
      <c r="L216" s="21">
        <v>20.0</v>
      </c>
    </row>
    <row r="217">
      <c r="B217" s="20">
        <v>46262.0</v>
      </c>
      <c r="C217" s="21">
        <v>280.0</v>
      </c>
      <c r="D217" s="21">
        <f t="shared" ref="D217:E217" si="225">0</f>
        <v>0</v>
      </c>
      <c r="E217" s="21">
        <f t="shared" si="225"/>
        <v>0</v>
      </c>
      <c r="F217" s="21">
        <f>168</f>
        <v>168</v>
      </c>
      <c r="G217" s="21">
        <f>56</f>
        <v>56</v>
      </c>
      <c r="H217" s="21">
        <f t="shared" ref="H217:K217" si="226">0</f>
        <v>0</v>
      </c>
      <c r="I217" s="21">
        <f t="shared" si="226"/>
        <v>0</v>
      </c>
      <c r="J217" s="21">
        <f t="shared" si="226"/>
        <v>0</v>
      </c>
      <c r="K217" s="21">
        <f t="shared" si="226"/>
        <v>0</v>
      </c>
      <c r="L217" s="21">
        <f>56</f>
        <v>56</v>
      </c>
    </row>
    <row r="218">
      <c r="B218" s="20">
        <v>46262.0</v>
      </c>
      <c r="C218" s="21">
        <v>120.0</v>
      </c>
      <c r="D218" s="21">
        <v>0.0</v>
      </c>
      <c r="E218" s="21">
        <v>0.0</v>
      </c>
      <c r="F218" s="21">
        <v>0.0</v>
      </c>
      <c r="G218" s="21">
        <v>0.0</v>
      </c>
      <c r="H218" s="21">
        <v>0.0</v>
      </c>
      <c r="I218" s="21">
        <v>0.0</v>
      </c>
      <c r="J218" s="21">
        <v>0.0</v>
      </c>
      <c r="K218" s="21">
        <v>0.0</v>
      </c>
      <c r="L218" s="21">
        <v>120.0</v>
      </c>
    </row>
    <row r="219">
      <c r="B219" s="20">
        <v>46263.0</v>
      </c>
      <c r="C219" s="21">
        <v>160.0</v>
      </c>
      <c r="D219" s="21">
        <f t="shared" ref="D219:D222" si="228">0</f>
        <v>0</v>
      </c>
      <c r="E219" s="21">
        <f>160</f>
        <v>160</v>
      </c>
      <c r="F219" s="21">
        <f t="shared" ref="F219:L219" si="227">0</f>
        <v>0</v>
      </c>
      <c r="G219" s="21">
        <f t="shared" si="227"/>
        <v>0</v>
      </c>
      <c r="H219" s="21">
        <f t="shared" si="227"/>
        <v>0</v>
      </c>
      <c r="I219" s="21">
        <f t="shared" si="227"/>
        <v>0</v>
      </c>
      <c r="J219" s="21">
        <f t="shared" si="227"/>
        <v>0</v>
      </c>
      <c r="K219" s="21">
        <f t="shared" si="227"/>
        <v>0</v>
      </c>
      <c r="L219" s="21">
        <f t="shared" si="227"/>
        <v>0</v>
      </c>
    </row>
    <row r="220">
      <c r="B220" s="20">
        <v>46263.0</v>
      </c>
      <c r="C220" s="21">
        <v>40.0</v>
      </c>
      <c r="D220" s="21">
        <f t="shared" si="228"/>
        <v>0</v>
      </c>
      <c r="E220" s="21">
        <f t="shared" ref="E220:F220" si="229">0</f>
        <v>0</v>
      </c>
      <c r="F220" s="21">
        <f t="shared" si="229"/>
        <v>0</v>
      </c>
      <c r="G220" s="21">
        <f t="shared" ref="G220:G221" si="232">40</f>
        <v>40</v>
      </c>
      <c r="H220" s="21">
        <f t="shared" ref="H220:L220" si="230">0</f>
        <v>0</v>
      </c>
      <c r="I220" s="21">
        <f t="shared" si="230"/>
        <v>0</v>
      </c>
      <c r="J220" s="21">
        <f t="shared" si="230"/>
        <v>0</v>
      </c>
      <c r="K220" s="21">
        <f t="shared" si="230"/>
        <v>0</v>
      </c>
      <c r="L220" s="21">
        <f t="shared" si="230"/>
        <v>0</v>
      </c>
    </row>
    <row r="221">
      <c r="B221" s="20">
        <v>46263.0</v>
      </c>
      <c r="C221" s="21">
        <v>40.0</v>
      </c>
      <c r="D221" s="21">
        <f t="shared" si="228"/>
        <v>0</v>
      </c>
      <c r="E221" s="21">
        <f t="shared" ref="E221:F221" si="231">0</f>
        <v>0</v>
      </c>
      <c r="F221" s="21">
        <f t="shared" si="231"/>
        <v>0</v>
      </c>
      <c r="G221" s="21">
        <f t="shared" si="232"/>
        <v>40</v>
      </c>
      <c r="H221" s="21">
        <f t="shared" ref="H221:L221" si="233">0</f>
        <v>0</v>
      </c>
      <c r="I221" s="21">
        <f t="shared" si="233"/>
        <v>0</v>
      </c>
      <c r="J221" s="21">
        <f t="shared" si="233"/>
        <v>0</v>
      </c>
      <c r="K221" s="21">
        <f t="shared" si="233"/>
        <v>0</v>
      </c>
      <c r="L221" s="21">
        <f t="shared" si="233"/>
        <v>0</v>
      </c>
    </row>
    <row r="222">
      <c r="B222" s="20">
        <v>46264.0</v>
      </c>
      <c r="C222" s="21">
        <v>180.0</v>
      </c>
      <c r="D222" s="21">
        <f t="shared" si="228"/>
        <v>0</v>
      </c>
      <c r="E222" s="21">
        <f>0</f>
        <v>0</v>
      </c>
      <c r="F222" s="21">
        <f t="shared" ref="F222:H222" si="234">54</f>
        <v>54</v>
      </c>
      <c r="G222" s="21">
        <f t="shared" si="234"/>
        <v>54</v>
      </c>
      <c r="H222" s="21">
        <f t="shared" si="234"/>
        <v>54</v>
      </c>
      <c r="I222" s="21">
        <f t="shared" ref="I222:K222" si="235">0</f>
        <v>0</v>
      </c>
      <c r="J222" s="21">
        <f t="shared" si="235"/>
        <v>0</v>
      </c>
      <c r="K222" s="21">
        <f t="shared" si="235"/>
        <v>0</v>
      </c>
      <c r="L222" s="21">
        <f>18</f>
        <v>18</v>
      </c>
    </row>
    <row r="223">
      <c r="B223" s="20">
        <v>46264.0</v>
      </c>
      <c r="C223" s="21">
        <v>120.0</v>
      </c>
      <c r="D223" s="21">
        <f>24</f>
        <v>24</v>
      </c>
      <c r="E223" s="21">
        <f>36</f>
        <v>36</v>
      </c>
      <c r="F223" s="21">
        <f>0</f>
        <v>0</v>
      </c>
      <c r="G223" s="21">
        <f>24</f>
        <v>24</v>
      </c>
      <c r="H223" s="21">
        <f t="shared" ref="H223:I223" si="236">0</f>
        <v>0</v>
      </c>
      <c r="I223" s="21">
        <f t="shared" si="236"/>
        <v>0</v>
      </c>
      <c r="J223" s="21">
        <f>36</f>
        <v>36</v>
      </c>
      <c r="K223" s="21">
        <f t="shared" ref="K223:L223" si="237">0</f>
        <v>0</v>
      </c>
      <c r="L223" s="21">
        <f t="shared" si="237"/>
        <v>0</v>
      </c>
    </row>
    <row r="224">
      <c r="B224" s="20">
        <v>46264.0</v>
      </c>
      <c r="C224" s="21">
        <v>60.0</v>
      </c>
      <c r="D224" s="21">
        <v>0.0</v>
      </c>
      <c r="E224" s="21">
        <v>0.0</v>
      </c>
      <c r="F224" s="21">
        <v>0.0</v>
      </c>
      <c r="G224" s="21">
        <v>0.0</v>
      </c>
      <c r="H224" s="21">
        <v>0.0</v>
      </c>
      <c r="I224" s="21">
        <v>0.0</v>
      </c>
      <c r="J224" s="21">
        <v>0.0</v>
      </c>
      <c r="K224" s="21">
        <v>0.0</v>
      </c>
      <c r="L224" s="21">
        <v>60.0</v>
      </c>
    </row>
    <row r="225">
      <c r="B225" s="20">
        <v>46264.0</v>
      </c>
      <c r="C225" s="21">
        <v>60.0</v>
      </c>
      <c r="D225" s="21">
        <v>0.0</v>
      </c>
      <c r="E225" s="21">
        <v>0.0</v>
      </c>
      <c r="F225" s="21">
        <v>0.0</v>
      </c>
      <c r="G225" s="21">
        <v>0.0</v>
      </c>
      <c r="H225" s="21">
        <v>0.0</v>
      </c>
      <c r="I225" s="21">
        <v>0.0</v>
      </c>
      <c r="J225" s="21">
        <v>0.0</v>
      </c>
      <c r="K225" s="21">
        <v>0.0</v>
      </c>
      <c r="L225" s="21">
        <v>60.0</v>
      </c>
    </row>
    <row r="226">
      <c r="B226" s="20">
        <v>46265.0</v>
      </c>
      <c r="C226" s="21">
        <v>260.0</v>
      </c>
      <c r="D226" s="21">
        <v>0.0</v>
      </c>
      <c r="E226" s="21">
        <v>0.0</v>
      </c>
      <c r="F226" s="21">
        <v>0.0</v>
      </c>
      <c r="G226" s="21">
        <v>0.0</v>
      </c>
      <c r="H226" s="21">
        <v>0.0</v>
      </c>
      <c r="I226" s="21">
        <v>0.0</v>
      </c>
      <c r="J226" s="21">
        <v>0.0</v>
      </c>
      <c r="K226" s="21">
        <v>0.0</v>
      </c>
      <c r="L226" s="21">
        <v>260.0</v>
      </c>
    </row>
    <row r="227">
      <c r="B227" s="20">
        <v>46265.0</v>
      </c>
      <c r="C227" s="21">
        <v>120.0</v>
      </c>
      <c r="D227" s="21">
        <v>0.0</v>
      </c>
      <c r="E227" s="21">
        <v>0.0</v>
      </c>
      <c r="F227" s="21">
        <v>0.0</v>
      </c>
      <c r="G227" s="21">
        <v>0.0</v>
      </c>
      <c r="H227" s="21">
        <v>0.0</v>
      </c>
      <c r="I227" s="21">
        <v>0.0</v>
      </c>
      <c r="J227" s="21">
        <v>0.0</v>
      </c>
      <c r="K227" s="21">
        <v>0.0</v>
      </c>
      <c r="L227" s="21">
        <v>120.0</v>
      </c>
    </row>
    <row r="228">
      <c r="B228" s="20">
        <v>46265.0</v>
      </c>
      <c r="C228" s="21">
        <v>180.0</v>
      </c>
      <c r="D228" s="21">
        <f>162</f>
        <v>162</v>
      </c>
      <c r="E228" s="21">
        <f t="shared" ref="E228:F228" si="238">0</f>
        <v>0</v>
      </c>
      <c r="F228" s="21">
        <f t="shared" si="238"/>
        <v>0</v>
      </c>
      <c r="G228" s="21">
        <f>18</f>
        <v>18</v>
      </c>
      <c r="H228" s="21">
        <f t="shared" ref="H228:L228" si="239">0</f>
        <v>0</v>
      </c>
      <c r="I228" s="21">
        <f t="shared" si="239"/>
        <v>0</v>
      </c>
      <c r="J228" s="21">
        <f t="shared" si="239"/>
        <v>0</v>
      </c>
      <c r="K228" s="21">
        <f t="shared" si="239"/>
        <v>0</v>
      </c>
      <c r="L228" s="21">
        <f t="shared" si="239"/>
        <v>0</v>
      </c>
    </row>
    <row r="229">
      <c r="B229" s="20">
        <v>46265.0</v>
      </c>
      <c r="C229" s="21">
        <v>120.0</v>
      </c>
      <c r="D229" s="21">
        <v>0.0</v>
      </c>
      <c r="E229" s="21">
        <v>0.0</v>
      </c>
      <c r="F229" s="21">
        <v>0.0</v>
      </c>
      <c r="G229" s="21">
        <v>0.0</v>
      </c>
      <c r="H229" s="21">
        <v>0.0</v>
      </c>
      <c r="I229" s="21">
        <v>0.0</v>
      </c>
      <c r="J229" s="21">
        <v>0.0</v>
      </c>
      <c r="K229" s="21">
        <v>0.0</v>
      </c>
      <c r="L229" s="21">
        <v>120.0</v>
      </c>
    </row>
    <row r="230">
      <c r="B230" s="20">
        <v>46266.0</v>
      </c>
      <c r="C230" s="21">
        <v>180.0</v>
      </c>
      <c r="D230" s="21">
        <v>0.0</v>
      </c>
      <c r="E230" s="21">
        <v>0.0</v>
      </c>
      <c r="F230" s="21">
        <v>0.0</v>
      </c>
      <c r="G230" s="21">
        <v>0.0</v>
      </c>
      <c r="H230" s="21">
        <v>0.0</v>
      </c>
      <c r="I230" s="21">
        <v>0.0</v>
      </c>
      <c r="J230" s="21">
        <v>0.0</v>
      </c>
      <c r="K230" s="21">
        <v>0.0</v>
      </c>
      <c r="L230" s="21">
        <v>180.0</v>
      </c>
    </row>
    <row r="231">
      <c r="B231" s="20">
        <v>46266.0</v>
      </c>
      <c r="C231" s="21">
        <v>20.0</v>
      </c>
      <c r="D231" s="21">
        <v>0.0</v>
      </c>
      <c r="E231" s="21">
        <v>0.0</v>
      </c>
      <c r="F231" s="21">
        <v>0.0</v>
      </c>
      <c r="G231" s="21">
        <v>0.0</v>
      </c>
      <c r="H231" s="21">
        <v>0.0</v>
      </c>
      <c r="I231" s="21">
        <v>0.0</v>
      </c>
      <c r="J231" s="21">
        <v>0.0</v>
      </c>
      <c r="K231" s="21">
        <v>0.0</v>
      </c>
      <c r="L231" s="21">
        <v>20.0</v>
      </c>
    </row>
    <row r="232">
      <c r="B232" s="20">
        <v>46266.0</v>
      </c>
      <c r="C232" s="21">
        <v>20.0</v>
      </c>
      <c r="D232" s="21">
        <f t="shared" ref="D232:F232" si="240">0</f>
        <v>0</v>
      </c>
      <c r="E232" s="21">
        <f t="shared" si="240"/>
        <v>0</v>
      </c>
      <c r="F232" s="21">
        <f t="shared" si="240"/>
        <v>0</v>
      </c>
      <c r="G232" s="21">
        <f>20</f>
        <v>20</v>
      </c>
      <c r="H232" s="21">
        <f t="shared" ref="H232:L232" si="241">0</f>
        <v>0</v>
      </c>
      <c r="I232" s="21">
        <f t="shared" si="241"/>
        <v>0</v>
      </c>
      <c r="J232" s="21">
        <f t="shared" si="241"/>
        <v>0</v>
      </c>
      <c r="K232" s="21">
        <f t="shared" si="241"/>
        <v>0</v>
      </c>
      <c r="L232" s="21">
        <f t="shared" si="241"/>
        <v>0</v>
      </c>
    </row>
    <row r="233">
      <c r="B233" s="20">
        <v>46267.0</v>
      </c>
      <c r="C233" s="21">
        <v>100.0</v>
      </c>
      <c r="D233" s="21">
        <f t="shared" ref="D233:K233" si="242">0</f>
        <v>0</v>
      </c>
      <c r="E233" s="21">
        <f t="shared" si="242"/>
        <v>0</v>
      </c>
      <c r="F233" s="21">
        <f t="shared" si="242"/>
        <v>0</v>
      </c>
      <c r="G233" s="21">
        <f t="shared" si="242"/>
        <v>0</v>
      </c>
      <c r="H233" s="21">
        <f t="shared" si="242"/>
        <v>0</v>
      </c>
      <c r="I233" s="21">
        <f t="shared" si="242"/>
        <v>0</v>
      </c>
      <c r="J233" s="21">
        <f t="shared" si="242"/>
        <v>0</v>
      </c>
      <c r="K233" s="21">
        <f t="shared" si="242"/>
        <v>0</v>
      </c>
      <c r="L233" s="21">
        <f>100</f>
        <v>100</v>
      </c>
    </row>
    <row r="234">
      <c r="B234" s="20">
        <v>46267.0</v>
      </c>
      <c r="C234" s="21">
        <v>220.0</v>
      </c>
      <c r="D234" s="21">
        <f t="shared" ref="D234:K234" si="243">0</f>
        <v>0</v>
      </c>
      <c r="E234" s="21">
        <f t="shared" si="243"/>
        <v>0</v>
      </c>
      <c r="F234" s="21">
        <f t="shared" si="243"/>
        <v>0</v>
      </c>
      <c r="G234" s="21">
        <f t="shared" si="243"/>
        <v>0</v>
      </c>
      <c r="H234" s="21">
        <f t="shared" si="243"/>
        <v>0</v>
      </c>
      <c r="I234" s="21">
        <f t="shared" si="243"/>
        <v>0</v>
      </c>
      <c r="J234" s="21">
        <f t="shared" si="243"/>
        <v>0</v>
      </c>
      <c r="K234" s="21">
        <f t="shared" si="243"/>
        <v>0</v>
      </c>
      <c r="L234" s="21">
        <f>220</f>
        <v>220</v>
      </c>
    </row>
    <row r="235">
      <c r="B235" s="20">
        <v>46268.0</v>
      </c>
      <c r="C235" s="21">
        <v>60.0</v>
      </c>
      <c r="D235" s="21">
        <f t="shared" ref="D235:K235" si="244">0</f>
        <v>0</v>
      </c>
      <c r="E235" s="21">
        <f t="shared" si="244"/>
        <v>0</v>
      </c>
      <c r="F235" s="21">
        <f t="shared" si="244"/>
        <v>0</v>
      </c>
      <c r="G235" s="21">
        <f t="shared" si="244"/>
        <v>0</v>
      </c>
      <c r="H235" s="21">
        <f t="shared" si="244"/>
        <v>0</v>
      </c>
      <c r="I235" s="21">
        <f t="shared" si="244"/>
        <v>0</v>
      </c>
      <c r="J235" s="21">
        <f t="shared" si="244"/>
        <v>0</v>
      </c>
      <c r="K235" s="21">
        <f t="shared" si="244"/>
        <v>0</v>
      </c>
      <c r="L235" s="21">
        <f>60</f>
        <v>60</v>
      </c>
    </row>
    <row r="236">
      <c r="B236" s="20">
        <v>46268.0</v>
      </c>
      <c r="C236" s="21">
        <v>160.0</v>
      </c>
      <c r="D236" s="21">
        <f t="shared" ref="D236:K236" si="245">0</f>
        <v>0</v>
      </c>
      <c r="E236" s="21">
        <f t="shared" si="245"/>
        <v>0</v>
      </c>
      <c r="F236" s="21">
        <f t="shared" si="245"/>
        <v>0</v>
      </c>
      <c r="G236" s="21">
        <f t="shared" si="245"/>
        <v>0</v>
      </c>
      <c r="H236" s="21">
        <f t="shared" si="245"/>
        <v>0</v>
      </c>
      <c r="I236" s="21">
        <f t="shared" si="245"/>
        <v>0</v>
      </c>
      <c r="J236" s="21">
        <f t="shared" si="245"/>
        <v>0</v>
      </c>
      <c r="K236" s="21">
        <f t="shared" si="245"/>
        <v>0</v>
      </c>
      <c r="L236" s="21">
        <f>160</f>
        <v>160</v>
      </c>
    </row>
    <row r="237">
      <c r="B237" s="20">
        <v>46269.0</v>
      </c>
      <c r="C237" s="21">
        <v>140.0</v>
      </c>
      <c r="D237" s="21">
        <f t="shared" ref="D237:K237" si="246">0</f>
        <v>0</v>
      </c>
      <c r="E237" s="21">
        <f t="shared" si="246"/>
        <v>0</v>
      </c>
      <c r="F237" s="21">
        <f t="shared" si="246"/>
        <v>0</v>
      </c>
      <c r="G237" s="21">
        <f t="shared" si="246"/>
        <v>0</v>
      </c>
      <c r="H237" s="21">
        <f t="shared" si="246"/>
        <v>0</v>
      </c>
      <c r="I237" s="21">
        <f t="shared" si="246"/>
        <v>0</v>
      </c>
      <c r="J237" s="21">
        <f t="shared" si="246"/>
        <v>0</v>
      </c>
      <c r="K237" s="21">
        <f t="shared" si="246"/>
        <v>0</v>
      </c>
      <c r="L237" s="21">
        <f>140</f>
        <v>140</v>
      </c>
    </row>
    <row r="238">
      <c r="B238" s="20">
        <v>46269.0</v>
      </c>
      <c r="C238" s="21">
        <v>180.0</v>
      </c>
      <c r="D238" s="21">
        <f t="shared" ref="D238:K238" si="247">0</f>
        <v>0</v>
      </c>
      <c r="E238" s="21">
        <f t="shared" si="247"/>
        <v>0</v>
      </c>
      <c r="F238" s="21">
        <f t="shared" si="247"/>
        <v>0</v>
      </c>
      <c r="G238" s="21">
        <f t="shared" si="247"/>
        <v>0</v>
      </c>
      <c r="H238" s="21">
        <f t="shared" si="247"/>
        <v>0</v>
      </c>
      <c r="I238" s="21">
        <f t="shared" si="247"/>
        <v>0</v>
      </c>
      <c r="J238" s="21">
        <f t="shared" si="247"/>
        <v>0</v>
      </c>
      <c r="K238" s="21">
        <f t="shared" si="247"/>
        <v>0</v>
      </c>
      <c r="L238" s="21">
        <f t="shared" ref="L238:L239" si="249">180</f>
        <v>180</v>
      </c>
    </row>
    <row r="239">
      <c r="B239" s="20">
        <v>46269.0</v>
      </c>
      <c r="C239" s="21">
        <v>180.0</v>
      </c>
      <c r="D239" s="21">
        <f t="shared" ref="D239:K239" si="248">0</f>
        <v>0</v>
      </c>
      <c r="E239" s="21">
        <f t="shared" si="248"/>
        <v>0</v>
      </c>
      <c r="F239" s="21">
        <f t="shared" si="248"/>
        <v>0</v>
      </c>
      <c r="G239" s="21">
        <f t="shared" si="248"/>
        <v>0</v>
      </c>
      <c r="H239" s="21">
        <f t="shared" si="248"/>
        <v>0</v>
      </c>
      <c r="I239" s="21">
        <f t="shared" si="248"/>
        <v>0</v>
      </c>
      <c r="J239" s="21">
        <f t="shared" si="248"/>
        <v>0</v>
      </c>
      <c r="K239" s="21">
        <f t="shared" si="248"/>
        <v>0</v>
      </c>
      <c r="L239" s="21">
        <f t="shared" si="249"/>
        <v>180</v>
      </c>
    </row>
    <row r="240">
      <c r="B240" s="20">
        <v>46269.0</v>
      </c>
      <c r="C240" s="21">
        <v>140.0</v>
      </c>
      <c r="D240" s="21">
        <f>140</f>
        <v>140</v>
      </c>
      <c r="E240" s="21">
        <f t="shared" ref="E240:L240" si="250">0</f>
        <v>0</v>
      </c>
      <c r="F240" s="21">
        <f t="shared" si="250"/>
        <v>0</v>
      </c>
      <c r="G240" s="21">
        <f t="shared" si="250"/>
        <v>0</v>
      </c>
      <c r="H240" s="21">
        <f t="shared" si="250"/>
        <v>0</v>
      </c>
      <c r="I240" s="21">
        <f t="shared" si="250"/>
        <v>0</v>
      </c>
      <c r="J240" s="21">
        <f t="shared" si="250"/>
        <v>0</v>
      </c>
      <c r="K240" s="21">
        <f t="shared" si="250"/>
        <v>0</v>
      </c>
      <c r="L240" s="21">
        <f t="shared" si="250"/>
        <v>0</v>
      </c>
    </row>
    <row r="241">
      <c r="B241" s="20">
        <v>46269.0</v>
      </c>
      <c r="C241" s="21">
        <v>200.0</v>
      </c>
      <c r="D241" s="21">
        <f t="shared" ref="D241:E241" si="251">0</f>
        <v>0</v>
      </c>
      <c r="E241" s="21">
        <f t="shared" si="251"/>
        <v>0</v>
      </c>
      <c r="F241" s="21">
        <f>20</f>
        <v>20</v>
      </c>
      <c r="G241" s="21">
        <f t="shared" ref="G241:H241" si="252">60</f>
        <v>60</v>
      </c>
      <c r="H241" s="21">
        <f t="shared" si="252"/>
        <v>60</v>
      </c>
      <c r="I241" s="21">
        <f t="shared" ref="I241:J241" si="253">0</f>
        <v>0</v>
      </c>
      <c r="J241" s="21">
        <f t="shared" si="253"/>
        <v>0</v>
      </c>
      <c r="K241" s="21">
        <f>60</f>
        <v>60</v>
      </c>
      <c r="L241" s="21">
        <f>0</f>
        <v>0</v>
      </c>
    </row>
    <row r="242">
      <c r="B242" s="20">
        <v>46269.0</v>
      </c>
      <c r="C242" s="21">
        <v>120.0</v>
      </c>
      <c r="D242" s="21">
        <f t="shared" ref="D242:K242" si="254">0</f>
        <v>0</v>
      </c>
      <c r="E242" s="21">
        <f t="shared" si="254"/>
        <v>0</v>
      </c>
      <c r="F242" s="21">
        <f t="shared" si="254"/>
        <v>0</v>
      </c>
      <c r="G242" s="21">
        <f t="shared" si="254"/>
        <v>0</v>
      </c>
      <c r="H242" s="21">
        <f t="shared" si="254"/>
        <v>0</v>
      </c>
      <c r="I242" s="21">
        <f t="shared" si="254"/>
        <v>0</v>
      </c>
      <c r="J242" s="21">
        <f t="shared" si="254"/>
        <v>0</v>
      </c>
      <c r="K242" s="21">
        <f t="shared" si="254"/>
        <v>0</v>
      </c>
      <c r="L242" s="21">
        <f>120</f>
        <v>120</v>
      </c>
    </row>
    <row r="243">
      <c r="B243" s="20">
        <v>46270.0</v>
      </c>
      <c r="C243" s="21">
        <v>380.0</v>
      </c>
      <c r="D243" s="21">
        <f t="shared" ref="D243:K243" si="255">0</f>
        <v>0</v>
      </c>
      <c r="E243" s="21">
        <f t="shared" si="255"/>
        <v>0</v>
      </c>
      <c r="F243" s="21">
        <f t="shared" si="255"/>
        <v>0</v>
      </c>
      <c r="G243" s="21">
        <f t="shared" si="255"/>
        <v>0</v>
      </c>
      <c r="H243" s="21">
        <f t="shared" si="255"/>
        <v>0</v>
      </c>
      <c r="I243" s="21">
        <f t="shared" si="255"/>
        <v>0</v>
      </c>
      <c r="J243" s="21">
        <f t="shared" si="255"/>
        <v>0</v>
      </c>
      <c r="K243" s="21">
        <f t="shared" si="255"/>
        <v>0</v>
      </c>
      <c r="L243" s="21">
        <f>380</f>
        <v>380</v>
      </c>
    </row>
    <row r="244">
      <c r="B244" s="20">
        <v>46270.0</v>
      </c>
      <c r="C244" s="21">
        <v>180.0</v>
      </c>
      <c r="D244" s="21">
        <f t="shared" ref="D244:K244" si="256">0</f>
        <v>0</v>
      </c>
      <c r="E244" s="21">
        <f t="shared" si="256"/>
        <v>0</v>
      </c>
      <c r="F244" s="21">
        <f t="shared" si="256"/>
        <v>0</v>
      </c>
      <c r="G244" s="21">
        <f t="shared" si="256"/>
        <v>0</v>
      </c>
      <c r="H244" s="21">
        <f t="shared" si="256"/>
        <v>0</v>
      </c>
      <c r="I244" s="21">
        <f t="shared" si="256"/>
        <v>0</v>
      </c>
      <c r="J244" s="21">
        <f t="shared" si="256"/>
        <v>0</v>
      </c>
      <c r="K244" s="21">
        <f t="shared" si="256"/>
        <v>0</v>
      </c>
      <c r="L244" s="21">
        <f>180</f>
        <v>180</v>
      </c>
    </row>
    <row r="245">
      <c r="B245" s="20">
        <v>46270.0</v>
      </c>
      <c r="C245" s="21">
        <v>40.0</v>
      </c>
      <c r="D245" s="21">
        <f t="shared" ref="D245:K245" si="257">0</f>
        <v>0</v>
      </c>
      <c r="E245" s="21">
        <f t="shared" si="257"/>
        <v>0</v>
      </c>
      <c r="F245" s="21">
        <f t="shared" si="257"/>
        <v>0</v>
      </c>
      <c r="G245" s="21">
        <f t="shared" si="257"/>
        <v>0</v>
      </c>
      <c r="H245" s="21">
        <f t="shared" si="257"/>
        <v>0</v>
      </c>
      <c r="I245" s="21">
        <f t="shared" si="257"/>
        <v>0</v>
      </c>
      <c r="J245" s="21">
        <f t="shared" si="257"/>
        <v>0</v>
      </c>
      <c r="K245" s="21">
        <f t="shared" si="257"/>
        <v>0</v>
      </c>
      <c r="L245" s="21">
        <f>40</f>
        <v>40</v>
      </c>
    </row>
    <row r="246">
      <c r="B246" s="20">
        <v>46271.0</v>
      </c>
      <c r="C246" s="21">
        <v>100.0</v>
      </c>
      <c r="D246" s="21">
        <f t="shared" ref="D246:E246" si="258">0</f>
        <v>0</v>
      </c>
      <c r="E246" s="21">
        <f t="shared" si="258"/>
        <v>0</v>
      </c>
      <c r="F246" s="21">
        <f>20</f>
        <v>20</v>
      </c>
      <c r="G246" s="21">
        <f>30</f>
        <v>30</v>
      </c>
      <c r="H246" s="21">
        <f>50</f>
        <v>50</v>
      </c>
      <c r="I246" s="21">
        <f t="shared" ref="I246:L246" si="259">0</f>
        <v>0</v>
      </c>
      <c r="J246" s="21">
        <f t="shared" si="259"/>
        <v>0</v>
      </c>
      <c r="K246" s="21">
        <f t="shared" si="259"/>
        <v>0</v>
      </c>
      <c r="L246" s="21">
        <f t="shared" si="259"/>
        <v>0</v>
      </c>
    </row>
    <row r="247">
      <c r="B247" s="20">
        <v>46271.0</v>
      </c>
      <c r="C247" s="21">
        <v>120.0</v>
      </c>
      <c r="D247" s="21">
        <f>48</f>
        <v>48</v>
      </c>
      <c r="E247" s="21">
        <f t="shared" ref="E247:F247" si="260">36</f>
        <v>36</v>
      </c>
      <c r="F247" s="21">
        <f t="shared" si="260"/>
        <v>36</v>
      </c>
      <c r="G247" s="21">
        <f t="shared" ref="G247:L247" si="261">0</f>
        <v>0</v>
      </c>
      <c r="H247" s="21">
        <f t="shared" si="261"/>
        <v>0</v>
      </c>
      <c r="I247" s="21">
        <f t="shared" si="261"/>
        <v>0</v>
      </c>
      <c r="J247" s="21">
        <f t="shared" si="261"/>
        <v>0</v>
      </c>
      <c r="K247" s="21">
        <f t="shared" si="261"/>
        <v>0</v>
      </c>
      <c r="L247" s="21">
        <f t="shared" si="261"/>
        <v>0</v>
      </c>
    </row>
    <row r="248">
      <c r="B248" s="20">
        <v>46271.0</v>
      </c>
      <c r="C248" s="21">
        <v>60.0</v>
      </c>
      <c r="D248" s="21">
        <f t="shared" ref="D248:F248" si="262">0</f>
        <v>0</v>
      </c>
      <c r="E248" s="21">
        <f t="shared" si="262"/>
        <v>0</v>
      </c>
      <c r="F248" s="21">
        <f t="shared" si="262"/>
        <v>0</v>
      </c>
      <c r="G248" s="21">
        <f>60</f>
        <v>60</v>
      </c>
      <c r="H248" s="21">
        <f t="shared" ref="H248:L248" si="263">0</f>
        <v>0</v>
      </c>
      <c r="I248" s="21">
        <f t="shared" si="263"/>
        <v>0</v>
      </c>
      <c r="J248" s="21">
        <f t="shared" si="263"/>
        <v>0</v>
      </c>
      <c r="K248" s="21">
        <f t="shared" si="263"/>
        <v>0</v>
      </c>
      <c r="L248" s="21">
        <f t="shared" si="263"/>
        <v>0</v>
      </c>
    </row>
    <row r="249">
      <c r="B249" s="20">
        <v>46272.0</v>
      </c>
      <c r="C249" s="21">
        <v>200.0</v>
      </c>
      <c r="D249" s="21">
        <f t="shared" ref="D249:K249" si="264">0</f>
        <v>0</v>
      </c>
      <c r="E249" s="21">
        <f t="shared" si="264"/>
        <v>0</v>
      </c>
      <c r="F249" s="21">
        <f t="shared" si="264"/>
        <v>0</v>
      </c>
      <c r="G249" s="21">
        <f t="shared" si="264"/>
        <v>0</v>
      </c>
      <c r="H249" s="21">
        <f t="shared" si="264"/>
        <v>0</v>
      </c>
      <c r="I249" s="21">
        <f t="shared" si="264"/>
        <v>0</v>
      </c>
      <c r="J249" s="21">
        <f t="shared" si="264"/>
        <v>0</v>
      </c>
      <c r="K249" s="21">
        <f t="shared" si="264"/>
        <v>0</v>
      </c>
      <c r="L249" s="21">
        <f>200</f>
        <v>200</v>
      </c>
    </row>
    <row r="250">
      <c r="B250" s="20">
        <v>46272.0</v>
      </c>
      <c r="C250" s="21">
        <v>220.0</v>
      </c>
      <c r="D250" s="21">
        <f t="shared" ref="D250:K250" si="265">0</f>
        <v>0</v>
      </c>
      <c r="E250" s="21">
        <f t="shared" si="265"/>
        <v>0</v>
      </c>
      <c r="F250" s="21">
        <f t="shared" si="265"/>
        <v>0</v>
      </c>
      <c r="G250" s="21">
        <f t="shared" si="265"/>
        <v>0</v>
      </c>
      <c r="H250" s="21">
        <f t="shared" si="265"/>
        <v>0</v>
      </c>
      <c r="I250" s="21">
        <f t="shared" si="265"/>
        <v>0</v>
      </c>
      <c r="J250" s="21">
        <f t="shared" si="265"/>
        <v>0</v>
      </c>
      <c r="K250" s="21">
        <f t="shared" si="265"/>
        <v>0</v>
      </c>
      <c r="L250" s="21">
        <f>220</f>
        <v>220</v>
      </c>
    </row>
    <row r="251">
      <c r="B251" s="20">
        <v>46272.0</v>
      </c>
      <c r="C251" s="21">
        <v>100.0</v>
      </c>
      <c r="D251" s="21">
        <f t="shared" ref="D251:K251" si="266">0</f>
        <v>0</v>
      </c>
      <c r="E251" s="21">
        <f t="shared" si="266"/>
        <v>0</v>
      </c>
      <c r="F251" s="21">
        <f t="shared" si="266"/>
        <v>0</v>
      </c>
      <c r="G251" s="21">
        <f t="shared" si="266"/>
        <v>0</v>
      </c>
      <c r="H251" s="21">
        <f t="shared" si="266"/>
        <v>0</v>
      </c>
      <c r="I251" s="21">
        <f t="shared" si="266"/>
        <v>0</v>
      </c>
      <c r="J251" s="21">
        <f t="shared" si="266"/>
        <v>0</v>
      </c>
      <c r="K251" s="21">
        <f t="shared" si="266"/>
        <v>0</v>
      </c>
      <c r="L251" s="21">
        <f>100</f>
        <v>100</v>
      </c>
    </row>
    <row r="252">
      <c r="B252" s="20">
        <v>46272.0</v>
      </c>
      <c r="C252" s="21">
        <v>100.0</v>
      </c>
      <c r="D252" s="21">
        <f t="shared" ref="D252:D253" si="268">0</f>
        <v>0</v>
      </c>
      <c r="E252" s="21">
        <f>100</f>
        <v>100</v>
      </c>
      <c r="F252" s="21">
        <f t="shared" ref="F252:L252" si="267">0</f>
        <v>0</v>
      </c>
      <c r="G252" s="21">
        <f t="shared" si="267"/>
        <v>0</v>
      </c>
      <c r="H252" s="21">
        <f t="shared" si="267"/>
        <v>0</v>
      </c>
      <c r="I252" s="21">
        <f t="shared" si="267"/>
        <v>0</v>
      </c>
      <c r="J252" s="21">
        <f t="shared" si="267"/>
        <v>0</v>
      </c>
      <c r="K252" s="21">
        <f t="shared" si="267"/>
        <v>0</v>
      </c>
      <c r="L252" s="21">
        <f t="shared" si="267"/>
        <v>0</v>
      </c>
    </row>
    <row r="253">
      <c r="B253" s="20">
        <v>46272.0</v>
      </c>
      <c r="C253" s="21">
        <v>120.0</v>
      </c>
      <c r="D253" s="21">
        <f t="shared" si="268"/>
        <v>0</v>
      </c>
      <c r="E253" s="21">
        <f>120</f>
        <v>120</v>
      </c>
      <c r="F253" s="21">
        <f t="shared" ref="F253:L253" si="269">0</f>
        <v>0</v>
      </c>
      <c r="G253" s="21">
        <f t="shared" si="269"/>
        <v>0</v>
      </c>
      <c r="H253" s="21">
        <f t="shared" si="269"/>
        <v>0</v>
      </c>
      <c r="I253" s="21">
        <f t="shared" si="269"/>
        <v>0</v>
      </c>
      <c r="J253" s="21">
        <f t="shared" si="269"/>
        <v>0</v>
      </c>
      <c r="K253" s="21">
        <f t="shared" si="269"/>
        <v>0</v>
      </c>
      <c r="L253" s="21">
        <f t="shared" si="269"/>
        <v>0</v>
      </c>
    </row>
    <row r="254">
      <c r="B254" s="20">
        <v>46273.0</v>
      </c>
      <c r="C254" s="21">
        <v>200.0</v>
      </c>
      <c r="D254" s="21">
        <f>20</f>
        <v>20</v>
      </c>
      <c r="E254" s="21">
        <f>0</f>
        <v>0</v>
      </c>
      <c r="F254" s="21">
        <f>60</f>
        <v>60</v>
      </c>
      <c r="G254" s="21">
        <f>80</f>
        <v>80</v>
      </c>
      <c r="H254" s="21">
        <f t="shared" ref="H254:J254" si="270">0</f>
        <v>0</v>
      </c>
      <c r="I254" s="21">
        <f t="shared" si="270"/>
        <v>0</v>
      </c>
      <c r="J254" s="21">
        <f t="shared" si="270"/>
        <v>0</v>
      </c>
      <c r="K254" s="21">
        <f t="shared" ref="K254:L254" si="271">20</f>
        <v>20</v>
      </c>
      <c r="L254" s="21">
        <f t="shared" si="271"/>
        <v>20</v>
      </c>
    </row>
    <row r="255">
      <c r="B255" s="20">
        <v>46273.0</v>
      </c>
      <c r="C255" s="21">
        <v>40.0</v>
      </c>
      <c r="D255" s="21">
        <f t="shared" ref="D255:K255" si="272">0</f>
        <v>0</v>
      </c>
      <c r="E255" s="21">
        <f t="shared" si="272"/>
        <v>0</v>
      </c>
      <c r="F255" s="21">
        <f t="shared" si="272"/>
        <v>0</v>
      </c>
      <c r="G255" s="21">
        <f t="shared" si="272"/>
        <v>0</v>
      </c>
      <c r="H255" s="21">
        <f t="shared" si="272"/>
        <v>0</v>
      </c>
      <c r="I255" s="21">
        <f t="shared" si="272"/>
        <v>0</v>
      </c>
      <c r="J255" s="21">
        <f t="shared" si="272"/>
        <v>0</v>
      </c>
      <c r="K255" s="21">
        <f t="shared" si="272"/>
        <v>0</v>
      </c>
      <c r="L255" s="21">
        <f>40</f>
        <v>40</v>
      </c>
    </row>
    <row r="256">
      <c r="B256" s="20">
        <v>46273.0</v>
      </c>
      <c r="C256" s="21">
        <v>40.0</v>
      </c>
      <c r="D256" s="21">
        <f t="shared" ref="D256:F256" si="273">0</f>
        <v>0</v>
      </c>
      <c r="E256" s="21">
        <f t="shared" si="273"/>
        <v>0</v>
      </c>
      <c r="F256" s="21">
        <f t="shared" si="273"/>
        <v>0</v>
      </c>
      <c r="G256" s="21">
        <f t="shared" ref="G256:H256" si="274">20</f>
        <v>20</v>
      </c>
      <c r="H256" s="21">
        <f t="shared" si="274"/>
        <v>20</v>
      </c>
      <c r="I256" s="21">
        <f t="shared" ref="I256:L256" si="275">0</f>
        <v>0</v>
      </c>
      <c r="J256" s="21">
        <f t="shared" si="275"/>
        <v>0</v>
      </c>
      <c r="K256" s="21">
        <f t="shared" si="275"/>
        <v>0</v>
      </c>
      <c r="L256" s="21">
        <f t="shared" si="275"/>
        <v>0</v>
      </c>
    </row>
    <row r="257">
      <c r="B257" s="20">
        <v>46274.0</v>
      </c>
      <c r="C257" s="21">
        <v>100.0</v>
      </c>
      <c r="D257" s="21">
        <f t="shared" ref="D257:K257" si="276">0</f>
        <v>0</v>
      </c>
      <c r="E257" s="21">
        <f t="shared" si="276"/>
        <v>0</v>
      </c>
      <c r="F257" s="21">
        <f t="shared" si="276"/>
        <v>0</v>
      </c>
      <c r="G257" s="21">
        <f t="shared" si="276"/>
        <v>0</v>
      </c>
      <c r="H257" s="21">
        <f t="shared" si="276"/>
        <v>0</v>
      </c>
      <c r="I257" s="21">
        <f t="shared" si="276"/>
        <v>0</v>
      </c>
      <c r="J257" s="21">
        <f t="shared" si="276"/>
        <v>0</v>
      </c>
      <c r="K257" s="21">
        <f t="shared" si="276"/>
        <v>0</v>
      </c>
      <c r="L257" s="21">
        <f>100</f>
        <v>100</v>
      </c>
    </row>
    <row r="258">
      <c r="B258" s="20">
        <v>46274.0</v>
      </c>
      <c r="C258" s="21">
        <v>120.0</v>
      </c>
      <c r="D258" s="21">
        <f>0</f>
        <v>0</v>
      </c>
      <c r="E258" s="21">
        <f>72</f>
        <v>72</v>
      </c>
      <c r="F258" s="21">
        <f t="shared" ref="F258:G258" si="277">24</f>
        <v>24</v>
      </c>
      <c r="G258" s="21">
        <f t="shared" si="277"/>
        <v>24</v>
      </c>
      <c r="H258" s="21">
        <f t="shared" ref="H258:L258" si="278">0</f>
        <v>0</v>
      </c>
      <c r="I258" s="21">
        <f t="shared" si="278"/>
        <v>0</v>
      </c>
      <c r="J258" s="21">
        <f t="shared" si="278"/>
        <v>0</v>
      </c>
      <c r="K258" s="21">
        <f t="shared" si="278"/>
        <v>0</v>
      </c>
      <c r="L258" s="21">
        <f t="shared" si="278"/>
        <v>0</v>
      </c>
    </row>
    <row r="259">
      <c r="B259" s="20">
        <v>46274.0</v>
      </c>
      <c r="C259" s="21">
        <v>140.0</v>
      </c>
      <c r="D259" s="21">
        <v>0.0</v>
      </c>
      <c r="E259" s="21">
        <v>0.0</v>
      </c>
      <c r="F259" s="21">
        <v>0.0</v>
      </c>
      <c r="G259" s="21">
        <v>0.0</v>
      </c>
      <c r="H259" s="21">
        <v>0.0</v>
      </c>
      <c r="I259" s="21">
        <v>0.0</v>
      </c>
      <c r="J259" s="21">
        <v>0.0</v>
      </c>
      <c r="K259" s="21">
        <v>0.0</v>
      </c>
      <c r="L259" s="21">
        <v>140.0</v>
      </c>
    </row>
    <row r="260">
      <c r="B260" s="20">
        <v>46275.0</v>
      </c>
      <c r="C260" s="21">
        <v>200.0</v>
      </c>
      <c r="D260" s="21">
        <f t="shared" ref="D260:E260" si="279">0</f>
        <v>0</v>
      </c>
      <c r="E260" s="21">
        <f t="shared" si="279"/>
        <v>0</v>
      </c>
      <c r="F260" s="21">
        <f>40</f>
        <v>40</v>
      </c>
      <c r="G260" s="21">
        <f>80</f>
        <v>80</v>
      </c>
      <c r="H260" s="21">
        <f>40</f>
        <v>40</v>
      </c>
      <c r="I260" s="21">
        <f t="shared" ref="I260:K260" si="280">0</f>
        <v>0</v>
      </c>
      <c r="J260" s="21">
        <f t="shared" si="280"/>
        <v>0</v>
      </c>
      <c r="K260" s="21">
        <f t="shared" si="280"/>
        <v>0</v>
      </c>
      <c r="L260" s="21">
        <f>40</f>
        <v>40</v>
      </c>
    </row>
    <row r="261">
      <c r="B261" s="20">
        <v>46275.0</v>
      </c>
      <c r="C261" s="21">
        <v>40.0</v>
      </c>
      <c r="D261" s="21">
        <v>0.0</v>
      </c>
      <c r="E261" s="21">
        <v>0.0</v>
      </c>
      <c r="F261" s="21">
        <v>0.0</v>
      </c>
      <c r="G261" s="21">
        <v>0.0</v>
      </c>
      <c r="H261" s="21">
        <v>0.0</v>
      </c>
      <c r="I261" s="21">
        <v>0.0</v>
      </c>
      <c r="J261" s="21">
        <v>0.0</v>
      </c>
      <c r="K261" s="21">
        <v>0.0</v>
      </c>
      <c r="L261" s="21">
        <v>40.0</v>
      </c>
    </row>
    <row r="262">
      <c r="B262" s="20">
        <v>46275.0</v>
      </c>
      <c r="C262" s="21">
        <v>220.0</v>
      </c>
      <c r="D262" s="21">
        <f t="shared" ref="D262:E262" si="281">0</f>
        <v>0</v>
      </c>
      <c r="E262" s="21">
        <f t="shared" si="281"/>
        <v>0</v>
      </c>
      <c r="F262" s="21">
        <f>44</f>
        <v>44</v>
      </c>
      <c r="G262" s="21">
        <f>110</f>
        <v>110</v>
      </c>
      <c r="H262" s="21">
        <f t="shared" ref="H262:I262" si="282">0</f>
        <v>0</v>
      </c>
      <c r="I262" s="21">
        <f t="shared" si="282"/>
        <v>0</v>
      </c>
      <c r="J262" s="21">
        <f>22</f>
        <v>22</v>
      </c>
      <c r="K262" s="21">
        <f>0</f>
        <v>0</v>
      </c>
      <c r="L262" s="21">
        <f>44</f>
        <v>44</v>
      </c>
    </row>
    <row r="263">
      <c r="B263" s="20">
        <v>46275.0</v>
      </c>
      <c r="C263" s="21">
        <v>120.0</v>
      </c>
      <c r="D263" s="21">
        <v>0.0</v>
      </c>
      <c r="E263" s="21">
        <v>0.0</v>
      </c>
      <c r="F263" s="21">
        <v>0.0</v>
      </c>
      <c r="G263" s="21">
        <v>0.0</v>
      </c>
      <c r="H263" s="21">
        <v>0.0</v>
      </c>
      <c r="I263" s="21">
        <v>0.0</v>
      </c>
      <c r="J263" s="21">
        <v>0.0</v>
      </c>
      <c r="K263" s="21">
        <v>0.0</v>
      </c>
      <c r="L263" s="21">
        <v>120.0</v>
      </c>
    </row>
    <row r="264">
      <c r="B264" s="20">
        <v>46275.0</v>
      </c>
      <c r="C264" s="21">
        <v>180.0</v>
      </c>
      <c r="D264" s="21">
        <f t="shared" ref="D264:F264" si="283">0</f>
        <v>0</v>
      </c>
      <c r="E264" s="21">
        <f t="shared" si="283"/>
        <v>0</v>
      </c>
      <c r="F264" s="21">
        <f t="shared" si="283"/>
        <v>0</v>
      </c>
      <c r="G264" s="21">
        <f t="shared" ref="G264:H264" si="284">90</f>
        <v>90</v>
      </c>
      <c r="H264" s="21">
        <f t="shared" si="284"/>
        <v>90</v>
      </c>
      <c r="I264" s="21">
        <f t="shared" ref="I264:L264" si="285">0</f>
        <v>0</v>
      </c>
      <c r="J264" s="21">
        <f t="shared" si="285"/>
        <v>0</v>
      </c>
      <c r="K264" s="21">
        <f t="shared" si="285"/>
        <v>0</v>
      </c>
      <c r="L264" s="21">
        <f t="shared" si="285"/>
        <v>0</v>
      </c>
    </row>
    <row r="265">
      <c r="B265" s="20">
        <v>46276.0</v>
      </c>
      <c r="C265" s="21">
        <v>300.0</v>
      </c>
      <c r="D265" s="21">
        <f>0</f>
        <v>0</v>
      </c>
      <c r="E265" s="21">
        <f>60</f>
        <v>60</v>
      </c>
      <c r="F265" s="21">
        <f>0</f>
        <v>0</v>
      </c>
      <c r="G265" s="21">
        <f>60</f>
        <v>60</v>
      </c>
      <c r="H265" s="21">
        <f t="shared" ref="H265:I265" si="286">0</f>
        <v>0</v>
      </c>
      <c r="I265" s="21">
        <f t="shared" si="286"/>
        <v>0</v>
      </c>
      <c r="J265" s="21">
        <f>180</f>
        <v>180</v>
      </c>
      <c r="K265" s="21">
        <f t="shared" ref="K265:L265" si="287">0</f>
        <v>0</v>
      </c>
      <c r="L265" s="21">
        <f t="shared" si="287"/>
        <v>0</v>
      </c>
    </row>
    <row r="266">
      <c r="B266" s="20">
        <v>46276.0</v>
      </c>
      <c r="C266" s="21">
        <v>80.0</v>
      </c>
      <c r="D266" s="21">
        <v>0.0</v>
      </c>
      <c r="E266" s="21">
        <v>0.0</v>
      </c>
      <c r="F266" s="21">
        <v>0.0</v>
      </c>
      <c r="G266" s="21">
        <v>0.0</v>
      </c>
      <c r="H266" s="21">
        <v>0.0</v>
      </c>
      <c r="I266" s="21">
        <v>0.0</v>
      </c>
      <c r="J266" s="21">
        <v>0.0</v>
      </c>
      <c r="K266" s="21">
        <v>0.0</v>
      </c>
      <c r="L266" s="21">
        <v>80.0</v>
      </c>
    </row>
    <row r="267">
      <c r="B267" s="20">
        <v>46276.0</v>
      </c>
      <c r="C267" s="21">
        <v>260.0</v>
      </c>
      <c r="D267" s="21">
        <v>0.0</v>
      </c>
      <c r="E267" s="21">
        <v>0.0</v>
      </c>
      <c r="F267" s="21">
        <v>0.0</v>
      </c>
      <c r="G267" s="21">
        <v>0.0</v>
      </c>
      <c r="H267" s="21">
        <v>0.0</v>
      </c>
      <c r="I267" s="21">
        <v>0.0</v>
      </c>
      <c r="J267" s="21">
        <v>0.0</v>
      </c>
      <c r="K267" s="21">
        <v>0.0</v>
      </c>
      <c r="L267" s="21">
        <v>260.0</v>
      </c>
    </row>
    <row r="268">
      <c r="B268" s="20">
        <v>46276.0</v>
      </c>
      <c r="C268" s="21">
        <v>180.0</v>
      </c>
      <c r="D268" s="21">
        <f>0</f>
        <v>0</v>
      </c>
      <c r="E268" s="21">
        <f>180</f>
        <v>180</v>
      </c>
      <c r="F268" s="21">
        <f t="shared" ref="F268:L268" si="288">0</f>
        <v>0</v>
      </c>
      <c r="G268" s="21">
        <f t="shared" si="288"/>
        <v>0</v>
      </c>
      <c r="H268" s="21">
        <f t="shared" si="288"/>
        <v>0</v>
      </c>
      <c r="I268" s="21">
        <f t="shared" si="288"/>
        <v>0</v>
      </c>
      <c r="J268" s="21">
        <f t="shared" si="288"/>
        <v>0</v>
      </c>
      <c r="K268" s="21">
        <f t="shared" si="288"/>
        <v>0</v>
      </c>
      <c r="L268" s="21">
        <f t="shared" si="288"/>
        <v>0</v>
      </c>
    </row>
    <row r="269">
      <c r="B269" s="20">
        <v>46276.0</v>
      </c>
      <c r="C269" s="21">
        <v>200.0</v>
      </c>
      <c r="D269" s="21">
        <v>0.0</v>
      </c>
      <c r="E269" s="21">
        <v>0.0</v>
      </c>
      <c r="F269" s="21">
        <v>0.0</v>
      </c>
      <c r="G269" s="21">
        <v>0.0</v>
      </c>
      <c r="H269" s="21">
        <v>0.0</v>
      </c>
      <c r="I269" s="21">
        <v>0.0</v>
      </c>
      <c r="J269" s="21">
        <v>0.0</v>
      </c>
      <c r="K269" s="21">
        <v>0.0</v>
      </c>
      <c r="L269" s="21">
        <v>200.0</v>
      </c>
    </row>
    <row r="270">
      <c r="B270" s="20">
        <v>46276.0</v>
      </c>
      <c r="C270" s="21">
        <v>340.0</v>
      </c>
      <c r="D270" s="21">
        <f t="shared" ref="D270:K270" si="289">0</f>
        <v>0</v>
      </c>
      <c r="E270" s="21">
        <f t="shared" si="289"/>
        <v>0</v>
      </c>
      <c r="F270" s="21">
        <f t="shared" si="289"/>
        <v>0</v>
      </c>
      <c r="G270" s="21">
        <f t="shared" si="289"/>
        <v>0</v>
      </c>
      <c r="H270" s="21">
        <f t="shared" si="289"/>
        <v>0</v>
      </c>
      <c r="I270" s="21">
        <f t="shared" si="289"/>
        <v>0</v>
      </c>
      <c r="J270" s="21">
        <f t="shared" si="289"/>
        <v>0</v>
      </c>
      <c r="K270" s="21">
        <f t="shared" si="289"/>
        <v>0</v>
      </c>
      <c r="L270" s="21">
        <f>340</f>
        <v>340</v>
      </c>
    </row>
    <row r="271">
      <c r="B271" s="20">
        <v>46277.0</v>
      </c>
      <c r="C271" s="21">
        <v>140.0</v>
      </c>
      <c r="D271" s="21">
        <f t="shared" ref="D271:F271" si="290">0</f>
        <v>0</v>
      </c>
      <c r="E271" s="21">
        <f t="shared" si="290"/>
        <v>0</v>
      </c>
      <c r="F271" s="21">
        <f t="shared" si="290"/>
        <v>0</v>
      </c>
      <c r="G271" s="21">
        <f>126</f>
        <v>126</v>
      </c>
      <c r="H271" s="21">
        <f t="shared" ref="H271:I271" si="291">0</f>
        <v>0</v>
      </c>
      <c r="I271" s="21">
        <f t="shared" si="291"/>
        <v>0</v>
      </c>
      <c r="J271" s="21">
        <f>14</f>
        <v>14</v>
      </c>
      <c r="K271" s="21">
        <f t="shared" ref="K271:L271" si="292">0</f>
        <v>0</v>
      </c>
      <c r="L271" s="21">
        <f t="shared" si="292"/>
        <v>0</v>
      </c>
    </row>
    <row r="272">
      <c r="B272" s="20">
        <v>46277.0</v>
      </c>
      <c r="C272" s="21">
        <v>200.0</v>
      </c>
      <c r="D272" s="21">
        <f t="shared" ref="D272:D273" si="294">200</f>
        <v>200</v>
      </c>
      <c r="E272" s="21">
        <f t="shared" ref="E272:L272" si="293">0</f>
        <v>0</v>
      </c>
      <c r="F272" s="21">
        <f t="shared" si="293"/>
        <v>0</v>
      </c>
      <c r="G272" s="21">
        <f t="shared" si="293"/>
        <v>0</v>
      </c>
      <c r="H272" s="21">
        <f t="shared" si="293"/>
        <v>0</v>
      </c>
      <c r="I272" s="21">
        <f t="shared" si="293"/>
        <v>0</v>
      </c>
      <c r="J272" s="21">
        <f t="shared" si="293"/>
        <v>0</v>
      </c>
      <c r="K272" s="21">
        <f t="shared" si="293"/>
        <v>0</v>
      </c>
      <c r="L272" s="21">
        <f t="shared" si="293"/>
        <v>0</v>
      </c>
    </row>
    <row r="273">
      <c r="B273" s="20">
        <v>46277.0</v>
      </c>
      <c r="C273" s="21">
        <v>200.0</v>
      </c>
      <c r="D273" s="21">
        <f t="shared" si="294"/>
        <v>200</v>
      </c>
      <c r="E273" s="21">
        <f t="shared" ref="E273:L273" si="295">0</f>
        <v>0</v>
      </c>
      <c r="F273" s="21">
        <f t="shared" si="295"/>
        <v>0</v>
      </c>
      <c r="G273" s="21">
        <f t="shared" si="295"/>
        <v>0</v>
      </c>
      <c r="H273" s="21">
        <f t="shared" si="295"/>
        <v>0</v>
      </c>
      <c r="I273" s="21">
        <f t="shared" si="295"/>
        <v>0</v>
      </c>
      <c r="J273" s="21">
        <f t="shared" si="295"/>
        <v>0</v>
      </c>
      <c r="K273" s="21">
        <f t="shared" si="295"/>
        <v>0</v>
      </c>
      <c r="L273" s="21">
        <f t="shared" si="295"/>
        <v>0</v>
      </c>
    </row>
    <row r="274">
      <c r="B274" s="20">
        <v>46278.0</v>
      </c>
      <c r="C274" s="21">
        <v>140.0</v>
      </c>
      <c r="D274" s="21">
        <f>28</f>
        <v>28</v>
      </c>
      <c r="E274" s="21">
        <f>42</f>
        <v>42</v>
      </c>
      <c r="F274" s="21">
        <f>0</f>
        <v>0</v>
      </c>
      <c r="G274" s="21">
        <f>42</f>
        <v>42</v>
      </c>
      <c r="H274" s="21">
        <f t="shared" ref="H274:K274" si="296">0</f>
        <v>0</v>
      </c>
      <c r="I274" s="21">
        <f t="shared" si="296"/>
        <v>0</v>
      </c>
      <c r="J274" s="21">
        <f t="shared" si="296"/>
        <v>0</v>
      </c>
      <c r="K274" s="21">
        <f t="shared" si="296"/>
        <v>0</v>
      </c>
      <c r="L274" s="21">
        <f>28</f>
        <v>28</v>
      </c>
    </row>
    <row r="275">
      <c r="B275" s="20">
        <v>46278.0</v>
      </c>
      <c r="C275" s="21">
        <v>80.0</v>
      </c>
      <c r="D275" s="21">
        <v>0.0</v>
      </c>
      <c r="E275" s="21">
        <v>0.0</v>
      </c>
      <c r="F275" s="21">
        <v>0.0</v>
      </c>
      <c r="G275" s="21">
        <v>0.0</v>
      </c>
      <c r="H275" s="21">
        <v>0.0</v>
      </c>
      <c r="I275" s="21">
        <v>0.0</v>
      </c>
      <c r="J275" s="21">
        <v>0.0</v>
      </c>
      <c r="K275" s="21">
        <v>0.0</v>
      </c>
      <c r="L275" s="21">
        <v>80.0</v>
      </c>
    </row>
    <row r="276">
      <c r="B276" s="20">
        <v>46278.0</v>
      </c>
      <c r="C276" s="21">
        <v>40.0</v>
      </c>
      <c r="D276" s="21">
        <v>0.0</v>
      </c>
      <c r="E276" s="21">
        <v>0.0</v>
      </c>
      <c r="F276" s="21">
        <v>0.0</v>
      </c>
      <c r="G276" s="21">
        <v>0.0</v>
      </c>
      <c r="H276" s="21">
        <v>0.0</v>
      </c>
      <c r="I276" s="21">
        <v>0.0</v>
      </c>
      <c r="J276" s="21">
        <v>0.0</v>
      </c>
      <c r="K276" s="21">
        <v>0.0</v>
      </c>
      <c r="L276" s="21">
        <v>40.0</v>
      </c>
    </row>
    <row r="277">
      <c r="B277" s="20">
        <v>46278.0</v>
      </c>
      <c r="C277" s="21">
        <v>160.0</v>
      </c>
      <c r="D277" s="21">
        <v>0.0</v>
      </c>
      <c r="E277" s="21">
        <v>0.0</v>
      </c>
      <c r="F277" s="21">
        <v>0.0</v>
      </c>
      <c r="G277" s="21">
        <v>0.0</v>
      </c>
      <c r="H277" s="21">
        <v>0.0</v>
      </c>
      <c r="I277" s="21">
        <v>0.0</v>
      </c>
      <c r="J277" s="21">
        <v>0.0</v>
      </c>
      <c r="K277" s="21">
        <v>0.0</v>
      </c>
      <c r="L277" s="21">
        <v>160.0</v>
      </c>
    </row>
    <row r="278">
      <c r="B278" s="20">
        <v>46279.0</v>
      </c>
      <c r="C278" s="21">
        <v>60.0</v>
      </c>
      <c r="D278" s="21">
        <v>0.0</v>
      </c>
      <c r="E278" s="21">
        <v>0.0</v>
      </c>
      <c r="F278" s="21">
        <v>0.0</v>
      </c>
      <c r="G278" s="21">
        <v>0.0</v>
      </c>
      <c r="H278" s="21">
        <v>0.0</v>
      </c>
      <c r="I278" s="21">
        <v>0.0</v>
      </c>
      <c r="J278" s="21">
        <v>0.0</v>
      </c>
      <c r="K278" s="21">
        <v>0.0</v>
      </c>
      <c r="L278" s="21">
        <v>60.0</v>
      </c>
    </row>
    <row r="279">
      <c r="B279" s="20">
        <v>46279.0</v>
      </c>
      <c r="C279" s="21">
        <v>80.0</v>
      </c>
      <c r="D279" s="21">
        <v>0.0</v>
      </c>
      <c r="E279" s="21">
        <v>0.0</v>
      </c>
      <c r="F279" s="21">
        <v>0.0</v>
      </c>
      <c r="G279" s="21">
        <v>0.0</v>
      </c>
      <c r="H279" s="21">
        <v>0.0</v>
      </c>
      <c r="I279" s="21">
        <v>0.0</v>
      </c>
      <c r="J279" s="21">
        <v>0.0</v>
      </c>
      <c r="K279" s="21">
        <v>0.0</v>
      </c>
      <c r="L279" s="21">
        <v>80.0</v>
      </c>
    </row>
    <row r="280">
      <c r="B280" s="20">
        <v>46279.0</v>
      </c>
      <c r="C280" s="21">
        <v>240.0</v>
      </c>
      <c r="D280" s="21">
        <f t="shared" ref="D280:K280" si="297">0</f>
        <v>0</v>
      </c>
      <c r="E280" s="21">
        <f t="shared" si="297"/>
        <v>0</v>
      </c>
      <c r="F280" s="21">
        <f t="shared" si="297"/>
        <v>0</v>
      </c>
      <c r="G280" s="21">
        <f t="shared" si="297"/>
        <v>0</v>
      </c>
      <c r="H280" s="21">
        <f t="shared" si="297"/>
        <v>0</v>
      </c>
      <c r="I280" s="21">
        <f t="shared" si="297"/>
        <v>0</v>
      </c>
      <c r="J280" s="21">
        <f t="shared" si="297"/>
        <v>0</v>
      </c>
      <c r="K280" s="21">
        <f t="shared" si="297"/>
        <v>0</v>
      </c>
      <c r="L280" s="21">
        <f>240</f>
        <v>240</v>
      </c>
    </row>
    <row r="281">
      <c r="B281" s="20">
        <v>46279.0</v>
      </c>
      <c r="C281" s="21">
        <v>40.0</v>
      </c>
      <c r="D281" s="21">
        <f t="shared" ref="D281:F281" si="298">0</f>
        <v>0</v>
      </c>
      <c r="E281" s="21">
        <f t="shared" si="298"/>
        <v>0</v>
      </c>
      <c r="F281" s="21">
        <f t="shared" si="298"/>
        <v>0</v>
      </c>
      <c r="G281" s="21">
        <f t="shared" ref="G281:G282" si="301">40</f>
        <v>40</v>
      </c>
      <c r="H281" s="21">
        <f t="shared" ref="H281:L281" si="299">0</f>
        <v>0</v>
      </c>
      <c r="I281" s="21">
        <f t="shared" si="299"/>
        <v>0</v>
      </c>
      <c r="J281" s="21">
        <f t="shared" si="299"/>
        <v>0</v>
      </c>
      <c r="K281" s="21">
        <f t="shared" si="299"/>
        <v>0</v>
      </c>
      <c r="L281" s="21">
        <f t="shared" si="299"/>
        <v>0</v>
      </c>
    </row>
    <row r="282">
      <c r="B282" s="20">
        <v>46280.0</v>
      </c>
      <c r="C282" s="21">
        <v>40.0</v>
      </c>
      <c r="D282" s="21">
        <f t="shared" ref="D282:F282" si="300">0</f>
        <v>0</v>
      </c>
      <c r="E282" s="21">
        <f t="shared" si="300"/>
        <v>0</v>
      </c>
      <c r="F282" s="21">
        <f t="shared" si="300"/>
        <v>0</v>
      </c>
      <c r="G282" s="21">
        <f t="shared" si="301"/>
        <v>40</v>
      </c>
      <c r="H282" s="21">
        <f t="shared" ref="H282:L282" si="302">0</f>
        <v>0</v>
      </c>
      <c r="I282" s="21">
        <f t="shared" si="302"/>
        <v>0</v>
      </c>
      <c r="J282" s="21">
        <f t="shared" si="302"/>
        <v>0</v>
      </c>
      <c r="K282" s="21">
        <f t="shared" si="302"/>
        <v>0</v>
      </c>
      <c r="L282" s="21">
        <f t="shared" si="302"/>
        <v>0</v>
      </c>
    </row>
    <row r="283">
      <c r="B283" s="20">
        <v>46281.0</v>
      </c>
      <c r="C283" s="21">
        <v>220.0</v>
      </c>
      <c r="D283" s="21">
        <v>0.0</v>
      </c>
      <c r="E283" s="21">
        <v>0.0</v>
      </c>
      <c r="F283" s="21">
        <v>0.0</v>
      </c>
      <c r="G283" s="21">
        <v>0.0</v>
      </c>
      <c r="H283" s="21">
        <v>0.0</v>
      </c>
      <c r="I283" s="21">
        <v>0.0</v>
      </c>
      <c r="J283" s="21">
        <v>0.0</v>
      </c>
      <c r="K283" s="21">
        <v>0.0</v>
      </c>
      <c r="L283" s="21">
        <v>220.0</v>
      </c>
    </row>
    <row r="284">
      <c r="B284" s="20">
        <v>46282.0</v>
      </c>
      <c r="C284" s="21">
        <v>160.0</v>
      </c>
      <c r="D284" s="21">
        <v>0.0</v>
      </c>
      <c r="E284" s="21">
        <v>0.0</v>
      </c>
      <c r="F284" s="21">
        <v>0.0</v>
      </c>
      <c r="G284" s="21">
        <v>0.0</v>
      </c>
      <c r="H284" s="21">
        <v>0.0</v>
      </c>
      <c r="I284" s="21">
        <v>0.0</v>
      </c>
      <c r="J284" s="21">
        <v>0.0</v>
      </c>
      <c r="K284" s="21">
        <v>0.0</v>
      </c>
      <c r="L284" s="21">
        <v>160.0</v>
      </c>
    </row>
    <row r="285">
      <c r="B285" s="20">
        <v>46282.0</v>
      </c>
      <c r="C285" s="21">
        <v>160.0</v>
      </c>
      <c r="D285" s="21">
        <f t="shared" ref="D285:E285" si="303">0</f>
        <v>0</v>
      </c>
      <c r="E285" s="21">
        <f t="shared" si="303"/>
        <v>0</v>
      </c>
      <c r="F285" s="21">
        <f>112</f>
        <v>112</v>
      </c>
      <c r="G285" s="21">
        <f>48</f>
        <v>48</v>
      </c>
      <c r="H285" s="21">
        <f t="shared" ref="H285:L285" si="304">0</f>
        <v>0</v>
      </c>
      <c r="I285" s="21">
        <f t="shared" si="304"/>
        <v>0</v>
      </c>
      <c r="J285" s="21">
        <f t="shared" si="304"/>
        <v>0</v>
      </c>
      <c r="K285" s="21">
        <f t="shared" si="304"/>
        <v>0</v>
      </c>
      <c r="L285" s="21">
        <f t="shared" si="304"/>
        <v>0</v>
      </c>
    </row>
    <row r="286">
      <c r="B286" s="20">
        <v>46282.0</v>
      </c>
      <c r="C286" s="21">
        <v>60.0</v>
      </c>
      <c r="D286" s="21">
        <f t="shared" ref="D286:D287" si="306">0</f>
        <v>0</v>
      </c>
      <c r="E286" s="21">
        <f>60</f>
        <v>60</v>
      </c>
      <c r="F286" s="21">
        <f t="shared" ref="F286:L286" si="305">0</f>
        <v>0</v>
      </c>
      <c r="G286" s="21">
        <f t="shared" si="305"/>
        <v>0</v>
      </c>
      <c r="H286" s="21">
        <f t="shared" si="305"/>
        <v>0</v>
      </c>
      <c r="I286" s="21">
        <f t="shared" si="305"/>
        <v>0</v>
      </c>
      <c r="J286" s="21">
        <f t="shared" si="305"/>
        <v>0</v>
      </c>
      <c r="K286" s="21">
        <f t="shared" si="305"/>
        <v>0</v>
      </c>
      <c r="L286" s="21">
        <f t="shared" si="305"/>
        <v>0</v>
      </c>
    </row>
    <row r="287">
      <c r="B287" s="20">
        <v>46282.0</v>
      </c>
      <c r="C287" s="21">
        <v>360.0</v>
      </c>
      <c r="D287" s="21">
        <f t="shared" si="306"/>
        <v>0</v>
      </c>
      <c r="E287" s="21">
        <f t="shared" ref="E287:E288" si="308">0</f>
        <v>0</v>
      </c>
      <c r="F287" s="21">
        <f>180</f>
        <v>180</v>
      </c>
      <c r="G287" s="21">
        <f t="shared" ref="G287:J287" si="307">0</f>
        <v>0</v>
      </c>
      <c r="H287" s="21">
        <f t="shared" si="307"/>
        <v>0</v>
      </c>
      <c r="I287" s="21">
        <f t="shared" si="307"/>
        <v>0</v>
      </c>
      <c r="J287" s="21">
        <f t="shared" si="307"/>
        <v>0</v>
      </c>
      <c r="K287" s="21">
        <f>72</f>
        <v>72</v>
      </c>
      <c r="L287" s="21">
        <f>108</f>
        <v>108</v>
      </c>
    </row>
    <row r="288">
      <c r="B288" s="20">
        <v>46283.0</v>
      </c>
      <c r="C288" s="21">
        <v>180.0</v>
      </c>
      <c r="D288" s="21">
        <f>72</f>
        <v>72</v>
      </c>
      <c r="E288" s="21">
        <f t="shared" si="308"/>
        <v>0</v>
      </c>
      <c r="F288" s="21">
        <f>36</f>
        <v>36</v>
      </c>
      <c r="G288" s="21">
        <f t="shared" ref="G288:H288" si="309">18</f>
        <v>18</v>
      </c>
      <c r="H288" s="21">
        <f t="shared" si="309"/>
        <v>18</v>
      </c>
      <c r="I288" s="21">
        <f>0</f>
        <v>0</v>
      </c>
      <c r="J288" s="21">
        <f t="shared" ref="J288:K288" si="310">18</f>
        <v>18</v>
      </c>
      <c r="K288" s="21">
        <f t="shared" si="310"/>
        <v>18</v>
      </c>
      <c r="L288" s="21">
        <f>0</f>
        <v>0</v>
      </c>
    </row>
    <row r="289">
      <c r="B289" s="20">
        <v>46284.0</v>
      </c>
      <c r="C289" s="21">
        <v>280.0</v>
      </c>
      <c r="D289" s="21">
        <v>0.0</v>
      </c>
      <c r="E289" s="21">
        <v>0.0</v>
      </c>
      <c r="F289" s="21">
        <v>0.0</v>
      </c>
      <c r="G289" s="21">
        <v>0.0</v>
      </c>
      <c r="H289" s="21">
        <v>0.0</v>
      </c>
      <c r="I289" s="21">
        <v>0.0</v>
      </c>
      <c r="J289" s="21">
        <v>0.0</v>
      </c>
      <c r="K289" s="21">
        <v>0.0</v>
      </c>
      <c r="L289" s="21">
        <v>280.0</v>
      </c>
    </row>
    <row r="290">
      <c r="B290" s="20">
        <v>46284.0</v>
      </c>
      <c r="C290" s="21">
        <v>220.0</v>
      </c>
      <c r="D290" s="21">
        <v>0.0</v>
      </c>
      <c r="E290" s="21">
        <v>0.0</v>
      </c>
      <c r="F290" s="21">
        <v>0.0</v>
      </c>
      <c r="G290" s="21">
        <v>0.0</v>
      </c>
      <c r="H290" s="21">
        <v>0.0</v>
      </c>
      <c r="I290" s="21">
        <v>0.0</v>
      </c>
      <c r="J290" s="21">
        <v>0.0</v>
      </c>
      <c r="K290" s="21">
        <v>0.0</v>
      </c>
      <c r="L290" s="21">
        <v>220.0</v>
      </c>
    </row>
    <row r="291">
      <c r="B291" s="20">
        <v>46284.0</v>
      </c>
      <c r="C291" s="21">
        <v>160.0</v>
      </c>
      <c r="D291" s="21">
        <v>0.0</v>
      </c>
      <c r="E291" s="21">
        <v>0.0</v>
      </c>
      <c r="F291" s="21">
        <v>0.0</v>
      </c>
      <c r="G291" s="21">
        <v>0.0</v>
      </c>
      <c r="H291" s="21">
        <v>0.0</v>
      </c>
      <c r="I291" s="21">
        <v>0.0</v>
      </c>
      <c r="J291" s="21">
        <v>0.0</v>
      </c>
      <c r="K291" s="21">
        <v>0.0</v>
      </c>
      <c r="L291" s="21">
        <v>160.0</v>
      </c>
    </row>
    <row r="292">
      <c r="B292" s="20">
        <v>46285.0</v>
      </c>
      <c r="C292" s="21">
        <v>240.0</v>
      </c>
      <c r="D292" s="21">
        <f>0</f>
        <v>0</v>
      </c>
      <c r="E292" s="21">
        <f>240</f>
        <v>240</v>
      </c>
      <c r="F292" s="21">
        <f t="shared" ref="F292:L292" si="311">0</f>
        <v>0</v>
      </c>
      <c r="G292" s="21">
        <f t="shared" si="311"/>
        <v>0</v>
      </c>
      <c r="H292" s="21">
        <f t="shared" si="311"/>
        <v>0</v>
      </c>
      <c r="I292" s="21">
        <f t="shared" si="311"/>
        <v>0</v>
      </c>
      <c r="J292" s="21">
        <f t="shared" si="311"/>
        <v>0</v>
      </c>
      <c r="K292" s="21">
        <f t="shared" si="311"/>
        <v>0</v>
      </c>
      <c r="L292" s="21">
        <f t="shared" si="311"/>
        <v>0</v>
      </c>
    </row>
    <row r="293">
      <c r="B293" s="20">
        <v>46286.0</v>
      </c>
      <c r="C293" s="21">
        <v>160.0</v>
      </c>
      <c r="D293" s="21">
        <v>0.0</v>
      </c>
      <c r="E293" s="21">
        <v>0.0</v>
      </c>
      <c r="F293" s="21">
        <v>0.0</v>
      </c>
      <c r="G293" s="21">
        <v>0.0</v>
      </c>
      <c r="H293" s="21">
        <v>0.0</v>
      </c>
      <c r="I293" s="21">
        <v>0.0</v>
      </c>
      <c r="J293" s="21">
        <v>0.0</v>
      </c>
      <c r="K293" s="21">
        <v>0.0</v>
      </c>
      <c r="L293" s="21">
        <v>160.0</v>
      </c>
    </row>
    <row r="294">
      <c r="B294" s="20">
        <v>46286.0</v>
      </c>
      <c r="C294" s="21">
        <v>220.0</v>
      </c>
      <c r="D294" s="21">
        <v>0.0</v>
      </c>
      <c r="E294" s="21">
        <v>0.0</v>
      </c>
      <c r="F294" s="21">
        <v>0.0</v>
      </c>
      <c r="G294" s="21">
        <v>0.0</v>
      </c>
      <c r="H294" s="21">
        <v>0.0</v>
      </c>
      <c r="I294" s="21">
        <v>0.0</v>
      </c>
      <c r="J294" s="21">
        <v>0.0</v>
      </c>
      <c r="K294" s="21">
        <v>0.0</v>
      </c>
      <c r="L294" s="21">
        <v>220.0</v>
      </c>
    </row>
    <row r="295">
      <c r="B295" s="20">
        <v>46286.0</v>
      </c>
      <c r="C295" s="21">
        <v>120.0</v>
      </c>
      <c r="D295" s="21">
        <v>0.0</v>
      </c>
      <c r="E295" s="21">
        <v>0.0</v>
      </c>
      <c r="F295" s="21">
        <v>0.0</v>
      </c>
      <c r="G295" s="21">
        <v>0.0</v>
      </c>
      <c r="H295" s="21">
        <v>0.0</v>
      </c>
      <c r="I295" s="21">
        <v>0.0</v>
      </c>
      <c r="J295" s="21">
        <v>0.0</v>
      </c>
      <c r="K295" s="21">
        <v>0.0</v>
      </c>
      <c r="L295" s="21">
        <v>120.0</v>
      </c>
    </row>
    <row r="296">
      <c r="B296" s="20">
        <v>46287.0</v>
      </c>
      <c r="C296" s="21">
        <v>100.0</v>
      </c>
      <c r="D296" s="21">
        <f t="shared" ref="D296:E296" si="312">0</f>
        <v>0</v>
      </c>
      <c r="E296" s="21">
        <f t="shared" si="312"/>
        <v>0</v>
      </c>
      <c r="F296" s="21">
        <f>100</f>
        <v>100</v>
      </c>
      <c r="G296" s="21">
        <f t="shared" ref="G296:L296" si="313">0</f>
        <v>0</v>
      </c>
      <c r="H296" s="21">
        <f t="shared" si="313"/>
        <v>0</v>
      </c>
      <c r="I296" s="21">
        <f t="shared" si="313"/>
        <v>0</v>
      </c>
      <c r="J296" s="21">
        <f t="shared" si="313"/>
        <v>0</v>
      </c>
      <c r="K296" s="21">
        <f t="shared" si="313"/>
        <v>0</v>
      </c>
      <c r="L296" s="21">
        <f t="shared" si="313"/>
        <v>0</v>
      </c>
    </row>
    <row r="297">
      <c r="B297" s="20">
        <v>46287.0</v>
      </c>
      <c r="C297" s="21">
        <v>40.0</v>
      </c>
      <c r="D297" s="21">
        <f>0</f>
        <v>0</v>
      </c>
      <c r="E297" s="21">
        <f>40</f>
        <v>40</v>
      </c>
      <c r="F297" s="21">
        <f t="shared" ref="F297:L297" si="314">0</f>
        <v>0</v>
      </c>
      <c r="G297" s="21">
        <f t="shared" si="314"/>
        <v>0</v>
      </c>
      <c r="H297" s="21">
        <f t="shared" si="314"/>
        <v>0</v>
      </c>
      <c r="I297" s="21">
        <f t="shared" si="314"/>
        <v>0</v>
      </c>
      <c r="J297" s="21">
        <f t="shared" si="314"/>
        <v>0</v>
      </c>
      <c r="K297" s="21">
        <f t="shared" si="314"/>
        <v>0</v>
      </c>
      <c r="L297" s="21">
        <f t="shared" si="314"/>
        <v>0</v>
      </c>
    </row>
    <row r="298">
      <c r="B298" s="20">
        <v>46288.0</v>
      </c>
      <c r="C298" s="21">
        <v>100.0</v>
      </c>
      <c r="D298" s="21">
        <v>0.0</v>
      </c>
      <c r="E298" s="21">
        <v>0.0</v>
      </c>
      <c r="F298" s="21">
        <v>0.0</v>
      </c>
      <c r="G298" s="21">
        <v>0.0</v>
      </c>
      <c r="H298" s="21">
        <v>0.0</v>
      </c>
      <c r="I298" s="21">
        <v>0.0</v>
      </c>
      <c r="J298" s="21">
        <v>0.0</v>
      </c>
      <c r="K298" s="21">
        <v>0.0</v>
      </c>
      <c r="L298" s="21">
        <v>100.0</v>
      </c>
    </row>
    <row r="299">
      <c r="B299" s="20">
        <v>46288.0</v>
      </c>
      <c r="C299" s="21">
        <v>140.0</v>
      </c>
      <c r="D299" s="21">
        <f t="shared" ref="D299:F299" si="315">0</f>
        <v>0</v>
      </c>
      <c r="E299" s="21">
        <f t="shared" si="315"/>
        <v>0</v>
      </c>
      <c r="F299" s="21">
        <f t="shared" si="315"/>
        <v>0</v>
      </c>
      <c r="G299" s="21">
        <f>28</f>
        <v>28</v>
      </c>
      <c r="H299" s="21">
        <f t="shared" ref="H299:K299" si="316">0</f>
        <v>0</v>
      </c>
      <c r="I299" s="21">
        <f t="shared" si="316"/>
        <v>0</v>
      </c>
      <c r="J299" s="21">
        <f t="shared" si="316"/>
        <v>0</v>
      </c>
      <c r="K299" s="21">
        <f t="shared" si="316"/>
        <v>0</v>
      </c>
      <c r="L299" s="21">
        <f>112</f>
        <v>112</v>
      </c>
    </row>
    <row r="300">
      <c r="B300" s="20">
        <v>46288.0</v>
      </c>
      <c r="C300" s="21">
        <v>40.0</v>
      </c>
      <c r="D300" s="21">
        <v>0.0</v>
      </c>
      <c r="E300" s="21">
        <v>0.0</v>
      </c>
      <c r="F300" s="21">
        <v>0.0</v>
      </c>
      <c r="G300" s="21">
        <v>0.0</v>
      </c>
      <c r="H300" s="21">
        <v>0.0</v>
      </c>
      <c r="I300" s="21">
        <v>0.0</v>
      </c>
      <c r="J300" s="21">
        <v>0.0</v>
      </c>
      <c r="K300" s="21">
        <v>0.0</v>
      </c>
      <c r="L300" s="21">
        <v>40.0</v>
      </c>
    </row>
    <row r="301">
      <c r="B301" s="20">
        <v>46288.0</v>
      </c>
      <c r="C301" s="21">
        <v>320.0</v>
      </c>
      <c r="D301" s="21">
        <f t="shared" ref="D301:E301" si="317">0</f>
        <v>0</v>
      </c>
      <c r="E301" s="21">
        <f t="shared" si="317"/>
        <v>0</v>
      </c>
      <c r="F301" s="21">
        <f>64</f>
        <v>64</v>
      </c>
      <c r="G301" s="21">
        <f>192</f>
        <v>192</v>
      </c>
      <c r="H301" s="21">
        <f t="shared" ref="H301:K301" si="318">0</f>
        <v>0</v>
      </c>
      <c r="I301" s="21">
        <f t="shared" si="318"/>
        <v>0</v>
      </c>
      <c r="J301" s="21">
        <f t="shared" si="318"/>
        <v>0</v>
      </c>
      <c r="K301" s="21">
        <f t="shared" si="318"/>
        <v>0</v>
      </c>
      <c r="L301" s="21">
        <f>64</f>
        <v>64</v>
      </c>
    </row>
    <row r="302">
      <c r="B302" s="20">
        <v>46289.0</v>
      </c>
      <c r="C302" s="21">
        <v>28.0</v>
      </c>
      <c r="D302" s="21">
        <v>0.0</v>
      </c>
      <c r="E302" s="21">
        <v>0.0</v>
      </c>
      <c r="F302" s="21">
        <v>0.0</v>
      </c>
      <c r="G302" s="21">
        <v>0.0</v>
      </c>
      <c r="H302" s="21">
        <v>0.0</v>
      </c>
      <c r="I302" s="21">
        <v>0.0</v>
      </c>
      <c r="J302" s="21">
        <v>0.0</v>
      </c>
      <c r="K302" s="21">
        <v>0.0</v>
      </c>
      <c r="L302" s="21">
        <v>28.0</v>
      </c>
    </row>
    <row r="303">
      <c r="B303" s="20">
        <v>46289.0</v>
      </c>
      <c r="C303" s="21">
        <v>340.0</v>
      </c>
      <c r="D303" s="21">
        <f>340</f>
        <v>340</v>
      </c>
      <c r="E303" s="21">
        <f t="shared" ref="E303:L303" si="319">0</f>
        <v>0</v>
      </c>
      <c r="F303" s="21">
        <f t="shared" si="319"/>
        <v>0</v>
      </c>
      <c r="G303" s="21">
        <f t="shared" si="319"/>
        <v>0</v>
      </c>
      <c r="H303" s="21">
        <f t="shared" si="319"/>
        <v>0</v>
      </c>
      <c r="I303" s="21">
        <f t="shared" si="319"/>
        <v>0</v>
      </c>
      <c r="J303" s="21">
        <f t="shared" si="319"/>
        <v>0</v>
      </c>
      <c r="K303" s="21">
        <f t="shared" si="319"/>
        <v>0</v>
      </c>
      <c r="L303" s="21">
        <f t="shared" si="319"/>
        <v>0</v>
      </c>
    </row>
    <row r="304">
      <c r="B304" s="20">
        <v>46289.0</v>
      </c>
      <c r="C304" s="21">
        <v>100.0</v>
      </c>
      <c r="D304" s="21">
        <v>0.0</v>
      </c>
      <c r="E304" s="21">
        <v>0.0</v>
      </c>
      <c r="F304" s="21">
        <v>0.0</v>
      </c>
      <c r="G304" s="21">
        <v>0.0</v>
      </c>
      <c r="H304" s="21">
        <v>0.0</v>
      </c>
      <c r="I304" s="21">
        <v>0.0</v>
      </c>
      <c r="J304" s="21">
        <v>0.0</v>
      </c>
      <c r="K304" s="21">
        <v>0.0</v>
      </c>
      <c r="L304" s="21">
        <v>100.0</v>
      </c>
    </row>
    <row r="305">
      <c r="B305" s="20">
        <v>46289.0</v>
      </c>
      <c r="C305" s="21">
        <v>200.0</v>
      </c>
      <c r="D305" s="21">
        <f t="shared" ref="D305:E305" si="320">0</f>
        <v>0</v>
      </c>
      <c r="E305" s="21">
        <f t="shared" si="320"/>
        <v>0</v>
      </c>
      <c r="F305" s="21">
        <f>40</f>
        <v>40</v>
      </c>
      <c r="G305" s="21">
        <f>160</f>
        <v>160</v>
      </c>
      <c r="H305" s="21">
        <f t="shared" ref="H305:L305" si="321">0</f>
        <v>0</v>
      </c>
      <c r="I305" s="21">
        <f t="shared" si="321"/>
        <v>0</v>
      </c>
      <c r="J305" s="21">
        <f t="shared" si="321"/>
        <v>0</v>
      </c>
      <c r="K305" s="21">
        <f t="shared" si="321"/>
        <v>0</v>
      </c>
      <c r="L305" s="21">
        <f t="shared" si="321"/>
        <v>0</v>
      </c>
    </row>
    <row r="306">
      <c r="B306" s="20">
        <v>46290.0</v>
      </c>
      <c r="C306" s="21">
        <v>260.0</v>
      </c>
      <c r="D306" s="21">
        <f t="shared" ref="D306:E306" si="322">0</f>
        <v>0</v>
      </c>
      <c r="E306" s="21">
        <f t="shared" si="322"/>
        <v>0</v>
      </c>
      <c r="F306" s="21">
        <f>26</f>
        <v>26</v>
      </c>
      <c r="G306" s="21">
        <f t="shared" ref="G306:I306" si="323">0</f>
        <v>0</v>
      </c>
      <c r="H306" s="21">
        <f t="shared" si="323"/>
        <v>0</v>
      </c>
      <c r="I306" s="21">
        <f t="shared" si="323"/>
        <v>0</v>
      </c>
      <c r="J306" s="21">
        <f>26</f>
        <v>26</v>
      </c>
      <c r="K306" s="21">
        <f>0</f>
        <v>0</v>
      </c>
      <c r="L306" s="21">
        <f>208</f>
        <v>208</v>
      </c>
    </row>
    <row r="307">
      <c r="B307" s="20">
        <v>46290.0</v>
      </c>
      <c r="C307" s="21">
        <v>20.0</v>
      </c>
      <c r="D307" s="21">
        <v>0.0</v>
      </c>
      <c r="E307" s="21">
        <v>0.0</v>
      </c>
      <c r="F307" s="21">
        <v>0.0</v>
      </c>
      <c r="G307" s="21">
        <v>0.0</v>
      </c>
      <c r="H307" s="21">
        <v>0.0</v>
      </c>
      <c r="I307" s="21">
        <v>0.0</v>
      </c>
      <c r="J307" s="21">
        <v>0.0</v>
      </c>
      <c r="K307" s="21">
        <v>0.0</v>
      </c>
      <c r="L307" s="21">
        <v>20.0</v>
      </c>
    </row>
    <row r="308">
      <c r="B308" s="20">
        <v>46290.0</v>
      </c>
      <c r="C308" s="21">
        <v>160.0</v>
      </c>
      <c r="D308" s="21">
        <v>0.0</v>
      </c>
      <c r="E308" s="21">
        <v>0.0</v>
      </c>
      <c r="F308" s="21">
        <v>0.0</v>
      </c>
      <c r="G308" s="21">
        <v>0.0</v>
      </c>
      <c r="H308" s="21">
        <v>0.0</v>
      </c>
      <c r="I308" s="21">
        <v>0.0</v>
      </c>
      <c r="J308" s="21">
        <v>0.0</v>
      </c>
      <c r="K308" s="21">
        <v>0.0</v>
      </c>
      <c r="L308" s="21">
        <v>160.0</v>
      </c>
    </row>
    <row r="309">
      <c r="B309" s="20">
        <v>46290.0</v>
      </c>
      <c r="C309" s="21">
        <v>240.0</v>
      </c>
      <c r="D309" s="21">
        <f t="shared" ref="D309:I309" si="324">0</f>
        <v>0</v>
      </c>
      <c r="E309" s="21">
        <f t="shared" si="324"/>
        <v>0</v>
      </c>
      <c r="F309" s="21">
        <f t="shared" si="324"/>
        <v>0</v>
      </c>
      <c r="G309" s="21">
        <f t="shared" si="324"/>
        <v>0</v>
      </c>
      <c r="H309" s="21">
        <f t="shared" si="324"/>
        <v>0</v>
      </c>
      <c r="I309" s="21">
        <f t="shared" si="324"/>
        <v>0</v>
      </c>
      <c r="J309" s="21">
        <f>144</f>
        <v>144</v>
      </c>
      <c r="K309" s="21">
        <f>0</f>
        <v>0</v>
      </c>
      <c r="L309" s="21">
        <f>96</f>
        <v>96</v>
      </c>
    </row>
    <row r="310">
      <c r="B310" s="20">
        <v>46291.0</v>
      </c>
      <c r="C310" s="21">
        <v>80.0</v>
      </c>
      <c r="D310" s="21">
        <f t="shared" ref="D310:E310" si="325">0</f>
        <v>0</v>
      </c>
      <c r="E310" s="21">
        <f t="shared" si="325"/>
        <v>0</v>
      </c>
      <c r="F310" s="21">
        <f>16</f>
        <v>16</v>
      </c>
      <c r="G310" s="21">
        <f>32</f>
        <v>32</v>
      </c>
      <c r="H310" s="21">
        <f>24</f>
        <v>24</v>
      </c>
      <c r="I310" s="21">
        <f t="shared" ref="I310:J310" si="326">0</f>
        <v>0</v>
      </c>
      <c r="J310" s="21">
        <f t="shared" si="326"/>
        <v>0</v>
      </c>
      <c r="K310" s="21">
        <f>8</f>
        <v>8</v>
      </c>
      <c r="L310" s="21">
        <f>0</f>
        <v>0</v>
      </c>
    </row>
    <row r="311">
      <c r="B311" s="20">
        <v>46291.0</v>
      </c>
      <c r="C311" s="21">
        <v>140.0</v>
      </c>
      <c r="D311" s="21">
        <f>0</f>
        <v>0</v>
      </c>
      <c r="E311" s="21">
        <f>56</f>
        <v>56</v>
      </c>
      <c r="F311" s="21">
        <f>14</f>
        <v>14</v>
      </c>
      <c r="G311" s="21">
        <f>56</f>
        <v>56</v>
      </c>
      <c r="H311" s="21">
        <f t="shared" ref="H311:K311" si="327">0</f>
        <v>0</v>
      </c>
      <c r="I311" s="21">
        <f t="shared" si="327"/>
        <v>0</v>
      </c>
      <c r="J311" s="21">
        <f t="shared" si="327"/>
        <v>0</v>
      </c>
      <c r="K311" s="21">
        <f t="shared" si="327"/>
        <v>0</v>
      </c>
      <c r="L311" s="21">
        <f>14</f>
        <v>14</v>
      </c>
    </row>
    <row r="312">
      <c r="B312" s="20">
        <v>46291.0</v>
      </c>
      <c r="C312" s="21">
        <v>160.0</v>
      </c>
      <c r="D312" s="21">
        <v>0.0</v>
      </c>
      <c r="E312" s="21">
        <v>0.0</v>
      </c>
      <c r="F312" s="21">
        <v>0.0</v>
      </c>
      <c r="G312" s="21">
        <v>0.0</v>
      </c>
      <c r="H312" s="21">
        <v>0.0</v>
      </c>
      <c r="I312" s="21">
        <v>0.0</v>
      </c>
      <c r="J312" s="21">
        <v>0.0</v>
      </c>
      <c r="K312" s="21">
        <v>0.0</v>
      </c>
      <c r="L312" s="21">
        <v>160.0</v>
      </c>
    </row>
    <row r="313">
      <c r="B313" s="20">
        <v>46292.0</v>
      </c>
      <c r="C313" s="21">
        <v>240.0</v>
      </c>
      <c r="D313" s="21">
        <v>0.0</v>
      </c>
      <c r="E313" s="21">
        <v>0.0</v>
      </c>
      <c r="F313" s="21">
        <v>0.0</v>
      </c>
      <c r="G313" s="21">
        <v>0.0</v>
      </c>
      <c r="H313" s="21">
        <v>0.0</v>
      </c>
      <c r="I313" s="21">
        <v>0.0</v>
      </c>
      <c r="J313" s="21">
        <v>0.0</v>
      </c>
      <c r="K313" s="21">
        <v>0.0</v>
      </c>
      <c r="L313" s="21">
        <v>240.0</v>
      </c>
    </row>
    <row r="314">
      <c r="B314" s="20">
        <v>46292.0</v>
      </c>
      <c r="C314" s="21">
        <v>120.0</v>
      </c>
      <c r="D314" s="21">
        <f t="shared" ref="D314:E314" si="328">0</f>
        <v>0</v>
      </c>
      <c r="E314" s="21">
        <f t="shared" si="328"/>
        <v>0</v>
      </c>
      <c r="F314" s="21">
        <f>36</f>
        <v>36</v>
      </c>
      <c r="G314" s="21">
        <f>48</f>
        <v>48</v>
      </c>
      <c r="H314" s="21">
        <f>36</f>
        <v>36</v>
      </c>
      <c r="I314" s="21">
        <f t="shared" ref="I314:L314" si="329">0</f>
        <v>0</v>
      </c>
      <c r="J314" s="21">
        <f t="shared" si="329"/>
        <v>0</v>
      </c>
      <c r="K314" s="21">
        <f t="shared" si="329"/>
        <v>0</v>
      </c>
      <c r="L314" s="21">
        <f t="shared" si="329"/>
        <v>0</v>
      </c>
    </row>
    <row r="315">
      <c r="B315" s="20">
        <v>46292.0</v>
      </c>
      <c r="C315" s="21">
        <v>80.0</v>
      </c>
      <c r="D315" s="21">
        <v>0.0</v>
      </c>
      <c r="E315" s="21">
        <v>0.0</v>
      </c>
      <c r="F315" s="21">
        <v>0.0</v>
      </c>
      <c r="G315" s="21">
        <v>0.0</v>
      </c>
      <c r="H315" s="21">
        <v>0.0</v>
      </c>
      <c r="I315" s="21">
        <v>0.0</v>
      </c>
      <c r="J315" s="21">
        <v>0.0</v>
      </c>
      <c r="K315" s="21">
        <v>0.0</v>
      </c>
      <c r="L315" s="21">
        <v>80.0</v>
      </c>
    </row>
    <row r="316">
      <c r="B316" s="20">
        <v>46292.0</v>
      </c>
      <c r="C316" s="21">
        <v>120.0</v>
      </c>
      <c r="D316" s="21">
        <v>0.0</v>
      </c>
      <c r="E316" s="21">
        <v>0.0</v>
      </c>
      <c r="F316" s="21">
        <v>0.0</v>
      </c>
      <c r="G316" s="21">
        <v>0.0</v>
      </c>
      <c r="H316" s="21">
        <v>0.0</v>
      </c>
      <c r="I316" s="21">
        <v>0.0</v>
      </c>
      <c r="J316" s="21">
        <v>0.0</v>
      </c>
      <c r="K316" s="21">
        <v>0.0</v>
      </c>
      <c r="L316" s="21">
        <v>120.0</v>
      </c>
    </row>
    <row r="317">
      <c r="B317" s="20">
        <v>46293.0</v>
      </c>
      <c r="C317" s="21">
        <v>240.0</v>
      </c>
      <c r="D317" s="21">
        <f>48</f>
        <v>48</v>
      </c>
      <c r="E317" s="21">
        <f t="shared" ref="E317:I317" si="330">0</f>
        <v>0</v>
      </c>
      <c r="F317" s="21">
        <f t="shared" si="330"/>
        <v>0</v>
      </c>
      <c r="G317" s="21">
        <f t="shared" si="330"/>
        <v>0</v>
      </c>
      <c r="H317" s="21">
        <f t="shared" si="330"/>
        <v>0</v>
      </c>
      <c r="I317" s="21">
        <f t="shared" si="330"/>
        <v>0</v>
      </c>
      <c r="J317" s="21">
        <f>192</f>
        <v>192</v>
      </c>
      <c r="K317" s="21">
        <f t="shared" ref="K317:L317" si="331">0</f>
        <v>0</v>
      </c>
      <c r="L317" s="21">
        <f t="shared" si="331"/>
        <v>0</v>
      </c>
    </row>
    <row r="318">
      <c r="B318" s="20">
        <v>46293.0</v>
      </c>
      <c r="C318" s="21">
        <v>20.0</v>
      </c>
      <c r="D318" s="21">
        <v>0.0</v>
      </c>
      <c r="E318" s="21">
        <v>0.0</v>
      </c>
      <c r="F318" s="21">
        <v>0.0</v>
      </c>
      <c r="G318" s="21">
        <v>0.0</v>
      </c>
      <c r="H318" s="21">
        <v>0.0</v>
      </c>
      <c r="I318" s="21">
        <v>0.0</v>
      </c>
      <c r="J318" s="21">
        <v>0.0</v>
      </c>
      <c r="K318" s="21">
        <v>0.0</v>
      </c>
      <c r="L318" s="21">
        <v>20.0</v>
      </c>
    </row>
    <row r="319">
      <c r="B319" s="20">
        <v>46293.0</v>
      </c>
      <c r="C319" s="21">
        <v>40.0</v>
      </c>
      <c r="D319" s="21">
        <v>0.0</v>
      </c>
      <c r="E319" s="21">
        <v>0.0</v>
      </c>
      <c r="F319" s="21">
        <v>0.0</v>
      </c>
      <c r="G319" s="21">
        <v>0.0</v>
      </c>
      <c r="H319" s="21">
        <v>0.0</v>
      </c>
      <c r="I319" s="21">
        <v>0.0</v>
      </c>
      <c r="J319" s="21">
        <v>0.0</v>
      </c>
      <c r="K319" s="21">
        <v>0.0</v>
      </c>
      <c r="L319" s="21">
        <v>40.0</v>
      </c>
    </row>
    <row r="320">
      <c r="B320" s="20">
        <v>46293.0</v>
      </c>
      <c r="C320" s="21">
        <v>120.0</v>
      </c>
      <c r="D320" s="21">
        <v>0.0</v>
      </c>
      <c r="E320" s="21">
        <v>0.0</v>
      </c>
      <c r="F320" s="21">
        <v>0.0</v>
      </c>
      <c r="G320" s="21">
        <v>0.0</v>
      </c>
      <c r="H320" s="21">
        <v>0.0</v>
      </c>
      <c r="I320" s="21">
        <v>0.0</v>
      </c>
      <c r="J320" s="21">
        <v>0.0</v>
      </c>
      <c r="K320" s="21">
        <v>0.0</v>
      </c>
      <c r="L320" s="21">
        <v>120.0</v>
      </c>
    </row>
    <row r="321">
      <c r="B321" s="20">
        <v>46294.0</v>
      </c>
      <c r="C321" s="21">
        <v>420.0</v>
      </c>
      <c r="D321" s="21">
        <f t="shared" ref="D321:E321" si="332">0</f>
        <v>0</v>
      </c>
      <c r="E321" s="21">
        <f t="shared" si="332"/>
        <v>0</v>
      </c>
      <c r="F321" s="21">
        <f>84</f>
        <v>84</v>
      </c>
      <c r="G321" s="21">
        <f>126</f>
        <v>126</v>
      </c>
      <c r="H321" s="21">
        <f t="shared" ref="H321:J321" si="333">0</f>
        <v>0</v>
      </c>
      <c r="I321" s="21">
        <f t="shared" si="333"/>
        <v>0</v>
      </c>
      <c r="J321" s="21">
        <f t="shared" si="333"/>
        <v>0</v>
      </c>
      <c r="K321" s="21">
        <f>210</f>
        <v>210</v>
      </c>
      <c r="L321" s="21">
        <f>0</f>
        <v>0</v>
      </c>
    </row>
    <row r="322">
      <c r="B322" s="20">
        <v>46294.0</v>
      </c>
      <c r="C322" s="21">
        <v>140.0</v>
      </c>
      <c r="D322" s="21">
        <f>0</f>
        <v>0</v>
      </c>
      <c r="E322" s="21">
        <f>140</f>
        <v>140</v>
      </c>
      <c r="F322" s="21">
        <f t="shared" ref="F322:L322" si="334">0</f>
        <v>0</v>
      </c>
      <c r="G322" s="21">
        <f t="shared" si="334"/>
        <v>0</v>
      </c>
      <c r="H322" s="21">
        <f t="shared" si="334"/>
        <v>0</v>
      </c>
      <c r="I322" s="21">
        <f t="shared" si="334"/>
        <v>0</v>
      </c>
      <c r="J322" s="21">
        <f t="shared" si="334"/>
        <v>0</v>
      </c>
      <c r="K322" s="21">
        <f t="shared" si="334"/>
        <v>0</v>
      </c>
      <c r="L322" s="21">
        <f t="shared" si="334"/>
        <v>0</v>
      </c>
    </row>
    <row r="323">
      <c r="B323" s="20">
        <v>46294.0</v>
      </c>
      <c r="C323" s="21">
        <v>120.0</v>
      </c>
      <c r="D323" s="21">
        <v>0.0</v>
      </c>
      <c r="E323" s="21">
        <v>0.0</v>
      </c>
      <c r="F323" s="21">
        <v>0.0</v>
      </c>
      <c r="G323" s="21">
        <v>0.0</v>
      </c>
      <c r="H323" s="21">
        <v>0.0</v>
      </c>
      <c r="I323" s="21">
        <v>0.0</v>
      </c>
      <c r="J323" s="21">
        <v>0.0</v>
      </c>
      <c r="K323" s="21">
        <v>0.0</v>
      </c>
      <c r="L323" s="21">
        <v>120.0</v>
      </c>
    </row>
    <row r="324">
      <c r="B324" s="20">
        <v>46294.0</v>
      </c>
      <c r="C324" s="21">
        <v>120.0</v>
      </c>
      <c r="D324" s="21">
        <f t="shared" ref="D324:I324" si="335">0</f>
        <v>0</v>
      </c>
      <c r="E324" s="21">
        <f t="shared" si="335"/>
        <v>0</v>
      </c>
      <c r="F324" s="21">
        <f t="shared" si="335"/>
        <v>0</v>
      </c>
      <c r="G324" s="21">
        <f t="shared" si="335"/>
        <v>0</v>
      </c>
      <c r="H324" s="21">
        <f t="shared" si="335"/>
        <v>0</v>
      </c>
      <c r="I324" s="21">
        <f t="shared" si="335"/>
        <v>0</v>
      </c>
      <c r="J324" s="21">
        <f>120</f>
        <v>120</v>
      </c>
      <c r="K324" s="21">
        <f t="shared" ref="K324:L324" si="336">0</f>
        <v>0</v>
      </c>
      <c r="L324" s="21">
        <f t="shared" si="336"/>
        <v>0</v>
      </c>
    </row>
    <row r="325">
      <c r="B325" s="20">
        <v>46294.0</v>
      </c>
      <c r="C325" s="21">
        <v>40.0</v>
      </c>
      <c r="D325" s="21">
        <v>0.0</v>
      </c>
      <c r="E325" s="21">
        <v>0.0</v>
      </c>
      <c r="F325" s="21">
        <v>0.0</v>
      </c>
      <c r="G325" s="21">
        <v>0.0</v>
      </c>
      <c r="H325" s="21">
        <v>0.0</v>
      </c>
      <c r="I325" s="21">
        <v>0.0</v>
      </c>
      <c r="J325" s="21">
        <v>0.0</v>
      </c>
      <c r="K325" s="21">
        <v>0.0</v>
      </c>
      <c r="L325" s="21">
        <v>40.0</v>
      </c>
    </row>
    <row r="326">
      <c r="B326" s="20">
        <v>46295.0</v>
      </c>
      <c r="C326" s="21">
        <v>220.0</v>
      </c>
      <c r="D326" s="21">
        <f t="shared" ref="D326:E326" si="337">0</f>
        <v>0</v>
      </c>
      <c r="E326" s="21">
        <f t="shared" si="337"/>
        <v>0</v>
      </c>
      <c r="F326" s="21">
        <f>220</f>
        <v>220</v>
      </c>
      <c r="G326" s="21">
        <f t="shared" ref="G326:L326" si="338">0</f>
        <v>0</v>
      </c>
      <c r="H326" s="21">
        <f t="shared" si="338"/>
        <v>0</v>
      </c>
      <c r="I326" s="21">
        <f t="shared" si="338"/>
        <v>0</v>
      </c>
      <c r="J326" s="21">
        <f t="shared" si="338"/>
        <v>0</v>
      </c>
      <c r="K326" s="21">
        <f t="shared" si="338"/>
        <v>0</v>
      </c>
      <c r="L326" s="21">
        <f t="shared" si="338"/>
        <v>0</v>
      </c>
    </row>
    <row r="327">
      <c r="B327" s="20">
        <v>46295.0</v>
      </c>
      <c r="C327" s="21">
        <v>220.0</v>
      </c>
      <c r="D327" s="21">
        <f>220</f>
        <v>220</v>
      </c>
      <c r="E327" s="21">
        <f t="shared" ref="E327:L327" si="339">0</f>
        <v>0</v>
      </c>
      <c r="F327" s="21">
        <f t="shared" si="339"/>
        <v>0</v>
      </c>
      <c r="G327" s="21">
        <f t="shared" si="339"/>
        <v>0</v>
      </c>
      <c r="H327" s="21">
        <f t="shared" si="339"/>
        <v>0</v>
      </c>
      <c r="I327" s="21">
        <f t="shared" si="339"/>
        <v>0</v>
      </c>
      <c r="J327" s="21">
        <f t="shared" si="339"/>
        <v>0</v>
      </c>
      <c r="K327" s="21">
        <f t="shared" si="339"/>
        <v>0</v>
      </c>
      <c r="L327" s="21">
        <f t="shared" si="339"/>
        <v>0</v>
      </c>
    </row>
    <row r="328">
      <c r="B328" s="20">
        <v>46295.0</v>
      </c>
      <c r="C328" s="21">
        <v>240.0</v>
      </c>
      <c r="D328" s="21">
        <f t="shared" ref="D328:I328" si="340">0</f>
        <v>0</v>
      </c>
      <c r="E328" s="21">
        <f t="shared" si="340"/>
        <v>0</v>
      </c>
      <c r="F328" s="21">
        <f t="shared" si="340"/>
        <v>0</v>
      </c>
      <c r="G328" s="21">
        <f t="shared" si="340"/>
        <v>0</v>
      </c>
      <c r="H328" s="21">
        <f t="shared" si="340"/>
        <v>0</v>
      </c>
      <c r="I328" s="21">
        <f t="shared" si="340"/>
        <v>0</v>
      </c>
      <c r="J328" s="21">
        <f>240</f>
        <v>240</v>
      </c>
      <c r="K328" s="21">
        <f t="shared" ref="K328:L328" si="341">0</f>
        <v>0</v>
      </c>
      <c r="L328" s="21">
        <f t="shared" si="341"/>
        <v>0</v>
      </c>
    </row>
    <row r="329">
      <c r="B329" s="20">
        <v>46295.0</v>
      </c>
      <c r="C329" s="21">
        <v>200.0</v>
      </c>
      <c r="D329" s="21">
        <f>20</f>
        <v>20</v>
      </c>
      <c r="E329" s="21">
        <f>0</f>
        <v>0</v>
      </c>
      <c r="F329" s="21">
        <f t="shared" ref="F329:G329" si="342">60</f>
        <v>60</v>
      </c>
      <c r="G329" s="21">
        <f t="shared" si="342"/>
        <v>60</v>
      </c>
      <c r="H329" s="21">
        <f t="shared" ref="H329:J329" si="343">0</f>
        <v>0</v>
      </c>
      <c r="I329" s="21">
        <f t="shared" si="343"/>
        <v>0</v>
      </c>
      <c r="J329" s="21">
        <f t="shared" si="343"/>
        <v>0</v>
      </c>
      <c r="K329" s="21">
        <f>20</f>
        <v>20</v>
      </c>
      <c r="L329" s="21">
        <f>40</f>
        <v>40</v>
      </c>
    </row>
    <row r="330">
      <c r="B330" s="20">
        <v>46296.0</v>
      </c>
      <c r="C330" s="21">
        <v>160.0</v>
      </c>
      <c r="D330" s="21">
        <f t="shared" ref="D330:I330" si="344">0</f>
        <v>0</v>
      </c>
      <c r="E330" s="21">
        <f t="shared" si="344"/>
        <v>0</v>
      </c>
      <c r="F330" s="21">
        <f t="shared" si="344"/>
        <v>0</v>
      </c>
      <c r="G330" s="21">
        <f t="shared" si="344"/>
        <v>0</v>
      </c>
      <c r="H330" s="21">
        <f t="shared" si="344"/>
        <v>0</v>
      </c>
      <c r="I330" s="21">
        <f t="shared" si="344"/>
        <v>0</v>
      </c>
      <c r="J330" s="21">
        <f>80</f>
        <v>80</v>
      </c>
      <c r="K330" s="21">
        <f>0</f>
        <v>0</v>
      </c>
      <c r="L330" s="21">
        <f>80</f>
        <v>80</v>
      </c>
    </row>
    <row r="331">
      <c r="B331" s="20">
        <v>46296.0</v>
      </c>
      <c r="C331" s="21">
        <v>20.0</v>
      </c>
      <c r="D331" s="21">
        <f t="shared" ref="D331:K331" si="345">0</f>
        <v>0</v>
      </c>
      <c r="E331" s="21">
        <f t="shared" si="345"/>
        <v>0</v>
      </c>
      <c r="F331" s="21">
        <f t="shared" si="345"/>
        <v>0</v>
      </c>
      <c r="G331" s="21">
        <f t="shared" si="345"/>
        <v>0</v>
      </c>
      <c r="H331" s="21">
        <f t="shared" si="345"/>
        <v>0</v>
      </c>
      <c r="I331" s="21">
        <f t="shared" si="345"/>
        <v>0</v>
      </c>
      <c r="J331" s="21">
        <f t="shared" si="345"/>
        <v>0</v>
      </c>
      <c r="K331" s="21">
        <f t="shared" si="345"/>
        <v>0</v>
      </c>
      <c r="L331" s="21">
        <f>20</f>
        <v>20</v>
      </c>
    </row>
    <row r="332">
      <c r="B332" s="20">
        <v>46296.0</v>
      </c>
      <c r="C332" s="21">
        <v>60.0</v>
      </c>
      <c r="D332" s="21">
        <v>0.0</v>
      </c>
      <c r="E332" s="21">
        <v>0.0</v>
      </c>
      <c r="F332" s="21">
        <v>0.0</v>
      </c>
      <c r="G332" s="21">
        <v>0.0</v>
      </c>
      <c r="H332" s="21">
        <v>0.0</v>
      </c>
      <c r="I332" s="21">
        <v>0.0</v>
      </c>
      <c r="J332" s="21">
        <v>0.0</v>
      </c>
      <c r="K332" s="21">
        <v>0.0</v>
      </c>
      <c r="L332" s="21">
        <v>60.0</v>
      </c>
    </row>
    <row r="333">
      <c r="B333" s="20">
        <v>46296.0</v>
      </c>
      <c r="C333" s="21">
        <v>180.0</v>
      </c>
      <c r="D333" s="21">
        <f t="shared" ref="D333:F333" si="346">0</f>
        <v>0</v>
      </c>
      <c r="E333" s="21">
        <f t="shared" si="346"/>
        <v>0</v>
      </c>
      <c r="F333" s="21">
        <f t="shared" si="346"/>
        <v>0</v>
      </c>
      <c r="G333" s="21">
        <f>90</f>
        <v>90</v>
      </c>
      <c r="H333" s="21">
        <f t="shared" ref="H333:J333" si="347">0</f>
        <v>0</v>
      </c>
      <c r="I333" s="21">
        <f t="shared" si="347"/>
        <v>0</v>
      </c>
      <c r="J333" s="21">
        <f t="shared" si="347"/>
        <v>0</v>
      </c>
      <c r="K333" s="21">
        <f>90</f>
        <v>90</v>
      </c>
      <c r="L333" s="21">
        <f>0</f>
        <v>0</v>
      </c>
    </row>
    <row r="334">
      <c r="B334" s="20">
        <v>46297.0</v>
      </c>
      <c r="C334" s="21">
        <v>200.0</v>
      </c>
      <c r="D334" s="21">
        <v>0.0</v>
      </c>
      <c r="E334" s="21">
        <v>0.0</v>
      </c>
      <c r="F334" s="21">
        <v>0.0</v>
      </c>
      <c r="G334" s="21">
        <v>0.0</v>
      </c>
      <c r="H334" s="21">
        <v>0.0</v>
      </c>
      <c r="I334" s="21">
        <v>0.0</v>
      </c>
      <c r="J334" s="21">
        <v>0.0</v>
      </c>
      <c r="K334" s="21">
        <v>0.0</v>
      </c>
      <c r="L334" s="21">
        <v>200.0</v>
      </c>
    </row>
    <row r="335">
      <c r="B335" s="20">
        <v>46297.0</v>
      </c>
      <c r="C335" s="21">
        <v>200.0</v>
      </c>
      <c r="D335" s="21">
        <v>0.0</v>
      </c>
      <c r="E335" s="21">
        <v>0.0</v>
      </c>
      <c r="F335" s="21">
        <v>0.0</v>
      </c>
      <c r="G335" s="21">
        <v>0.0</v>
      </c>
      <c r="H335" s="21">
        <v>0.0</v>
      </c>
      <c r="I335" s="21">
        <v>0.0</v>
      </c>
      <c r="J335" s="21">
        <v>0.0</v>
      </c>
      <c r="K335" s="21">
        <v>0.0</v>
      </c>
      <c r="L335" s="21">
        <v>200.0</v>
      </c>
    </row>
    <row r="336">
      <c r="B336" s="20">
        <v>46297.0</v>
      </c>
      <c r="C336" s="21">
        <v>200.0</v>
      </c>
      <c r="D336" s="21">
        <v>0.0</v>
      </c>
      <c r="E336" s="21">
        <v>0.0</v>
      </c>
      <c r="F336" s="21">
        <v>0.0</v>
      </c>
      <c r="G336" s="21">
        <v>0.0</v>
      </c>
      <c r="H336" s="21">
        <v>0.0</v>
      </c>
      <c r="I336" s="21">
        <v>0.0</v>
      </c>
      <c r="J336" s="21">
        <v>0.0</v>
      </c>
      <c r="K336" s="21">
        <v>0.0</v>
      </c>
      <c r="L336" s="21">
        <v>200.0</v>
      </c>
    </row>
    <row r="337">
      <c r="B337" s="20">
        <v>46297.0</v>
      </c>
      <c r="C337" s="21">
        <v>40.0</v>
      </c>
      <c r="D337" s="21">
        <v>0.0</v>
      </c>
      <c r="E337" s="21">
        <v>0.0</v>
      </c>
      <c r="F337" s="21">
        <v>0.0</v>
      </c>
      <c r="G337" s="21">
        <v>0.0</v>
      </c>
      <c r="H337" s="21">
        <v>0.0</v>
      </c>
      <c r="I337" s="21">
        <v>0.0</v>
      </c>
      <c r="J337" s="21">
        <v>0.0</v>
      </c>
      <c r="K337" s="21">
        <v>0.0</v>
      </c>
      <c r="L337" s="21">
        <v>40.0</v>
      </c>
    </row>
    <row r="338">
      <c r="B338" s="20">
        <v>46298.0</v>
      </c>
      <c r="C338" s="21">
        <v>200.0</v>
      </c>
      <c r="D338" s="21">
        <f t="shared" ref="D338:E338" si="348">0</f>
        <v>0</v>
      </c>
      <c r="E338" s="21">
        <f t="shared" si="348"/>
        <v>0</v>
      </c>
      <c r="F338" s="21">
        <f>60</f>
        <v>60</v>
      </c>
      <c r="G338" s="21">
        <f>80</f>
        <v>80</v>
      </c>
      <c r="H338" s="21">
        <f>30</f>
        <v>30</v>
      </c>
      <c r="I338" s="21">
        <f>0</f>
        <v>0</v>
      </c>
      <c r="J338" s="21">
        <f>30</f>
        <v>30</v>
      </c>
      <c r="K338" s="21">
        <f t="shared" ref="K338:L338" si="349">0</f>
        <v>0</v>
      </c>
      <c r="L338" s="21">
        <f t="shared" si="349"/>
        <v>0</v>
      </c>
    </row>
    <row r="339">
      <c r="B339" s="20">
        <v>46298.0</v>
      </c>
      <c r="C339" s="21">
        <v>220.0</v>
      </c>
      <c r="D339" s="21">
        <v>0.0</v>
      </c>
      <c r="E339" s="21">
        <v>0.0</v>
      </c>
      <c r="F339" s="21">
        <v>0.0</v>
      </c>
      <c r="G339" s="21">
        <v>0.0</v>
      </c>
      <c r="H339" s="21">
        <v>0.0</v>
      </c>
      <c r="I339" s="21">
        <v>0.0</v>
      </c>
      <c r="J339" s="21">
        <v>0.0</v>
      </c>
      <c r="K339" s="21">
        <v>0.0</v>
      </c>
      <c r="L339" s="21">
        <v>220.0</v>
      </c>
    </row>
    <row r="340">
      <c r="B340" s="20">
        <v>46299.0</v>
      </c>
      <c r="C340" s="21">
        <v>280.0</v>
      </c>
      <c r="D340" s="21">
        <f>0</f>
        <v>0</v>
      </c>
      <c r="E340" s="21">
        <f>280</f>
        <v>280</v>
      </c>
      <c r="F340" s="21">
        <f t="shared" ref="F340:L340" si="350">0</f>
        <v>0</v>
      </c>
      <c r="G340" s="21">
        <f t="shared" si="350"/>
        <v>0</v>
      </c>
      <c r="H340" s="21">
        <f t="shared" si="350"/>
        <v>0</v>
      </c>
      <c r="I340" s="21">
        <f t="shared" si="350"/>
        <v>0</v>
      </c>
      <c r="J340" s="21">
        <f t="shared" si="350"/>
        <v>0</v>
      </c>
      <c r="K340" s="21">
        <f t="shared" si="350"/>
        <v>0</v>
      </c>
      <c r="L340" s="21">
        <f t="shared" si="350"/>
        <v>0</v>
      </c>
    </row>
    <row r="341">
      <c r="B341" s="20">
        <v>46299.0</v>
      </c>
      <c r="C341" s="21">
        <v>240.0</v>
      </c>
      <c r="D341" s="21">
        <v>0.0</v>
      </c>
      <c r="E341" s="21">
        <v>0.0</v>
      </c>
      <c r="F341" s="21">
        <v>0.0</v>
      </c>
      <c r="G341" s="21">
        <v>0.0</v>
      </c>
      <c r="H341" s="21">
        <v>0.0</v>
      </c>
      <c r="I341" s="21">
        <v>0.0</v>
      </c>
      <c r="J341" s="21">
        <v>0.0</v>
      </c>
      <c r="K341" s="21">
        <v>0.0</v>
      </c>
      <c r="L341" s="21">
        <v>240.0</v>
      </c>
    </row>
    <row r="342">
      <c r="B342" s="20">
        <v>46299.0</v>
      </c>
      <c r="C342" s="21">
        <v>20.0</v>
      </c>
      <c r="D342" s="21">
        <v>0.0</v>
      </c>
      <c r="E342" s="21">
        <v>0.0</v>
      </c>
      <c r="F342" s="21">
        <v>0.0</v>
      </c>
      <c r="G342" s="21">
        <v>0.0</v>
      </c>
      <c r="H342" s="21">
        <v>0.0</v>
      </c>
      <c r="I342" s="21">
        <v>0.0</v>
      </c>
      <c r="J342" s="21">
        <v>0.0</v>
      </c>
      <c r="K342" s="21">
        <v>0.0</v>
      </c>
      <c r="L342" s="21">
        <v>20.0</v>
      </c>
    </row>
    <row r="343">
      <c r="B343" s="20">
        <v>46300.0</v>
      </c>
      <c r="C343" s="21">
        <v>60.0</v>
      </c>
      <c r="D343" s="21">
        <f t="shared" ref="D343:F343" si="351">0</f>
        <v>0</v>
      </c>
      <c r="E343" s="21">
        <f t="shared" si="351"/>
        <v>0</v>
      </c>
      <c r="F343" s="21">
        <f t="shared" si="351"/>
        <v>0</v>
      </c>
      <c r="G343" s="21">
        <f>60</f>
        <v>60</v>
      </c>
      <c r="H343" s="21">
        <f t="shared" ref="H343:L343" si="352">0</f>
        <v>0</v>
      </c>
      <c r="I343" s="21">
        <f t="shared" si="352"/>
        <v>0</v>
      </c>
      <c r="J343" s="21">
        <f t="shared" si="352"/>
        <v>0</v>
      </c>
      <c r="K343" s="21">
        <f t="shared" si="352"/>
        <v>0</v>
      </c>
      <c r="L343" s="21">
        <f t="shared" si="352"/>
        <v>0</v>
      </c>
    </row>
    <row r="344">
      <c r="B344" s="20">
        <v>46300.0</v>
      </c>
      <c r="C344" s="21">
        <v>100.0</v>
      </c>
      <c r="D344" s="21">
        <v>0.0</v>
      </c>
      <c r="E344" s="21">
        <v>0.0</v>
      </c>
      <c r="F344" s="21">
        <v>0.0</v>
      </c>
      <c r="G344" s="21">
        <v>0.0</v>
      </c>
      <c r="H344" s="21">
        <v>0.0</v>
      </c>
      <c r="I344" s="21">
        <v>0.0</v>
      </c>
      <c r="J344" s="21">
        <v>0.0</v>
      </c>
      <c r="K344" s="21">
        <v>0.0</v>
      </c>
      <c r="L344" s="21">
        <v>100.0</v>
      </c>
    </row>
    <row r="345">
      <c r="B345" s="20">
        <v>46300.0</v>
      </c>
      <c r="C345" s="21">
        <v>60.0</v>
      </c>
      <c r="D345" s="21">
        <v>0.0</v>
      </c>
      <c r="E345" s="21">
        <v>0.0</v>
      </c>
      <c r="F345" s="21">
        <v>0.0</v>
      </c>
      <c r="G345" s="21">
        <v>0.0</v>
      </c>
      <c r="H345" s="21">
        <v>0.0</v>
      </c>
      <c r="I345" s="21">
        <v>0.0</v>
      </c>
      <c r="J345" s="21">
        <v>0.0</v>
      </c>
      <c r="K345" s="21">
        <v>0.0</v>
      </c>
      <c r="L345" s="21">
        <v>60.0</v>
      </c>
    </row>
    <row r="346">
      <c r="B346" s="20">
        <v>46300.0</v>
      </c>
      <c r="C346" s="21">
        <v>220.0</v>
      </c>
      <c r="D346" s="21">
        <f t="shared" ref="D346:K346" si="353">0</f>
        <v>0</v>
      </c>
      <c r="E346" s="21">
        <f t="shared" si="353"/>
        <v>0</v>
      </c>
      <c r="F346" s="21">
        <f t="shared" si="353"/>
        <v>0</v>
      </c>
      <c r="G346" s="21">
        <f t="shared" si="353"/>
        <v>0</v>
      </c>
      <c r="H346" s="21">
        <f t="shared" si="353"/>
        <v>0</v>
      </c>
      <c r="I346" s="21">
        <f t="shared" si="353"/>
        <v>0</v>
      </c>
      <c r="J346" s="21">
        <f t="shared" si="353"/>
        <v>0</v>
      </c>
      <c r="K346" s="21">
        <f t="shared" si="353"/>
        <v>0</v>
      </c>
      <c r="L346" s="21">
        <f>220</f>
        <v>220</v>
      </c>
    </row>
    <row r="347">
      <c r="B347" s="20">
        <v>46300.0</v>
      </c>
      <c r="C347" s="21">
        <v>60.0</v>
      </c>
      <c r="D347" s="21">
        <v>0.0</v>
      </c>
      <c r="E347" s="21">
        <v>0.0</v>
      </c>
      <c r="F347" s="21">
        <v>0.0</v>
      </c>
      <c r="G347" s="21">
        <v>0.0</v>
      </c>
      <c r="H347" s="21">
        <v>0.0</v>
      </c>
      <c r="I347" s="21">
        <v>0.0</v>
      </c>
      <c r="J347" s="21">
        <v>0.0</v>
      </c>
      <c r="K347" s="21">
        <v>0.0</v>
      </c>
      <c r="L347" s="21">
        <v>60.0</v>
      </c>
    </row>
    <row r="348">
      <c r="B348" s="20">
        <v>46301.0</v>
      </c>
      <c r="C348" s="21">
        <v>280.0</v>
      </c>
      <c r="D348" s="21">
        <f t="shared" ref="D348:E348" si="354">0</f>
        <v>0</v>
      </c>
      <c r="E348" s="21">
        <f t="shared" si="354"/>
        <v>0</v>
      </c>
      <c r="F348" s="21">
        <f>252</f>
        <v>252</v>
      </c>
      <c r="G348" s="21">
        <f>0</f>
        <v>0</v>
      </c>
      <c r="H348" s="21">
        <f>28</f>
        <v>28</v>
      </c>
      <c r="I348" s="21">
        <f t="shared" ref="I348:L348" si="355">0</f>
        <v>0</v>
      </c>
      <c r="J348" s="21">
        <f t="shared" si="355"/>
        <v>0</v>
      </c>
      <c r="K348" s="21">
        <f t="shared" si="355"/>
        <v>0</v>
      </c>
      <c r="L348" s="21">
        <f t="shared" si="355"/>
        <v>0</v>
      </c>
    </row>
    <row r="349">
      <c r="B349" s="20">
        <v>46301.0</v>
      </c>
      <c r="C349" s="21">
        <v>60.0</v>
      </c>
      <c r="D349" s="21">
        <v>0.0</v>
      </c>
      <c r="E349" s="21">
        <v>0.0</v>
      </c>
      <c r="F349" s="21">
        <v>0.0</v>
      </c>
      <c r="G349" s="21">
        <v>0.0</v>
      </c>
      <c r="H349" s="21">
        <v>0.0</v>
      </c>
      <c r="I349" s="21">
        <v>0.0</v>
      </c>
      <c r="J349" s="21">
        <v>0.0</v>
      </c>
      <c r="K349" s="21">
        <v>0.0</v>
      </c>
      <c r="L349" s="21">
        <v>60.0</v>
      </c>
    </row>
    <row r="350">
      <c r="B350" s="20">
        <v>46302.0</v>
      </c>
      <c r="C350" s="21">
        <v>160.0</v>
      </c>
      <c r="D350" s="21">
        <v>0.0</v>
      </c>
      <c r="E350" s="21">
        <v>0.0</v>
      </c>
      <c r="F350" s="21">
        <v>0.0</v>
      </c>
      <c r="G350" s="21">
        <v>0.0</v>
      </c>
      <c r="H350" s="21">
        <v>0.0</v>
      </c>
      <c r="I350" s="21">
        <v>0.0</v>
      </c>
      <c r="J350" s="21">
        <v>0.0</v>
      </c>
      <c r="K350" s="21">
        <v>0.0</v>
      </c>
      <c r="L350" s="21">
        <v>160.0</v>
      </c>
    </row>
    <row r="351">
      <c r="B351" s="20">
        <v>46302.0</v>
      </c>
      <c r="C351" s="21">
        <v>280.0</v>
      </c>
      <c r="D351" s="21">
        <v>0.0</v>
      </c>
      <c r="E351" s="21">
        <v>0.0</v>
      </c>
      <c r="F351" s="21">
        <v>0.0</v>
      </c>
      <c r="G351" s="21">
        <v>0.0</v>
      </c>
      <c r="H351" s="21">
        <v>0.0</v>
      </c>
      <c r="I351" s="21">
        <v>0.0</v>
      </c>
      <c r="J351" s="21">
        <v>0.0</v>
      </c>
      <c r="K351" s="21">
        <v>0.0</v>
      </c>
      <c r="L351" s="21">
        <v>280.0</v>
      </c>
    </row>
    <row r="352">
      <c r="B352" s="20">
        <v>46302.0</v>
      </c>
      <c r="C352" s="21">
        <v>160.0</v>
      </c>
      <c r="D352" s="21">
        <f t="shared" ref="D352:E352" si="356">0</f>
        <v>0</v>
      </c>
      <c r="E352" s="21">
        <f t="shared" si="356"/>
        <v>0</v>
      </c>
      <c r="F352" s="21">
        <f>48</f>
        <v>48</v>
      </c>
      <c r="G352" s="21">
        <f t="shared" ref="G352:K352" si="357">0</f>
        <v>0</v>
      </c>
      <c r="H352" s="21">
        <f t="shared" si="357"/>
        <v>0</v>
      </c>
      <c r="I352" s="21">
        <f t="shared" si="357"/>
        <v>0</v>
      </c>
      <c r="J352" s="21">
        <f t="shared" si="357"/>
        <v>0</v>
      </c>
      <c r="K352" s="21">
        <f t="shared" si="357"/>
        <v>0</v>
      </c>
      <c r="L352" s="21">
        <f>112</f>
        <v>112</v>
      </c>
    </row>
    <row r="353">
      <c r="B353" s="20">
        <v>46302.0</v>
      </c>
      <c r="C353" s="21">
        <v>200.0</v>
      </c>
      <c r="D353" s="21">
        <f t="shared" ref="D353:D357" si="359">0</f>
        <v>0</v>
      </c>
      <c r="E353" s="21">
        <f>180</f>
        <v>180</v>
      </c>
      <c r="F353" s="21">
        <f>0</f>
        <v>0</v>
      </c>
      <c r="G353" s="21">
        <f>20</f>
        <v>20</v>
      </c>
      <c r="H353" s="21">
        <f t="shared" ref="H353:L353" si="358">0</f>
        <v>0</v>
      </c>
      <c r="I353" s="21">
        <f t="shared" si="358"/>
        <v>0</v>
      </c>
      <c r="J353" s="21">
        <f t="shared" si="358"/>
        <v>0</v>
      </c>
      <c r="K353" s="21">
        <f t="shared" si="358"/>
        <v>0</v>
      </c>
      <c r="L353" s="21">
        <f t="shared" si="358"/>
        <v>0</v>
      </c>
    </row>
    <row r="354">
      <c r="B354" s="20">
        <v>46303.0</v>
      </c>
      <c r="C354" s="21">
        <v>300.0</v>
      </c>
      <c r="D354" s="21">
        <f t="shared" si="359"/>
        <v>0</v>
      </c>
      <c r="E354" s="21">
        <f t="shared" ref="E354:K354" si="360">0</f>
        <v>0</v>
      </c>
      <c r="F354" s="21">
        <f t="shared" si="360"/>
        <v>0</v>
      </c>
      <c r="G354" s="21">
        <f t="shared" si="360"/>
        <v>0</v>
      </c>
      <c r="H354" s="21">
        <f t="shared" si="360"/>
        <v>0</v>
      </c>
      <c r="I354" s="21">
        <f t="shared" si="360"/>
        <v>0</v>
      </c>
      <c r="J354" s="21">
        <f t="shared" si="360"/>
        <v>0</v>
      </c>
      <c r="K354" s="21">
        <f t="shared" si="360"/>
        <v>0</v>
      </c>
      <c r="L354" s="21">
        <f>300</f>
        <v>300</v>
      </c>
    </row>
    <row r="355">
      <c r="B355" s="20">
        <v>46303.0</v>
      </c>
      <c r="C355" s="21">
        <v>160.0</v>
      </c>
      <c r="D355" s="21">
        <f t="shared" si="359"/>
        <v>0</v>
      </c>
      <c r="E355" s="21">
        <f>160</f>
        <v>160</v>
      </c>
      <c r="F355" s="21">
        <f t="shared" ref="F355:L355" si="361">0</f>
        <v>0</v>
      </c>
      <c r="G355" s="21">
        <f t="shared" si="361"/>
        <v>0</v>
      </c>
      <c r="H355" s="21">
        <f t="shared" si="361"/>
        <v>0</v>
      </c>
      <c r="I355" s="21">
        <f t="shared" si="361"/>
        <v>0</v>
      </c>
      <c r="J355" s="21">
        <f t="shared" si="361"/>
        <v>0</v>
      </c>
      <c r="K355" s="21">
        <f t="shared" si="361"/>
        <v>0</v>
      </c>
      <c r="L355" s="21">
        <f t="shared" si="361"/>
        <v>0</v>
      </c>
    </row>
    <row r="356">
      <c r="B356" s="20">
        <v>46303.0</v>
      </c>
      <c r="C356" s="21">
        <v>160.0</v>
      </c>
      <c r="D356" s="21">
        <f t="shared" si="359"/>
        <v>0</v>
      </c>
      <c r="E356" s="21">
        <f t="shared" ref="E356:E357" si="364">0</f>
        <v>0</v>
      </c>
      <c r="F356" s="21">
        <f t="shared" ref="F356:H356" si="362">32</f>
        <v>32</v>
      </c>
      <c r="G356" s="21">
        <f t="shared" si="362"/>
        <v>32</v>
      </c>
      <c r="H356" s="21">
        <f t="shared" si="362"/>
        <v>32</v>
      </c>
      <c r="I356" s="21">
        <f t="shared" ref="I356:J356" si="363">0</f>
        <v>0</v>
      </c>
      <c r="J356" s="21">
        <f t="shared" si="363"/>
        <v>0</v>
      </c>
      <c r="K356" s="21">
        <f>16</f>
        <v>16</v>
      </c>
      <c r="L356" s="21">
        <f>48</f>
        <v>48</v>
      </c>
    </row>
    <row r="357">
      <c r="B357" s="20">
        <v>46303.0</v>
      </c>
      <c r="C357" s="21">
        <v>140.0</v>
      </c>
      <c r="D357" s="21">
        <f t="shared" si="359"/>
        <v>0</v>
      </c>
      <c r="E357" s="21">
        <f t="shared" si="364"/>
        <v>0</v>
      </c>
      <c r="F357" s="21">
        <f>0</f>
        <v>0</v>
      </c>
      <c r="G357" s="21">
        <f>140</f>
        <v>140</v>
      </c>
      <c r="H357" s="21">
        <f t="shared" ref="H357:L357" si="365">0</f>
        <v>0</v>
      </c>
      <c r="I357" s="21">
        <f t="shared" si="365"/>
        <v>0</v>
      </c>
      <c r="J357" s="21">
        <f t="shared" si="365"/>
        <v>0</v>
      </c>
      <c r="K357" s="21">
        <f t="shared" si="365"/>
        <v>0</v>
      </c>
      <c r="L357" s="21">
        <f t="shared" si="365"/>
        <v>0</v>
      </c>
    </row>
    <row r="358">
      <c r="B358" s="20"/>
      <c r="C358" s="21"/>
      <c r="D358" s="21"/>
      <c r="E358" s="21"/>
      <c r="F358" s="21"/>
      <c r="G358" s="21"/>
      <c r="H358" s="21"/>
      <c r="I358" s="21"/>
      <c r="J358" s="21"/>
      <c r="K358" s="21"/>
      <c r="L358" s="21"/>
    </row>
    <row r="359">
      <c r="B359" s="20"/>
      <c r="C359" s="21"/>
      <c r="D359" s="21"/>
      <c r="E359" s="21"/>
      <c r="F359" s="21"/>
      <c r="G359" s="21"/>
      <c r="H359" s="21"/>
      <c r="I359" s="21"/>
      <c r="J359" s="21"/>
      <c r="K359" s="21"/>
      <c r="L359" s="21"/>
    </row>
    <row r="360">
      <c r="B360" s="20"/>
      <c r="C360" s="21"/>
      <c r="D360" s="21"/>
      <c r="E360" s="21"/>
      <c r="F360" s="21"/>
      <c r="G360" s="21"/>
      <c r="H360" s="21"/>
      <c r="I360" s="21"/>
      <c r="J360" s="21"/>
      <c r="K360" s="21"/>
      <c r="L360" s="21"/>
    </row>
    <row r="361">
      <c r="B361" s="20"/>
      <c r="C361" s="21"/>
      <c r="D361" s="21"/>
      <c r="E361" s="21"/>
      <c r="F361" s="21"/>
      <c r="G361" s="21"/>
      <c r="H361" s="21"/>
      <c r="I361" s="21"/>
      <c r="J361" s="21"/>
      <c r="K361" s="21"/>
      <c r="L361" s="21"/>
    </row>
    <row r="362">
      <c r="B362" s="20"/>
      <c r="C362" s="21"/>
      <c r="D362" s="21"/>
      <c r="E362" s="21"/>
      <c r="F362" s="21"/>
      <c r="G362" s="21"/>
      <c r="H362" s="21"/>
      <c r="I362" s="21"/>
      <c r="J362" s="21"/>
      <c r="K362" s="21"/>
      <c r="L362" s="21"/>
    </row>
    <row r="363">
      <c r="B363" s="20"/>
      <c r="C363" s="21"/>
      <c r="D363" s="21"/>
      <c r="E363" s="21"/>
      <c r="F363" s="21"/>
      <c r="G363" s="21"/>
      <c r="H363" s="21"/>
      <c r="I363" s="21"/>
      <c r="J363" s="21"/>
      <c r="K363" s="21"/>
      <c r="L363" s="21"/>
    </row>
    <row r="364">
      <c r="B364" s="20"/>
      <c r="C364" s="21"/>
      <c r="D364" s="21"/>
      <c r="E364" s="21"/>
      <c r="F364" s="21"/>
      <c r="G364" s="21"/>
      <c r="H364" s="21"/>
      <c r="I364" s="21"/>
      <c r="J364" s="21"/>
      <c r="K364" s="21"/>
      <c r="L364" s="21"/>
    </row>
    <row r="365">
      <c r="B365" s="20"/>
      <c r="C365" s="21"/>
      <c r="D365" s="21"/>
      <c r="E365" s="21"/>
      <c r="F365" s="21"/>
      <c r="G365" s="21"/>
      <c r="H365" s="21"/>
      <c r="I365" s="21"/>
      <c r="J365" s="21"/>
      <c r="K365" s="21"/>
      <c r="L365" s="21"/>
    </row>
    <row r="366">
      <c r="B366" s="20"/>
      <c r="C366" s="21"/>
      <c r="D366" s="21"/>
      <c r="E366" s="21"/>
      <c r="F366" s="21"/>
      <c r="G366" s="21"/>
      <c r="H366" s="21"/>
      <c r="I366" s="21"/>
      <c r="J366" s="21"/>
      <c r="K366" s="21"/>
      <c r="L366" s="21"/>
    </row>
    <row r="367">
      <c r="B367" s="20"/>
      <c r="C367" s="21"/>
      <c r="D367" s="21"/>
      <c r="E367" s="21"/>
      <c r="F367" s="21"/>
      <c r="G367" s="21"/>
      <c r="H367" s="21"/>
      <c r="I367" s="21"/>
      <c r="J367" s="21"/>
      <c r="K367" s="21"/>
      <c r="L367" s="21"/>
    </row>
    <row r="368">
      <c r="B368" s="20"/>
      <c r="C368" s="21"/>
      <c r="D368" s="21"/>
      <c r="E368" s="21"/>
      <c r="F368" s="21"/>
      <c r="G368" s="21"/>
      <c r="H368" s="21"/>
      <c r="I368" s="21"/>
      <c r="J368" s="21"/>
      <c r="K368" s="21"/>
      <c r="L368" s="21"/>
    </row>
    <row r="369">
      <c r="B369" s="20"/>
      <c r="C369" s="21"/>
      <c r="D369" s="21"/>
      <c r="E369" s="21"/>
      <c r="F369" s="21"/>
      <c r="G369" s="21"/>
      <c r="H369" s="21"/>
      <c r="I369" s="21"/>
      <c r="J369" s="21"/>
      <c r="K369" s="21"/>
      <c r="L369" s="21"/>
    </row>
    <row r="370">
      <c r="B370" s="20"/>
      <c r="C370" s="21"/>
      <c r="D370" s="21"/>
      <c r="E370" s="21"/>
      <c r="F370" s="21"/>
      <c r="G370" s="21"/>
      <c r="H370" s="21"/>
      <c r="I370" s="21"/>
      <c r="J370" s="21"/>
      <c r="K370" s="21"/>
      <c r="L370" s="21"/>
    </row>
    <row r="371">
      <c r="B371" s="20"/>
      <c r="C371" s="21"/>
      <c r="D371" s="21"/>
      <c r="E371" s="21"/>
      <c r="F371" s="21"/>
      <c r="G371" s="21"/>
      <c r="H371" s="21"/>
      <c r="I371" s="21"/>
      <c r="J371" s="21"/>
      <c r="K371" s="21"/>
      <c r="L371" s="21"/>
    </row>
    <row r="372">
      <c r="B372" s="20"/>
      <c r="C372" s="21"/>
      <c r="D372" s="21"/>
      <c r="E372" s="21"/>
      <c r="F372" s="21"/>
      <c r="G372" s="21"/>
      <c r="H372" s="21"/>
      <c r="I372" s="21"/>
      <c r="J372" s="21"/>
      <c r="K372" s="21"/>
      <c r="L372" s="21"/>
    </row>
    <row r="373">
      <c r="B373" s="20"/>
      <c r="C373" s="21"/>
      <c r="D373" s="21"/>
      <c r="E373" s="21"/>
      <c r="F373" s="21"/>
      <c r="G373" s="21"/>
      <c r="H373" s="21"/>
      <c r="I373" s="21"/>
      <c r="J373" s="21"/>
      <c r="K373" s="21"/>
      <c r="L373" s="21"/>
    </row>
    <row r="374">
      <c r="B374" s="20"/>
      <c r="C374" s="21"/>
      <c r="D374" s="21"/>
      <c r="E374" s="21"/>
      <c r="F374" s="21"/>
      <c r="G374" s="21"/>
      <c r="H374" s="21"/>
      <c r="I374" s="21"/>
      <c r="J374" s="21"/>
      <c r="K374" s="21"/>
      <c r="L374" s="21"/>
    </row>
    <row r="375">
      <c r="B375" s="20"/>
      <c r="C375" s="21"/>
      <c r="D375" s="21"/>
      <c r="E375" s="21"/>
      <c r="F375" s="21"/>
      <c r="G375" s="21"/>
      <c r="H375" s="21"/>
      <c r="I375" s="21"/>
      <c r="J375" s="21"/>
      <c r="K375" s="21"/>
      <c r="L375" s="21"/>
    </row>
    <row r="376">
      <c r="B376" s="20"/>
      <c r="C376" s="21"/>
      <c r="D376" s="21"/>
      <c r="E376" s="21"/>
      <c r="F376" s="21"/>
      <c r="G376" s="21"/>
      <c r="H376" s="21"/>
      <c r="I376" s="21"/>
      <c r="J376" s="21"/>
      <c r="K376" s="21"/>
      <c r="L376" s="21"/>
    </row>
    <row r="377">
      <c r="B377" s="20"/>
      <c r="C377" s="21"/>
      <c r="D377" s="21"/>
      <c r="E377" s="21"/>
      <c r="F377" s="21"/>
      <c r="G377" s="21"/>
      <c r="H377" s="21"/>
      <c r="I377" s="21"/>
      <c r="J377" s="21"/>
      <c r="K377" s="21"/>
      <c r="L377" s="21"/>
    </row>
    <row r="378">
      <c r="B378" s="20"/>
      <c r="C378" s="21"/>
      <c r="D378" s="21"/>
      <c r="E378" s="21"/>
      <c r="F378" s="21"/>
      <c r="G378" s="21"/>
      <c r="H378" s="21"/>
      <c r="I378" s="21"/>
      <c r="J378" s="21"/>
      <c r="K378" s="21"/>
      <c r="L378" s="21"/>
    </row>
    <row r="379">
      <c r="B379" s="20"/>
      <c r="C379" s="21"/>
      <c r="D379" s="21"/>
      <c r="E379" s="21"/>
      <c r="F379" s="21"/>
      <c r="G379" s="21"/>
      <c r="H379" s="21"/>
      <c r="I379" s="21"/>
      <c r="J379" s="21"/>
      <c r="K379" s="21"/>
      <c r="L379" s="21"/>
    </row>
    <row r="380">
      <c r="B380" s="20"/>
      <c r="C380" s="21"/>
      <c r="D380" s="21"/>
      <c r="E380" s="21"/>
      <c r="F380" s="21"/>
      <c r="G380" s="21"/>
      <c r="H380" s="21"/>
      <c r="I380" s="21"/>
      <c r="J380" s="21"/>
      <c r="K380" s="21"/>
      <c r="L380" s="21"/>
    </row>
    <row r="381">
      <c r="B381" s="20"/>
      <c r="C381" s="21"/>
      <c r="D381" s="21"/>
      <c r="E381" s="21"/>
      <c r="F381" s="21"/>
      <c r="G381" s="21"/>
      <c r="H381" s="21"/>
      <c r="I381" s="21"/>
      <c r="J381" s="21"/>
      <c r="K381" s="21"/>
      <c r="L381" s="21"/>
    </row>
    <row r="382">
      <c r="B382" s="20"/>
      <c r="C382" s="21"/>
      <c r="D382" s="21"/>
      <c r="E382" s="21"/>
      <c r="F382" s="21"/>
      <c r="G382" s="21"/>
      <c r="H382" s="21"/>
      <c r="I382" s="21"/>
      <c r="J382" s="21"/>
      <c r="K382" s="21"/>
      <c r="L382" s="21"/>
    </row>
    <row r="383">
      <c r="B383" s="20"/>
      <c r="C383" s="21"/>
      <c r="D383" s="21"/>
      <c r="E383" s="21"/>
      <c r="F383" s="21"/>
      <c r="G383" s="21"/>
      <c r="H383" s="21"/>
      <c r="I383" s="21"/>
      <c r="J383" s="21"/>
      <c r="K383" s="21"/>
      <c r="L383" s="21"/>
    </row>
    <row r="384">
      <c r="B384" s="20"/>
      <c r="C384" s="21"/>
      <c r="D384" s="21"/>
      <c r="E384" s="21"/>
      <c r="F384" s="21"/>
      <c r="G384" s="21"/>
      <c r="H384" s="21"/>
      <c r="I384" s="21"/>
      <c r="J384" s="21"/>
      <c r="K384" s="21"/>
      <c r="L384" s="21"/>
    </row>
    <row r="385">
      <c r="B385" s="20"/>
      <c r="C385" s="21"/>
      <c r="D385" s="21"/>
      <c r="E385" s="21"/>
      <c r="F385" s="21"/>
      <c r="G385" s="21"/>
      <c r="H385" s="21"/>
      <c r="I385" s="21"/>
      <c r="J385" s="21"/>
      <c r="K385" s="21"/>
      <c r="L385" s="21"/>
    </row>
    <row r="386">
      <c r="B386" s="20"/>
      <c r="C386" s="21"/>
      <c r="D386" s="21"/>
      <c r="E386" s="21"/>
      <c r="F386" s="21"/>
      <c r="G386" s="21"/>
      <c r="H386" s="21"/>
      <c r="I386" s="21"/>
      <c r="J386" s="21"/>
      <c r="K386" s="21"/>
      <c r="L386" s="21"/>
    </row>
    <row r="387">
      <c r="B387" s="20"/>
      <c r="C387" s="21"/>
      <c r="D387" s="21"/>
      <c r="E387" s="21"/>
      <c r="F387" s="21"/>
      <c r="G387" s="21"/>
      <c r="H387" s="21"/>
      <c r="I387" s="21"/>
      <c r="J387" s="21"/>
      <c r="K387" s="21"/>
      <c r="L387" s="21"/>
    </row>
    <row r="388">
      <c r="B388" s="20"/>
      <c r="C388" s="21"/>
      <c r="D388" s="21"/>
      <c r="E388" s="21"/>
      <c r="F388" s="21"/>
      <c r="G388" s="21"/>
      <c r="H388" s="21"/>
      <c r="I388" s="21"/>
      <c r="J388" s="21"/>
      <c r="K388" s="21"/>
      <c r="L388" s="21"/>
    </row>
    <row r="389">
      <c r="B389" s="20"/>
      <c r="C389" s="21"/>
      <c r="D389" s="21"/>
      <c r="E389" s="21"/>
      <c r="F389" s="21"/>
      <c r="G389" s="21"/>
      <c r="H389" s="21"/>
      <c r="I389" s="21"/>
      <c r="J389" s="21"/>
      <c r="K389" s="21"/>
      <c r="L389" s="21"/>
    </row>
    <row r="390">
      <c r="B390" s="20"/>
      <c r="C390" s="21"/>
      <c r="D390" s="21"/>
      <c r="E390" s="21"/>
      <c r="F390" s="21"/>
      <c r="G390" s="21"/>
      <c r="H390" s="21"/>
      <c r="I390" s="21"/>
      <c r="J390" s="21"/>
      <c r="K390" s="21"/>
      <c r="L390" s="21"/>
    </row>
    <row r="391">
      <c r="B391" s="20"/>
      <c r="C391" s="21"/>
      <c r="D391" s="21"/>
      <c r="E391" s="21"/>
      <c r="F391" s="21"/>
      <c r="G391" s="21"/>
      <c r="H391" s="21"/>
      <c r="I391" s="21"/>
      <c r="J391" s="21"/>
      <c r="K391" s="21"/>
      <c r="L391" s="21"/>
    </row>
    <row r="392">
      <c r="B392" s="20"/>
      <c r="C392" s="21"/>
      <c r="D392" s="21"/>
      <c r="E392" s="21"/>
      <c r="F392" s="21"/>
      <c r="G392" s="21"/>
      <c r="H392" s="21"/>
      <c r="I392" s="21"/>
      <c r="J392" s="21"/>
      <c r="K392" s="21"/>
      <c r="L392" s="21"/>
    </row>
    <row r="393">
      <c r="B393" s="20"/>
      <c r="C393" s="21"/>
      <c r="D393" s="21"/>
      <c r="E393" s="21"/>
      <c r="F393" s="21"/>
      <c r="G393" s="21"/>
      <c r="H393" s="21"/>
      <c r="I393" s="21"/>
      <c r="J393" s="21"/>
      <c r="K393" s="21"/>
      <c r="L393" s="21"/>
    </row>
    <row r="394">
      <c r="B394" s="20"/>
      <c r="C394" s="21"/>
      <c r="D394" s="21"/>
      <c r="E394" s="21"/>
      <c r="F394" s="21"/>
      <c r="G394" s="21"/>
      <c r="H394" s="21"/>
      <c r="I394" s="21"/>
      <c r="J394" s="21"/>
      <c r="K394" s="21"/>
      <c r="L394" s="21"/>
    </row>
    <row r="395">
      <c r="B395" s="20"/>
      <c r="C395" s="21"/>
      <c r="D395" s="21"/>
      <c r="E395" s="21"/>
      <c r="F395" s="21"/>
      <c r="G395" s="21"/>
      <c r="H395" s="21"/>
      <c r="I395" s="21"/>
      <c r="J395" s="21"/>
      <c r="K395" s="21"/>
      <c r="L395" s="21"/>
    </row>
    <row r="396">
      <c r="B396" s="20"/>
      <c r="C396" s="21"/>
      <c r="D396" s="21"/>
      <c r="E396" s="21"/>
      <c r="F396" s="21"/>
      <c r="G396" s="21"/>
      <c r="H396" s="21"/>
      <c r="I396" s="21"/>
      <c r="J396" s="21"/>
      <c r="K396" s="21"/>
      <c r="L396" s="21"/>
    </row>
    <row r="397">
      <c r="B397" s="20"/>
      <c r="C397" s="21"/>
      <c r="D397" s="21"/>
      <c r="E397" s="21"/>
      <c r="F397" s="21"/>
      <c r="G397" s="21"/>
      <c r="H397" s="21"/>
      <c r="I397" s="21"/>
      <c r="J397" s="21"/>
      <c r="K397" s="21"/>
      <c r="L397" s="21"/>
    </row>
    <row r="398">
      <c r="B398" s="20"/>
      <c r="C398" s="21"/>
      <c r="D398" s="21"/>
      <c r="E398" s="21"/>
      <c r="F398" s="21"/>
      <c r="G398" s="21"/>
      <c r="H398" s="21"/>
      <c r="I398" s="21"/>
      <c r="J398" s="21"/>
      <c r="K398" s="21"/>
      <c r="L398" s="21"/>
    </row>
    <row r="399">
      <c r="B399" s="20"/>
      <c r="C399" s="21"/>
      <c r="D399" s="21"/>
      <c r="E399" s="21"/>
      <c r="F399" s="21"/>
      <c r="G399" s="21"/>
      <c r="H399" s="21"/>
      <c r="I399" s="21"/>
      <c r="J399" s="21"/>
      <c r="K399" s="21"/>
      <c r="L399" s="21"/>
    </row>
    <row r="400">
      <c r="B400" s="20"/>
      <c r="C400" s="21"/>
      <c r="D400" s="21"/>
      <c r="E400" s="21"/>
      <c r="F400" s="21"/>
      <c r="G400" s="21"/>
      <c r="H400" s="21"/>
      <c r="I400" s="21"/>
      <c r="J400" s="21"/>
      <c r="K400" s="21"/>
      <c r="L400" s="21"/>
    </row>
    <row r="401">
      <c r="B401" s="20"/>
      <c r="C401" s="21"/>
      <c r="D401" s="21"/>
      <c r="E401" s="21"/>
      <c r="F401" s="21"/>
      <c r="G401" s="21"/>
      <c r="H401" s="21"/>
      <c r="I401" s="21"/>
      <c r="J401" s="21"/>
      <c r="K401" s="21"/>
      <c r="L401" s="21"/>
    </row>
    <row r="402">
      <c r="B402" s="20"/>
      <c r="C402" s="21"/>
      <c r="D402" s="21"/>
      <c r="E402" s="21"/>
      <c r="F402" s="21"/>
      <c r="G402" s="21"/>
      <c r="H402" s="21"/>
      <c r="I402" s="21"/>
      <c r="J402" s="21"/>
      <c r="K402" s="21"/>
      <c r="L402" s="21"/>
    </row>
    <row r="403">
      <c r="B403" s="20"/>
      <c r="C403" s="21"/>
      <c r="D403" s="21"/>
      <c r="E403" s="21"/>
      <c r="F403" s="21"/>
      <c r="G403" s="21"/>
      <c r="H403" s="21"/>
      <c r="I403" s="21"/>
      <c r="J403" s="21"/>
      <c r="K403" s="21"/>
      <c r="L403" s="21"/>
    </row>
    <row r="404">
      <c r="B404" s="20"/>
      <c r="C404" s="21"/>
      <c r="D404" s="21"/>
      <c r="E404" s="21"/>
      <c r="F404" s="21"/>
      <c r="G404" s="21"/>
      <c r="H404" s="21"/>
      <c r="I404" s="21"/>
      <c r="J404" s="21"/>
      <c r="K404" s="21"/>
      <c r="L404" s="21"/>
    </row>
    <row r="405">
      <c r="B405" s="20"/>
      <c r="C405" s="21"/>
      <c r="D405" s="21"/>
      <c r="E405" s="21"/>
      <c r="F405" s="21"/>
      <c r="G405" s="21"/>
      <c r="H405" s="21"/>
      <c r="I405" s="21"/>
      <c r="J405" s="21"/>
      <c r="K405" s="21"/>
      <c r="L405" s="21"/>
    </row>
    <row r="406">
      <c r="B406" s="20"/>
      <c r="C406" s="21"/>
      <c r="D406" s="21"/>
      <c r="E406" s="21"/>
      <c r="F406" s="21"/>
      <c r="G406" s="21"/>
      <c r="H406" s="21"/>
      <c r="I406" s="21"/>
      <c r="J406" s="21"/>
      <c r="K406" s="21"/>
      <c r="L406" s="21"/>
    </row>
    <row r="407">
      <c r="B407" s="20"/>
      <c r="C407" s="21"/>
      <c r="D407" s="21"/>
      <c r="E407" s="21"/>
      <c r="F407" s="21"/>
      <c r="G407" s="21"/>
      <c r="H407" s="21"/>
      <c r="I407" s="21"/>
      <c r="J407" s="21"/>
      <c r="K407" s="21"/>
      <c r="L407" s="21"/>
    </row>
    <row r="408">
      <c r="B408" s="20"/>
      <c r="C408" s="21"/>
      <c r="D408" s="21"/>
      <c r="E408" s="21"/>
      <c r="F408" s="21"/>
      <c r="G408" s="21"/>
      <c r="H408" s="21"/>
      <c r="I408" s="21"/>
      <c r="J408" s="21"/>
      <c r="K408" s="21"/>
      <c r="L408" s="21"/>
    </row>
    <row r="409">
      <c r="B409" s="20"/>
      <c r="C409" s="21"/>
      <c r="D409" s="21"/>
      <c r="E409" s="21"/>
      <c r="F409" s="21"/>
      <c r="G409" s="21"/>
      <c r="H409" s="21"/>
      <c r="I409" s="21"/>
      <c r="J409" s="21"/>
      <c r="K409" s="21"/>
      <c r="L409" s="21"/>
    </row>
    <row r="410">
      <c r="B410" s="20"/>
      <c r="C410" s="21"/>
      <c r="D410" s="21"/>
      <c r="E410" s="21"/>
      <c r="F410" s="21"/>
      <c r="G410" s="21"/>
      <c r="H410" s="21"/>
      <c r="I410" s="21"/>
      <c r="J410" s="21"/>
      <c r="K410" s="21"/>
      <c r="L410" s="21"/>
    </row>
    <row r="411">
      <c r="B411" s="20"/>
      <c r="C411" s="21"/>
      <c r="D411" s="21"/>
      <c r="E411" s="21"/>
      <c r="F411" s="21"/>
      <c r="G411" s="21"/>
      <c r="H411" s="21"/>
      <c r="I411" s="21"/>
      <c r="J411" s="21"/>
      <c r="K411" s="21"/>
      <c r="L411" s="21"/>
    </row>
    <row r="412">
      <c r="B412" s="20"/>
      <c r="C412" s="21"/>
      <c r="D412" s="21"/>
      <c r="E412" s="21"/>
      <c r="F412" s="21"/>
      <c r="G412" s="21"/>
      <c r="H412" s="21"/>
      <c r="I412" s="21"/>
      <c r="J412" s="21"/>
      <c r="K412" s="21"/>
      <c r="L412" s="21"/>
    </row>
    <row r="413">
      <c r="B413" s="20"/>
      <c r="C413" s="21"/>
      <c r="D413" s="21"/>
      <c r="E413" s="21"/>
      <c r="F413" s="21"/>
      <c r="G413" s="21"/>
      <c r="H413" s="21"/>
      <c r="I413" s="21"/>
      <c r="J413" s="21"/>
      <c r="K413" s="21"/>
      <c r="L413" s="21"/>
    </row>
    <row r="414">
      <c r="B414" s="20"/>
      <c r="C414" s="21"/>
      <c r="D414" s="21"/>
      <c r="E414" s="21"/>
      <c r="F414" s="21"/>
      <c r="G414" s="21"/>
      <c r="H414" s="21"/>
      <c r="I414" s="21"/>
      <c r="J414" s="21"/>
      <c r="K414" s="21"/>
      <c r="L414" s="21"/>
    </row>
    <row r="415">
      <c r="B415" s="20"/>
      <c r="C415" s="21"/>
      <c r="D415" s="21"/>
      <c r="E415" s="21"/>
      <c r="F415" s="21"/>
      <c r="G415" s="21"/>
      <c r="H415" s="21"/>
      <c r="I415" s="21"/>
      <c r="J415" s="21"/>
      <c r="K415" s="21"/>
      <c r="L415" s="21"/>
    </row>
    <row r="416">
      <c r="B416" s="20"/>
      <c r="C416" s="21"/>
      <c r="D416" s="21"/>
      <c r="E416" s="21"/>
      <c r="F416" s="21"/>
      <c r="G416" s="21"/>
      <c r="H416" s="21"/>
      <c r="I416" s="21"/>
      <c r="J416" s="21"/>
      <c r="K416" s="21"/>
      <c r="L416" s="21"/>
    </row>
    <row r="417">
      <c r="B417" s="20"/>
      <c r="C417" s="21"/>
      <c r="D417" s="21"/>
      <c r="E417" s="21"/>
      <c r="F417" s="21"/>
      <c r="G417" s="21"/>
      <c r="H417" s="21"/>
      <c r="I417" s="21"/>
      <c r="J417" s="21"/>
      <c r="K417" s="21"/>
      <c r="L417" s="21"/>
    </row>
    <row r="418">
      <c r="B418" s="20"/>
      <c r="C418" s="21"/>
      <c r="D418" s="21"/>
      <c r="E418" s="21"/>
      <c r="F418" s="21"/>
      <c r="G418" s="21"/>
      <c r="H418" s="21"/>
      <c r="I418" s="21"/>
      <c r="J418" s="21"/>
      <c r="K418" s="21"/>
      <c r="L418" s="21"/>
    </row>
    <row r="419">
      <c r="B419" s="20"/>
      <c r="C419" s="21"/>
      <c r="D419" s="21"/>
      <c r="E419" s="21"/>
      <c r="F419" s="21"/>
      <c r="G419" s="21"/>
      <c r="H419" s="21"/>
      <c r="I419" s="21"/>
      <c r="J419" s="21"/>
      <c r="K419" s="21"/>
      <c r="L419" s="21"/>
    </row>
    <row r="420">
      <c r="B420" s="20"/>
      <c r="C420" s="21"/>
      <c r="D420" s="21"/>
      <c r="E420" s="21"/>
      <c r="F420" s="21"/>
      <c r="G420" s="21"/>
      <c r="H420" s="21"/>
      <c r="I420" s="21"/>
      <c r="J420" s="21"/>
      <c r="K420" s="21"/>
      <c r="L420" s="21"/>
    </row>
    <row r="421">
      <c r="B421" s="20"/>
      <c r="C421" s="21"/>
      <c r="D421" s="21"/>
      <c r="E421" s="21"/>
      <c r="F421" s="21"/>
      <c r="G421" s="21"/>
      <c r="H421" s="21"/>
      <c r="I421" s="21"/>
      <c r="J421" s="21"/>
      <c r="K421" s="21"/>
      <c r="L421" s="21"/>
    </row>
    <row r="422">
      <c r="B422" s="20"/>
      <c r="C422" s="21"/>
      <c r="D422" s="21"/>
      <c r="E422" s="21"/>
      <c r="F422" s="21"/>
      <c r="G422" s="21"/>
      <c r="H422" s="21"/>
      <c r="I422" s="21"/>
      <c r="J422" s="21"/>
      <c r="K422" s="21"/>
      <c r="L422" s="21"/>
    </row>
    <row r="423">
      <c r="B423" s="20"/>
      <c r="C423" s="21"/>
      <c r="D423" s="21"/>
      <c r="E423" s="21"/>
      <c r="F423" s="21"/>
      <c r="G423" s="21"/>
      <c r="H423" s="21"/>
      <c r="I423" s="21"/>
      <c r="J423" s="21"/>
      <c r="K423" s="21"/>
      <c r="L423" s="21"/>
    </row>
    <row r="424">
      <c r="B424" s="20"/>
      <c r="C424" s="21"/>
      <c r="D424" s="21"/>
      <c r="E424" s="21"/>
      <c r="F424" s="21"/>
      <c r="G424" s="21"/>
      <c r="H424" s="21"/>
      <c r="I424" s="21"/>
      <c r="J424" s="21"/>
      <c r="K424" s="21"/>
      <c r="L424" s="21"/>
    </row>
    <row r="425">
      <c r="B425" s="20"/>
      <c r="C425" s="21"/>
      <c r="D425" s="21"/>
      <c r="E425" s="21"/>
      <c r="F425" s="21"/>
      <c r="G425" s="21"/>
      <c r="H425" s="21"/>
      <c r="I425" s="21"/>
      <c r="J425" s="21"/>
      <c r="K425" s="21"/>
      <c r="L425" s="21"/>
    </row>
    <row r="426">
      <c r="B426" s="20"/>
      <c r="C426" s="21"/>
      <c r="D426" s="21"/>
      <c r="E426" s="21"/>
      <c r="F426" s="21"/>
      <c r="G426" s="21"/>
      <c r="H426" s="21"/>
      <c r="I426" s="21"/>
      <c r="J426" s="21"/>
      <c r="K426" s="21"/>
      <c r="L426" s="21"/>
    </row>
    <row r="427">
      <c r="B427" s="20"/>
      <c r="C427" s="21"/>
      <c r="D427" s="21"/>
      <c r="E427" s="21"/>
      <c r="F427" s="21"/>
      <c r="G427" s="21"/>
      <c r="H427" s="21"/>
      <c r="I427" s="21"/>
      <c r="J427" s="21"/>
      <c r="K427" s="21"/>
      <c r="L427" s="21"/>
    </row>
    <row r="428">
      <c r="B428" s="20"/>
      <c r="C428" s="21"/>
      <c r="D428" s="21"/>
      <c r="E428" s="21"/>
      <c r="F428" s="21"/>
      <c r="G428" s="21"/>
      <c r="H428" s="21"/>
      <c r="I428" s="21"/>
      <c r="J428" s="21"/>
      <c r="K428" s="21"/>
      <c r="L428" s="21"/>
    </row>
    <row r="429">
      <c r="B429" s="20"/>
      <c r="C429" s="21"/>
      <c r="D429" s="21"/>
      <c r="E429" s="21"/>
      <c r="F429" s="21"/>
      <c r="G429" s="21"/>
      <c r="H429" s="21"/>
      <c r="I429" s="21"/>
      <c r="J429" s="21"/>
      <c r="K429" s="21"/>
      <c r="L429" s="21"/>
    </row>
    <row r="430">
      <c r="B430" s="20"/>
      <c r="C430" s="21"/>
      <c r="D430" s="21"/>
      <c r="E430" s="21"/>
      <c r="F430" s="21"/>
      <c r="G430" s="21"/>
      <c r="H430" s="21"/>
      <c r="I430" s="21"/>
      <c r="J430" s="21"/>
      <c r="K430" s="21"/>
      <c r="L430" s="21"/>
    </row>
    <row r="431">
      <c r="B431" s="20"/>
      <c r="C431" s="21"/>
      <c r="D431" s="21"/>
      <c r="E431" s="21"/>
      <c r="F431" s="21"/>
      <c r="G431" s="21"/>
      <c r="H431" s="21"/>
      <c r="I431" s="21"/>
      <c r="J431" s="21"/>
      <c r="K431" s="21"/>
      <c r="L431" s="21"/>
    </row>
    <row r="432">
      <c r="B432" s="20"/>
      <c r="C432" s="21"/>
      <c r="D432" s="21"/>
      <c r="E432" s="21"/>
      <c r="F432" s="21"/>
      <c r="G432" s="21"/>
      <c r="H432" s="21"/>
      <c r="I432" s="21"/>
      <c r="J432" s="21"/>
      <c r="K432" s="21"/>
      <c r="L432" s="21"/>
    </row>
    <row r="433">
      <c r="B433" s="20"/>
      <c r="C433" s="21"/>
      <c r="D433" s="21"/>
      <c r="E433" s="21"/>
      <c r="F433" s="21"/>
      <c r="G433" s="21"/>
      <c r="H433" s="21"/>
      <c r="I433" s="21"/>
      <c r="J433" s="21"/>
      <c r="K433" s="21"/>
      <c r="L433" s="21"/>
    </row>
    <row r="434">
      <c r="B434" s="20"/>
      <c r="C434" s="21"/>
      <c r="D434" s="21"/>
      <c r="E434" s="21"/>
      <c r="F434" s="21"/>
      <c r="G434" s="21"/>
      <c r="H434" s="21"/>
      <c r="I434" s="21"/>
      <c r="J434" s="21"/>
      <c r="K434" s="21"/>
      <c r="L434" s="21"/>
    </row>
    <row r="435">
      <c r="B435" s="20"/>
      <c r="C435" s="21"/>
      <c r="D435" s="21"/>
      <c r="E435" s="21"/>
      <c r="F435" s="21"/>
      <c r="G435" s="21"/>
      <c r="H435" s="21"/>
      <c r="I435" s="21"/>
      <c r="J435" s="21"/>
      <c r="K435" s="21"/>
      <c r="L435" s="21"/>
    </row>
    <row r="436">
      <c r="B436" s="20"/>
      <c r="C436" s="21"/>
      <c r="D436" s="21"/>
      <c r="E436" s="21"/>
      <c r="F436" s="21"/>
      <c r="G436" s="21"/>
      <c r="H436" s="21"/>
      <c r="I436" s="21"/>
      <c r="J436" s="21"/>
      <c r="K436" s="21"/>
      <c r="L436" s="21"/>
    </row>
    <row r="437">
      <c r="B437" s="20"/>
      <c r="C437" s="21"/>
      <c r="D437" s="21"/>
      <c r="E437" s="21"/>
      <c r="F437" s="21"/>
      <c r="G437" s="21"/>
      <c r="H437" s="21"/>
      <c r="I437" s="21"/>
      <c r="J437" s="21"/>
      <c r="K437" s="21"/>
      <c r="L437" s="21"/>
    </row>
    <row r="438">
      <c r="B438" s="20"/>
      <c r="C438" s="21"/>
      <c r="D438" s="21"/>
      <c r="E438" s="21"/>
      <c r="F438" s="21"/>
      <c r="G438" s="21"/>
      <c r="H438" s="21"/>
      <c r="I438" s="21"/>
      <c r="J438" s="21"/>
      <c r="K438" s="21"/>
      <c r="L438" s="21"/>
    </row>
    <row r="439">
      <c r="B439" s="20"/>
      <c r="C439" s="21"/>
      <c r="D439" s="21"/>
      <c r="E439" s="21"/>
      <c r="F439" s="21"/>
      <c r="G439" s="21"/>
      <c r="H439" s="21"/>
      <c r="I439" s="21"/>
      <c r="J439" s="21"/>
      <c r="K439" s="21"/>
      <c r="L439" s="21"/>
    </row>
    <row r="440">
      <c r="B440" s="20"/>
      <c r="C440" s="21"/>
      <c r="D440" s="21"/>
      <c r="E440" s="21"/>
      <c r="F440" s="21"/>
      <c r="G440" s="21"/>
      <c r="H440" s="21"/>
      <c r="I440" s="21"/>
      <c r="J440" s="21"/>
      <c r="K440" s="21"/>
      <c r="L440" s="21"/>
    </row>
    <row r="441">
      <c r="B441" s="20"/>
      <c r="C441" s="21"/>
      <c r="D441" s="21"/>
      <c r="E441" s="21"/>
      <c r="F441" s="21"/>
      <c r="G441" s="21"/>
      <c r="H441" s="21"/>
      <c r="I441" s="21"/>
      <c r="J441" s="21"/>
      <c r="K441" s="21"/>
      <c r="L441" s="21"/>
    </row>
    <row r="442">
      <c r="B442" s="20"/>
      <c r="C442" s="21"/>
      <c r="D442" s="21"/>
      <c r="E442" s="21"/>
      <c r="F442" s="21"/>
      <c r="G442" s="21"/>
      <c r="H442" s="21"/>
      <c r="I442" s="21"/>
      <c r="J442" s="21"/>
      <c r="K442" s="21"/>
      <c r="L442" s="21"/>
    </row>
    <row r="443">
      <c r="B443" s="20"/>
      <c r="C443" s="21"/>
      <c r="D443" s="21"/>
      <c r="E443" s="21"/>
      <c r="F443" s="21"/>
      <c r="G443" s="21"/>
      <c r="H443" s="21"/>
      <c r="I443" s="21"/>
      <c r="J443" s="21"/>
      <c r="K443" s="21"/>
      <c r="L443" s="21"/>
    </row>
    <row r="444">
      <c r="B444" s="20"/>
      <c r="C444" s="21"/>
      <c r="D444" s="21"/>
      <c r="E444" s="21"/>
      <c r="F444" s="21"/>
      <c r="G444" s="21"/>
      <c r="H444" s="21"/>
      <c r="I444" s="21"/>
      <c r="J444" s="21"/>
      <c r="K444" s="21"/>
      <c r="L444" s="21"/>
    </row>
    <row r="445">
      <c r="B445" s="20"/>
      <c r="C445" s="21"/>
      <c r="D445" s="21"/>
      <c r="E445" s="21"/>
      <c r="F445" s="21"/>
      <c r="G445" s="21"/>
      <c r="H445" s="21"/>
      <c r="I445" s="21"/>
      <c r="J445" s="21"/>
      <c r="K445" s="21"/>
      <c r="L445" s="21"/>
    </row>
    <row r="446">
      <c r="B446" s="20"/>
      <c r="C446" s="21"/>
      <c r="D446" s="21"/>
      <c r="E446" s="21"/>
      <c r="F446" s="21"/>
      <c r="G446" s="21"/>
      <c r="H446" s="21"/>
      <c r="I446" s="21"/>
      <c r="J446" s="21"/>
      <c r="K446" s="21"/>
      <c r="L446" s="21"/>
    </row>
    <row r="447">
      <c r="B447" s="20"/>
      <c r="C447" s="21"/>
      <c r="D447" s="21"/>
      <c r="E447" s="21"/>
      <c r="F447" s="21"/>
      <c r="G447" s="21"/>
      <c r="H447" s="21"/>
      <c r="I447" s="21"/>
      <c r="J447" s="21"/>
      <c r="K447" s="21"/>
      <c r="L447" s="21"/>
    </row>
    <row r="448">
      <c r="B448" s="20"/>
      <c r="C448" s="21"/>
      <c r="D448" s="21"/>
      <c r="E448" s="21"/>
      <c r="F448" s="21"/>
      <c r="G448" s="21"/>
      <c r="H448" s="21"/>
      <c r="I448" s="21"/>
      <c r="J448" s="21"/>
      <c r="K448" s="21"/>
      <c r="L448" s="21"/>
    </row>
    <row r="449">
      <c r="B449" s="20"/>
      <c r="C449" s="21"/>
      <c r="D449" s="21"/>
      <c r="E449" s="21"/>
      <c r="F449" s="21"/>
      <c r="G449" s="21"/>
      <c r="H449" s="21"/>
      <c r="I449" s="21"/>
      <c r="J449" s="21"/>
      <c r="K449" s="21"/>
      <c r="L449" s="21"/>
    </row>
    <row r="450">
      <c r="B450" s="20"/>
      <c r="C450" s="21"/>
      <c r="D450" s="21"/>
      <c r="E450" s="21"/>
      <c r="F450" s="21"/>
      <c r="G450" s="21"/>
      <c r="H450" s="21"/>
      <c r="I450" s="21"/>
      <c r="J450" s="21"/>
      <c r="K450" s="21"/>
      <c r="L450" s="21"/>
    </row>
    <row r="451">
      <c r="B451" s="20"/>
      <c r="C451" s="21"/>
      <c r="D451" s="21"/>
      <c r="E451" s="21"/>
      <c r="F451" s="21"/>
      <c r="G451" s="21"/>
      <c r="H451" s="21"/>
      <c r="I451" s="21"/>
      <c r="J451" s="21"/>
      <c r="K451" s="21"/>
      <c r="L451" s="21"/>
    </row>
    <row r="452">
      <c r="B452" s="20"/>
      <c r="C452" s="21"/>
      <c r="D452" s="21"/>
      <c r="E452" s="21"/>
      <c r="F452" s="21"/>
      <c r="G452" s="21"/>
      <c r="H452" s="21"/>
      <c r="I452" s="21"/>
      <c r="J452" s="21"/>
      <c r="K452" s="21"/>
      <c r="L452" s="21"/>
    </row>
    <row r="453">
      <c r="B453" s="20"/>
      <c r="C453" s="21"/>
      <c r="D453" s="21"/>
      <c r="E453" s="21"/>
      <c r="F453" s="21"/>
      <c r="G453" s="21"/>
      <c r="H453" s="21"/>
      <c r="I453" s="21"/>
      <c r="J453" s="21"/>
      <c r="K453" s="21"/>
      <c r="L453" s="21"/>
    </row>
    <row r="454">
      <c r="B454" s="20"/>
      <c r="C454" s="21"/>
      <c r="D454" s="21"/>
      <c r="E454" s="21"/>
      <c r="F454" s="21"/>
      <c r="G454" s="21"/>
      <c r="H454" s="21"/>
      <c r="I454" s="21"/>
      <c r="J454" s="21"/>
      <c r="K454" s="21"/>
      <c r="L454" s="21"/>
    </row>
    <row r="455">
      <c r="B455" s="20"/>
      <c r="C455" s="21"/>
      <c r="D455" s="21"/>
      <c r="E455" s="21"/>
      <c r="F455" s="21"/>
      <c r="G455" s="21"/>
      <c r="H455" s="21"/>
      <c r="I455" s="21"/>
      <c r="J455" s="21"/>
      <c r="K455" s="21"/>
      <c r="L455" s="21"/>
    </row>
    <row r="456">
      <c r="B456" s="20"/>
      <c r="C456" s="21"/>
      <c r="D456" s="21"/>
      <c r="E456" s="21"/>
      <c r="F456" s="21"/>
      <c r="G456" s="21"/>
      <c r="H456" s="21"/>
      <c r="I456" s="21"/>
      <c r="J456" s="21"/>
      <c r="K456" s="21"/>
      <c r="L456" s="21"/>
    </row>
    <row r="457">
      <c r="B457" s="20"/>
      <c r="C457" s="21"/>
      <c r="D457" s="21"/>
      <c r="E457" s="21"/>
      <c r="F457" s="21"/>
      <c r="G457" s="21"/>
      <c r="H457" s="21"/>
      <c r="I457" s="21"/>
      <c r="J457" s="21"/>
      <c r="K457" s="21"/>
      <c r="L457" s="21"/>
    </row>
    <row r="458">
      <c r="B458" s="20"/>
      <c r="C458" s="21"/>
      <c r="D458" s="21"/>
      <c r="E458" s="21"/>
      <c r="F458" s="21"/>
      <c r="G458" s="21"/>
      <c r="H458" s="21"/>
      <c r="I458" s="21"/>
      <c r="J458" s="21"/>
      <c r="K458" s="21"/>
      <c r="L458" s="21"/>
    </row>
    <row r="459">
      <c r="B459" s="20"/>
      <c r="C459" s="21"/>
      <c r="D459" s="21"/>
      <c r="E459" s="21"/>
      <c r="F459" s="21"/>
      <c r="G459" s="21"/>
      <c r="H459" s="21"/>
      <c r="I459" s="21"/>
      <c r="J459" s="21"/>
      <c r="K459" s="21"/>
      <c r="L459" s="21"/>
    </row>
    <row r="460">
      <c r="B460" s="20"/>
      <c r="C460" s="21"/>
      <c r="D460" s="21"/>
      <c r="E460" s="21"/>
      <c r="F460" s="21"/>
      <c r="G460" s="21"/>
      <c r="H460" s="21"/>
      <c r="I460" s="21"/>
      <c r="J460" s="21"/>
      <c r="K460" s="21"/>
      <c r="L460" s="21"/>
    </row>
    <row r="461">
      <c r="B461" s="20"/>
      <c r="C461" s="21"/>
      <c r="D461" s="21"/>
      <c r="E461" s="21"/>
      <c r="F461" s="21"/>
      <c r="G461" s="21"/>
      <c r="H461" s="21"/>
      <c r="I461" s="21"/>
      <c r="J461" s="21"/>
      <c r="K461" s="21"/>
      <c r="L461" s="21"/>
    </row>
    <row r="462">
      <c r="B462" s="20"/>
      <c r="C462" s="21"/>
      <c r="D462" s="21"/>
      <c r="E462" s="21"/>
      <c r="F462" s="21"/>
      <c r="G462" s="21"/>
      <c r="H462" s="21"/>
      <c r="I462" s="21"/>
      <c r="J462" s="21"/>
      <c r="K462" s="21"/>
      <c r="L462" s="21"/>
    </row>
    <row r="463">
      <c r="B463" s="20"/>
      <c r="C463" s="21"/>
      <c r="D463" s="21"/>
      <c r="E463" s="21"/>
      <c r="F463" s="21"/>
      <c r="G463" s="21"/>
      <c r="H463" s="21"/>
      <c r="I463" s="21"/>
      <c r="J463" s="21"/>
      <c r="K463" s="21"/>
      <c r="L463" s="21"/>
    </row>
    <row r="464">
      <c r="B464" s="20"/>
      <c r="C464" s="21"/>
      <c r="D464" s="21"/>
      <c r="E464" s="21"/>
      <c r="F464" s="21"/>
      <c r="G464" s="21"/>
      <c r="H464" s="21"/>
      <c r="I464" s="21"/>
      <c r="J464" s="21"/>
      <c r="K464" s="21"/>
      <c r="L464" s="21"/>
    </row>
    <row r="465">
      <c r="B465" s="20"/>
      <c r="C465" s="21"/>
      <c r="D465" s="21"/>
      <c r="E465" s="21"/>
      <c r="F465" s="21"/>
      <c r="G465" s="21"/>
      <c r="H465" s="21"/>
      <c r="I465" s="21"/>
      <c r="J465" s="21"/>
      <c r="K465" s="21"/>
      <c r="L465" s="21"/>
    </row>
    <row r="466">
      <c r="B466" s="20"/>
      <c r="C466" s="21"/>
      <c r="D466" s="21"/>
      <c r="E466" s="21"/>
      <c r="F466" s="21"/>
      <c r="G466" s="21"/>
      <c r="H466" s="21"/>
      <c r="I466" s="21"/>
      <c r="J466" s="21"/>
      <c r="K466" s="21"/>
      <c r="L466" s="21"/>
    </row>
    <row r="467">
      <c r="B467" s="20"/>
      <c r="C467" s="21"/>
      <c r="D467" s="21"/>
      <c r="E467" s="21"/>
      <c r="F467" s="21"/>
      <c r="G467" s="21"/>
      <c r="H467" s="21"/>
      <c r="I467" s="21"/>
      <c r="J467" s="21"/>
      <c r="K467" s="21"/>
      <c r="L467" s="21"/>
    </row>
    <row r="468">
      <c r="B468" s="20"/>
      <c r="C468" s="21"/>
      <c r="D468" s="21"/>
      <c r="E468" s="21"/>
      <c r="F468" s="21"/>
      <c r="G468" s="21"/>
      <c r="H468" s="21"/>
      <c r="I468" s="21"/>
      <c r="J468" s="21"/>
      <c r="K468" s="21"/>
      <c r="L468" s="21"/>
    </row>
    <row r="469">
      <c r="B469" s="20"/>
      <c r="C469" s="21"/>
      <c r="D469" s="21"/>
      <c r="E469" s="21"/>
      <c r="F469" s="21"/>
      <c r="G469" s="21"/>
      <c r="H469" s="21"/>
      <c r="I469" s="21"/>
      <c r="J469" s="21"/>
      <c r="K469" s="21"/>
      <c r="L469" s="21"/>
    </row>
    <row r="470">
      <c r="B470" s="20"/>
      <c r="C470" s="21"/>
      <c r="D470" s="21"/>
      <c r="E470" s="21"/>
      <c r="F470" s="21"/>
      <c r="G470" s="21"/>
      <c r="H470" s="21"/>
      <c r="I470" s="21"/>
      <c r="J470" s="21"/>
      <c r="K470" s="21"/>
      <c r="L470" s="21"/>
    </row>
    <row r="471">
      <c r="B471" s="20"/>
      <c r="C471" s="21"/>
      <c r="D471" s="21"/>
      <c r="E471" s="21"/>
      <c r="F471" s="21"/>
      <c r="G471" s="21"/>
      <c r="H471" s="21"/>
      <c r="I471" s="21"/>
      <c r="J471" s="21"/>
      <c r="K471" s="21"/>
      <c r="L471" s="21"/>
    </row>
    <row r="472">
      <c r="B472" s="20"/>
      <c r="C472" s="21"/>
      <c r="D472" s="21"/>
      <c r="E472" s="21"/>
      <c r="F472" s="21"/>
      <c r="G472" s="21"/>
      <c r="H472" s="21"/>
      <c r="I472" s="21"/>
      <c r="J472" s="21"/>
      <c r="K472" s="21"/>
      <c r="L472" s="21"/>
    </row>
    <row r="473">
      <c r="B473" s="20"/>
      <c r="C473" s="21"/>
      <c r="D473" s="21"/>
      <c r="E473" s="21"/>
      <c r="F473" s="21"/>
      <c r="G473" s="21"/>
      <c r="H473" s="21"/>
      <c r="I473" s="21"/>
      <c r="J473" s="21"/>
      <c r="K473" s="21"/>
      <c r="L473" s="21"/>
    </row>
    <row r="474">
      <c r="B474" s="20"/>
      <c r="C474" s="21"/>
      <c r="D474" s="21"/>
      <c r="E474" s="21"/>
      <c r="F474" s="21"/>
      <c r="G474" s="21"/>
      <c r="H474" s="21"/>
      <c r="I474" s="21"/>
      <c r="J474" s="21"/>
      <c r="K474" s="21"/>
      <c r="L474" s="21"/>
    </row>
    <row r="475">
      <c r="B475" s="20"/>
      <c r="C475" s="21"/>
      <c r="D475" s="21"/>
      <c r="E475" s="21"/>
      <c r="F475" s="21"/>
      <c r="G475" s="21"/>
      <c r="H475" s="21"/>
      <c r="I475" s="21"/>
      <c r="J475" s="21"/>
      <c r="K475" s="21"/>
      <c r="L475" s="21"/>
    </row>
    <row r="476">
      <c r="B476" s="20"/>
      <c r="C476" s="21"/>
      <c r="D476" s="21"/>
      <c r="E476" s="21"/>
      <c r="F476" s="21"/>
      <c r="G476" s="21"/>
      <c r="H476" s="21"/>
      <c r="I476" s="21"/>
      <c r="J476" s="21"/>
      <c r="K476" s="21"/>
      <c r="L476" s="21"/>
    </row>
    <row r="477">
      <c r="B477" s="20"/>
      <c r="C477" s="21"/>
      <c r="D477" s="21"/>
      <c r="E477" s="21"/>
      <c r="F477" s="21"/>
      <c r="G477" s="21"/>
      <c r="H477" s="21"/>
      <c r="I477" s="21"/>
      <c r="J477" s="21"/>
      <c r="K477" s="21"/>
      <c r="L477" s="21"/>
    </row>
    <row r="478">
      <c r="B478" s="20"/>
      <c r="C478" s="21"/>
      <c r="D478" s="21"/>
      <c r="E478" s="21"/>
      <c r="F478" s="21"/>
      <c r="G478" s="21"/>
      <c r="H478" s="21"/>
      <c r="I478" s="21"/>
      <c r="J478" s="21"/>
      <c r="K478" s="21"/>
      <c r="L478" s="21"/>
    </row>
    <row r="479">
      <c r="B479" s="20"/>
      <c r="C479" s="21"/>
      <c r="D479" s="21"/>
      <c r="E479" s="21"/>
      <c r="F479" s="21"/>
      <c r="G479" s="21"/>
      <c r="H479" s="21"/>
      <c r="I479" s="21"/>
      <c r="J479" s="21"/>
      <c r="K479" s="21"/>
      <c r="L479" s="21"/>
    </row>
    <row r="480">
      <c r="B480" s="20"/>
      <c r="C480" s="21"/>
      <c r="D480" s="21"/>
      <c r="E480" s="21"/>
      <c r="F480" s="21"/>
      <c r="G480" s="21"/>
      <c r="H480" s="21"/>
      <c r="I480" s="21"/>
      <c r="J480" s="21"/>
      <c r="K480" s="21"/>
      <c r="L480" s="21"/>
    </row>
    <row r="481">
      <c r="B481" s="20"/>
      <c r="C481" s="21"/>
      <c r="D481" s="21"/>
      <c r="E481" s="21"/>
      <c r="F481" s="21"/>
      <c r="G481" s="21"/>
      <c r="H481" s="21"/>
      <c r="I481" s="21"/>
      <c r="J481" s="21"/>
      <c r="K481" s="21"/>
      <c r="L481" s="21"/>
    </row>
    <row r="482">
      <c r="B482" s="20"/>
      <c r="C482" s="21"/>
      <c r="D482" s="21"/>
      <c r="E482" s="21"/>
      <c r="F482" s="21"/>
      <c r="G482" s="21"/>
      <c r="H482" s="21"/>
      <c r="I482" s="21"/>
      <c r="J482" s="21"/>
      <c r="K482" s="21"/>
      <c r="L482" s="21"/>
    </row>
    <row r="483">
      <c r="B483" s="20"/>
      <c r="C483" s="21"/>
      <c r="D483" s="21"/>
      <c r="E483" s="21"/>
      <c r="F483" s="21"/>
      <c r="G483" s="21"/>
      <c r="H483" s="21"/>
      <c r="I483" s="21"/>
      <c r="J483" s="21"/>
      <c r="K483" s="21"/>
      <c r="L483" s="21"/>
    </row>
    <row r="484">
      <c r="B484" s="20"/>
      <c r="C484" s="21"/>
      <c r="D484" s="21"/>
      <c r="E484" s="21"/>
      <c r="F484" s="21"/>
      <c r="G484" s="21"/>
      <c r="H484" s="21"/>
      <c r="I484" s="21"/>
      <c r="J484" s="21"/>
      <c r="K484" s="21"/>
      <c r="L484" s="21"/>
    </row>
    <row r="485">
      <c r="B485" s="20"/>
      <c r="C485" s="21"/>
      <c r="D485" s="21"/>
      <c r="E485" s="21"/>
      <c r="F485" s="21"/>
      <c r="G485" s="21"/>
      <c r="H485" s="21"/>
      <c r="I485" s="21"/>
      <c r="J485" s="21"/>
      <c r="K485" s="21"/>
      <c r="L485" s="21"/>
    </row>
    <row r="486">
      <c r="B486" s="20"/>
      <c r="C486" s="21"/>
      <c r="D486" s="21"/>
      <c r="E486" s="21"/>
      <c r="F486" s="21"/>
      <c r="G486" s="21"/>
      <c r="H486" s="21"/>
      <c r="I486" s="21"/>
      <c r="J486" s="21"/>
      <c r="K486" s="21"/>
      <c r="L486" s="21"/>
    </row>
    <row r="487">
      <c r="B487" s="20"/>
      <c r="C487" s="21"/>
      <c r="D487" s="21"/>
      <c r="E487" s="21"/>
      <c r="F487" s="21"/>
      <c r="G487" s="21"/>
      <c r="H487" s="21"/>
      <c r="I487" s="21"/>
      <c r="J487" s="21"/>
      <c r="K487" s="21"/>
      <c r="L487" s="21"/>
    </row>
    <row r="488">
      <c r="B488" s="20"/>
      <c r="C488" s="21"/>
      <c r="D488" s="21"/>
      <c r="E488" s="21"/>
      <c r="F488" s="21"/>
      <c r="G488" s="21"/>
      <c r="H488" s="21"/>
      <c r="I488" s="21"/>
      <c r="J488" s="21"/>
      <c r="K488" s="21"/>
      <c r="L488" s="21"/>
    </row>
    <row r="489">
      <c r="B489" s="20"/>
      <c r="C489" s="21"/>
      <c r="D489" s="21"/>
      <c r="E489" s="21"/>
      <c r="F489" s="21"/>
      <c r="G489" s="21"/>
      <c r="H489" s="21"/>
      <c r="I489" s="21"/>
      <c r="J489" s="21"/>
      <c r="K489" s="21"/>
      <c r="L489" s="21"/>
    </row>
    <row r="490">
      <c r="B490" s="20"/>
      <c r="C490" s="21"/>
      <c r="D490" s="21"/>
      <c r="E490" s="21"/>
      <c r="F490" s="21"/>
      <c r="G490" s="21"/>
      <c r="H490" s="21"/>
      <c r="I490" s="21"/>
      <c r="J490" s="21"/>
      <c r="K490" s="21"/>
      <c r="L490" s="21"/>
    </row>
    <row r="491">
      <c r="B491" s="20"/>
      <c r="C491" s="21"/>
      <c r="D491" s="21"/>
      <c r="E491" s="21"/>
      <c r="F491" s="21"/>
      <c r="G491" s="21"/>
      <c r="H491" s="21"/>
      <c r="I491" s="21"/>
      <c r="J491" s="21"/>
      <c r="K491" s="21"/>
      <c r="L491" s="21"/>
    </row>
    <row r="492">
      <c r="B492" s="20"/>
      <c r="C492" s="21"/>
      <c r="D492" s="21"/>
      <c r="E492" s="21"/>
      <c r="F492" s="21"/>
      <c r="G492" s="21"/>
      <c r="H492" s="21"/>
      <c r="I492" s="21"/>
      <c r="J492" s="21"/>
      <c r="K492" s="21"/>
      <c r="L492" s="21"/>
    </row>
    <row r="493">
      <c r="B493" s="20"/>
      <c r="C493" s="21"/>
      <c r="D493" s="21"/>
      <c r="E493" s="21"/>
      <c r="F493" s="21"/>
      <c r="G493" s="21"/>
      <c r="H493" s="21"/>
      <c r="I493" s="21"/>
      <c r="J493" s="21"/>
      <c r="K493" s="21"/>
      <c r="L493" s="21"/>
    </row>
    <row r="494">
      <c r="B494" s="20"/>
      <c r="C494" s="21"/>
      <c r="D494" s="21"/>
      <c r="E494" s="21"/>
      <c r="F494" s="21"/>
      <c r="G494" s="21"/>
      <c r="H494" s="21"/>
      <c r="I494" s="21"/>
      <c r="J494" s="21"/>
      <c r="K494" s="21"/>
      <c r="L494" s="21"/>
    </row>
    <row r="495">
      <c r="B495" s="20"/>
      <c r="C495" s="21"/>
      <c r="D495" s="21"/>
      <c r="E495" s="21"/>
      <c r="F495" s="21"/>
      <c r="G495" s="21"/>
      <c r="H495" s="21"/>
      <c r="I495" s="21"/>
      <c r="J495" s="21"/>
      <c r="K495" s="21"/>
      <c r="L495" s="21"/>
    </row>
    <row r="496">
      <c r="B496" s="20"/>
      <c r="C496" s="21"/>
      <c r="D496" s="21"/>
      <c r="E496" s="21"/>
      <c r="F496" s="21"/>
      <c r="G496" s="21"/>
      <c r="H496" s="21"/>
      <c r="I496" s="21"/>
      <c r="J496" s="21"/>
      <c r="K496" s="21"/>
      <c r="L496" s="21"/>
    </row>
    <row r="497">
      <c r="B497" s="20"/>
      <c r="C497" s="21"/>
      <c r="D497" s="21"/>
      <c r="E497" s="21"/>
      <c r="F497" s="21"/>
      <c r="G497" s="21"/>
      <c r="H497" s="21"/>
      <c r="I497" s="21"/>
      <c r="J497" s="21"/>
      <c r="K497" s="21"/>
      <c r="L497" s="21"/>
    </row>
    <row r="498">
      <c r="B498" s="20"/>
      <c r="C498" s="21"/>
      <c r="D498" s="21"/>
      <c r="E498" s="21"/>
      <c r="F498" s="21"/>
      <c r="G498" s="21"/>
      <c r="H498" s="21"/>
      <c r="I498" s="21"/>
      <c r="J498" s="21"/>
      <c r="K498" s="21"/>
      <c r="L498" s="21"/>
    </row>
    <row r="499">
      <c r="B499" s="20"/>
      <c r="C499" s="21"/>
      <c r="D499" s="21"/>
      <c r="E499" s="21"/>
      <c r="F499" s="21"/>
      <c r="G499" s="21"/>
      <c r="H499" s="21"/>
      <c r="I499" s="21"/>
      <c r="J499" s="21"/>
      <c r="K499" s="21"/>
      <c r="L499" s="21"/>
    </row>
    <row r="500">
      <c r="B500" s="20"/>
      <c r="C500" s="21"/>
      <c r="D500" s="21"/>
      <c r="E500" s="21"/>
      <c r="F500" s="21"/>
      <c r="G500" s="21"/>
      <c r="H500" s="21"/>
      <c r="I500" s="21"/>
      <c r="J500" s="21"/>
      <c r="K500" s="21"/>
      <c r="L500" s="21"/>
    </row>
    <row r="501">
      <c r="B501" s="20"/>
      <c r="C501" s="21"/>
      <c r="D501" s="21"/>
      <c r="E501" s="21"/>
      <c r="F501" s="21"/>
      <c r="G501" s="21"/>
      <c r="H501" s="21"/>
      <c r="I501" s="21"/>
      <c r="J501" s="21"/>
      <c r="K501" s="21"/>
      <c r="L501" s="21"/>
    </row>
    <row r="502">
      <c r="B502" s="20"/>
      <c r="C502" s="21"/>
      <c r="D502" s="21"/>
      <c r="E502" s="21"/>
      <c r="F502" s="21"/>
      <c r="G502" s="21"/>
      <c r="H502" s="21"/>
      <c r="I502" s="21"/>
      <c r="J502" s="21"/>
      <c r="K502" s="21"/>
      <c r="L502" s="21"/>
    </row>
    <row r="503">
      <c r="B503" s="20"/>
      <c r="C503" s="21"/>
      <c r="D503" s="21"/>
      <c r="E503" s="21"/>
      <c r="F503" s="21"/>
      <c r="G503" s="21"/>
      <c r="H503" s="21"/>
      <c r="I503" s="21"/>
      <c r="J503" s="21"/>
      <c r="K503" s="21"/>
      <c r="L503" s="21"/>
    </row>
    <row r="504">
      <c r="B504" s="20"/>
      <c r="C504" s="21"/>
      <c r="D504" s="21"/>
      <c r="E504" s="21"/>
      <c r="F504" s="21"/>
      <c r="G504" s="21"/>
      <c r="H504" s="21"/>
      <c r="I504" s="21"/>
      <c r="J504" s="21"/>
      <c r="K504" s="21"/>
      <c r="L504" s="21"/>
    </row>
    <row r="505">
      <c r="B505" s="20"/>
      <c r="C505" s="21"/>
      <c r="D505" s="21"/>
      <c r="E505" s="21"/>
      <c r="F505" s="21"/>
      <c r="G505" s="21"/>
      <c r="H505" s="21"/>
      <c r="I505" s="21"/>
      <c r="J505" s="21"/>
      <c r="K505" s="21"/>
      <c r="L505" s="21"/>
    </row>
    <row r="506">
      <c r="B506" s="20"/>
      <c r="C506" s="21"/>
      <c r="D506" s="21"/>
      <c r="E506" s="21"/>
      <c r="F506" s="21"/>
      <c r="G506" s="21"/>
      <c r="H506" s="21"/>
      <c r="I506" s="21"/>
      <c r="J506" s="21"/>
      <c r="K506" s="21"/>
      <c r="L506" s="21"/>
    </row>
    <row r="507">
      <c r="B507" s="20"/>
      <c r="C507" s="21"/>
      <c r="D507" s="21"/>
      <c r="E507" s="21"/>
      <c r="F507" s="21"/>
      <c r="G507" s="21"/>
      <c r="H507" s="21"/>
      <c r="I507" s="21"/>
      <c r="J507" s="21"/>
      <c r="K507" s="21"/>
      <c r="L507" s="21"/>
    </row>
    <row r="508">
      <c r="B508" s="20"/>
      <c r="C508" s="21"/>
      <c r="D508" s="21"/>
      <c r="E508" s="21"/>
      <c r="F508" s="21"/>
      <c r="G508" s="21"/>
      <c r="H508" s="21"/>
      <c r="I508" s="21"/>
      <c r="J508" s="21"/>
      <c r="K508" s="21"/>
      <c r="L508" s="21"/>
    </row>
    <row r="509">
      <c r="B509" s="20"/>
      <c r="C509" s="21"/>
      <c r="D509" s="21"/>
      <c r="E509" s="21"/>
      <c r="F509" s="21"/>
      <c r="G509" s="21"/>
      <c r="H509" s="21"/>
      <c r="I509" s="21"/>
      <c r="J509" s="21"/>
      <c r="K509" s="21"/>
      <c r="L509" s="21"/>
    </row>
    <row r="510">
      <c r="B510" s="20"/>
      <c r="C510" s="21"/>
      <c r="D510" s="21"/>
      <c r="E510" s="21"/>
      <c r="F510" s="21"/>
      <c r="G510" s="21"/>
      <c r="H510" s="21"/>
      <c r="I510" s="21"/>
      <c r="J510" s="21"/>
      <c r="K510" s="21"/>
      <c r="L510" s="21"/>
    </row>
    <row r="511">
      <c r="B511" s="20"/>
      <c r="C511" s="21"/>
      <c r="D511" s="21"/>
      <c r="E511" s="21"/>
      <c r="F511" s="21"/>
      <c r="G511" s="21"/>
      <c r="H511" s="21"/>
      <c r="I511" s="21"/>
      <c r="J511" s="21"/>
      <c r="K511" s="21"/>
      <c r="L511" s="21"/>
    </row>
    <row r="512">
      <c r="B512" s="20"/>
      <c r="C512" s="21"/>
      <c r="D512" s="21"/>
      <c r="E512" s="21"/>
      <c r="F512" s="21"/>
      <c r="G512" s="21"/>
      <c r="H512" s="21"/>
      <c r="I512" s="21"/>
      <c r="J512" s="21"/>
      <c r="K512" s="21"/>
      <c r="L512" s="21"/>
    </row>
    <row r="513">
      <c r="B513" s="20"/>
      <c r="C513" s="21"/>
      <c r="D513" s="21"/>
      <c r="E513" s="21"/>
      <c r="F513" s="21"/>
      <c r="G513" s="21"/>
      <c r="H513" s="21"/>
      <c r="I513" s="21"/>
      <c r="J513" s="21"/>
      <c r="K513" s="21"/>
      <c r="L513" s="21"/>
    </row>
    <row r="514">
      <c r="B514" s="20"/>
      <c r="C514" s="21"/>
      <c r="D514" s="21"/>
      <c r="E514" s="21"/>
      <c r="F514" s="21"/>
      <c r="G514" s="21"/>
      <c r="H514" s="21"/>
      <c r="I514" s="21"/>
      <c r="J514" s="21"/>
      <c r="K514" s="21"/>
      <c r="L514" s="21"/>
    </row>
    <row r="515">
      <c r="B515" s="20"/>
      <c r="C515" s="21"/>
      <c r="D515" s="21"/>
      <c r="E515" s="21"/>
      <c r="F515" s="21"/>
      <c r="G515" s="21"/>
      <c r="H515" s="21"/>
      <c r="I515" s="21"/>
      <c r="J515" s="21"/>
      <c r="K515" s="21"/>
      <c r="L515" s="21"/>
    </row>
    <row r="516">
      <c r="B516" s="20"/>
      <c r="C516" s="21"/>
      <c r="D516" s="21"/>
      <c r="E516" s="21"/>
      <c r="F516" s="21"/>
      <c r="G516" s="21"/>
      <c r="H516" s="21"/>
      <c r="I516" s="21"/>
      <c r="J516" s="21"/>
      <c r="K516" s="21"/>
      <c r="L516" s="21"/>
    </row>
    <row r="517">
      <c r="B517" s="20"/>
      <c r="C517" s="21"/>
      <c r="D517" s="21"/>
      <c r="E517" s="21"/>
      <c r="F517" s="21"/>
      <c r="G517" s="21"/>
      <c r="H517" s="21"/>
      <c r="I517" s="21"/>
      <c r="J517" s="21"/>
      <c r="K517" s="21"/>
      <c r="L517" s="21"/>
    </row>
    <row r="518">
      <c r="B518" s="20"/>
      <c r="C518" s="21"/>
      <c r="D518" s="21"/>
      <c r="E518" s="21"/>
      <c r="F518" s="21"/>
      <c r="G518" s="21"/>
      <c r="H518" s="21"/>
      <c r="I518" s="21"/>
      <c r="J518" s="21"/>
      <c r="K518" s="21"/>
      <c r="L518" s="21"/>
    </row>
    <row r="519">
      <c r="B519" s="20"/>
      <c r="C519" s="21"/>
      <c r="D519" s="21"/>
      <c r="E519" s="21"/>
      <c r="F519" s="21"/>
      <c r="G519" s="21"/>
      <c r="H519" s="21"/>
      <c r="I519" s="21"/>
      <c r="J519" s="21"/>
      <c r="K519" s="21"/>
      <c r="L519" s="21"/>
    </row>
    <row r="520">
      <c r="B520" s="20"/>
      <c r="C520" s="21"/>
      <c r="D520" s="21"/>
      <c r="E520" s="21"/>
      <c r="F520" s="21"/>
      <c r="G520" s="21"/>
      <c r="H520" s="21"/>
      <c r="I520" s="21"/>
      <c r="J520" s="21"/>
      <c r="K520" s="21"/>
      <c r="L520" s="21"/>
    </row>
    <row r="521">
      <c r="B521" s="20"/>
      <c r="C521" s="21"/>
      <c r="D521" s="21"/>
      <c r="E521" s="21"/>
      <c r="F521" s="21"/>
      <c r="G521" s="21"/>
      <c r="H521" s="21"/>
      <c r="I521" s="21"/>
      <c r="J521" s="21"/>
      <c r="K521" s="21"/>
      <c r="L521" s="21"/>
    </row>
    <row r="522">
      <c r="B522" s="20"/>
      <c r="C522" s="21"/>
      <c r="D522" s="21"/>
      <c r="E522" s="21"/>
      <c r="F522" s="21"/>
      <c r="G522" s="21"/>
      <c r="H522" s="21"/>
      <c r="I522" s="21"/>
      <c r="J522" s="21"/>
      <c r="K522" s="21"/>
      <c r="L522" s="21"/>
    </row>
    <row r="523">
      <c r="B523" s="20"/>
      <c r="C523" s="21"/>
      <c r="D523" s="21"/>
      <c r="E523" s="21"/>
      <c r="F523" s="21"/>
      <c r="G523" s="21"/>
      <c r="H523" s="21"/>
      <c r="I523" s="21"/>
      <c r="J523" s="21"/>
      <c r="K523" s="21"/>
      <c r="L523" s="21"/>
    </row>
    <row r="524">
      <c r="B524" s="20"/>
      <c r="C524" s="21"/>
      <c r="D524" s="21"/>
      <c r="E524" s="21"/>
      <c r="F524" s="21"/>
      <c r="G524" s="21"/>
      <c r="H524" s="21"/>
      <c r="I524" s="21"/>
      <c r="J524" s="21"/>
      <c r="K524" s="21"/>
      <c r="L524" s="21"/>
    </row>
    <row r="525">
      <c r="B525" s="20"/>
      <c r="C525" s="21"/>
      <c r="D525" s="21"/>
      <c r="E525" s="21"/>
      <c r="F525" s="21"/>
      <c r="G525" s="21"/>
      <c r="H525" s="21"/>
      <c r="I525" s="21"/>
      <c r="J525" s="21"/>
      <c r="K525" s="21"/>
      <c r="L525" s="21"/>
    </row>
    <row r="526">
      <c r="B526" s="20"/>
      <c r="C526" s="21"/>
      <c r="D526" s="21"/>
      <c r="E526" s="21"/>
      <c r="F526" s="21"/>
      <c r="G526" s="21"/>
      <c r="H526" s="21"/>
      <c r="I526" s="21"/>
      <c r="J526" s="21"/>
      <c r="K526" s="21"/>
      <c r="L526" s="21"/>
    </row>
    <row r="527">
      <c r="B527" s="20"/>
      <c r="C527" s="21"/>
      <c r="D527" s="21"/>
      <c r="E527" s="21"/>
      <c r="F527" s="21"/>
      <c r="G527" s="21"/>
      <c r="H527" s="21"/>
      <c r="I527" s="21"/>
      <c r="J527" s="21"/>
      <c r="K527" s="21"/>
      <c r="L527" s="21"/>
    </row>
    <row r="528">
      <c r="B528" s="20"/>
      <c r="C528" s="21"/>
      <c r="D528" s="21"/>
      <c r="E528" s="21"/>
      <c r="F528" s="21"/>
      <c r="G528" s="21"/>
      <c r="H528" s="21"/>
      <c r="I528" s="21"/>
      <c r="J528" s="21"/>
      <c r="K528" s="21"/>
      <c r="L528" s="21"/>
    </row>
    <row r="529">
      <c r="B529" s="20"/>
      <c r="C529" s="21"/>
      <c r="D529" s="21"/>
      <c r="E529" s="21"/>
      <c r="F529" s="21"/>
      <c r="G529" s="21"/>
      <c r="H529" s="21"/>
      <c r="I529" s="21"/>
      <c r="J529" s="21"/>
      <c r="K529" s="21"/>
      <c r="L529" s="21"/>
    </row>
    <row r="530">
      <c r="B530" s="20"/>
      <c r="C530" s="21"/>
      <c r="D530" s="21"/>
      <c r="E530" s="21"/>
      <c r="F530" s="21"/>
      <c r="G530" s="21"/>
      <c r="H530" s="21"/>
      <c r="I530" s="21"/>
      <c r="J530" s="21"/>
      <c r="K530" s="21"/>
      <c r="L530" s="21"/>
    </row>
    <row r="531">
      <c r="B531" s="20"/>
      <c r="C531" s="21"/>
      <c r="D531" s="21"/>
      <c r="E531" s="21"/>
      <c r="F531" s="21"/>
      <c r="G531" s="21"/>
      <c r="H531" s="21"/>
      <c r="I531" s="21"/>
      <c r="J531" s="21"/>
      <c r="K531" s="21"/>
      <c r="L531" s="21"/>
    </row>
    <row r="532">
      <c r="B532" s="20"/>
      <c r="C532" s="21"/>
      <c r="D532" s="21"/>
      <c r="E532" s="21"/>
      <c r="F532" s="21"/>
      <c r="G532" s="21"/>
      <c r="H532" s="21"/>
      <c r="I532" s="21"/>
      <c r="J532" s="21"/>
      <c r="K532" s="21"/>
      <c r="L532" s="21"/>
    </row>
    <row r="533">
      <c r="B533" s="20"/>
      <c r="C533" s="21"/>
      <c r="D533" s="21"/>
      <c r="E533" s="21"/>
      <c r="F533" s="21"/>
      <c r="G533" s="21"/>
      <c r="H533" s="21"/>
      <c r="I533" s="21"/>
      <c r="J533" s="21"/>
      <c r="K533" s="21"/>
      <c r="L533" s="21"/>
    </row>
    <row r="534">
      <c r="B534" s="20"/>
      <c r="C534" s="21"/>
      <c r="D534" s="21"/>
      <c r="E534" s="21"/>
      <c r="F534" s="21"/>
      <c r="G534" s="21"/>
      <c r="H534" s="21"/>
      <c r="I534" s="21"/>
      <c r="J534" s="21"/>
      <c r="K534" s="21"/>
      <c r="L534" s="21"/>
    </row>
    <row r="535">
      <c r="B535" s="20"/>
      <c r="C535" s="21"/>
      <c r="D535" s="21"/>
      <c r="E535" s="21"/>
      <c r="F535" s="21"/>
      <c r="G535" s="21"/>
      <c r="H535" s="21"/>
      <c r="I535" s="21"/>
      <c r="J535" s="21"/>
      <c r="K535" s="21"/>
      <c r="L535" s="21"/>
    </row>
    <row r="536">
      <c r="B536" s="20"/>
      <c r="C536" s="21"/>
      <c r="D536" s="21"/>
      <c r="E536" s="21"/>
      <c r="F536" s="21"/>
      <c r="G536" s="21"/>
      <c r="H536" s="21"/>
      <c r="I536" s="21"/>
      <c r="J536" s="21"/>
      <c r="K536" s="21"/>
      <c r="L536" s="21"/>
    </row>
    <row r="537">
      <c r="B537" s="20"/>
      <c r="C537" s="21"/>
      <c r="D537" s="21"/>
      <c r="E537" s="21"/>
      <c r="F537" s="21"/>
      <c r="G537" s="21"/>
      <c r="H537" s="21"/>
      <c r="I537" s="21"/>
      <c r="J537" s="21"/>
      <c r="K537" s="21"/>
      <c r="L537" s="21"/>
    </row>
    <row r="538">
      <c r="B538" s="20"/>
      <c r="C538" s="21"/>
      <c r="D538" s="21"/>
      <c r="E538" s="21"/>
      <c r="F538" s="21"/>
      <c r="G538" s="21"/>
      <c r="H538" s="21"/>
      <c r="I538" s="21"/>
      <c r="J538" s="21"/>
      <c r="K538" s="21"/>
      <c r="L538" s="21"/>
    </row>
    <row r="539">
      <c r="B539" s="20"/>
      <c r="C539" s="21"/>
      <c r="D539" s="21"/>
      <c r="E539" s="21"/>
      <c r="F539" s="21"/>
      <c r="G539" s="21"/>
      <c r="H539" s="21"/>
      <c r="I539" s="21"/>
      <c r="J539" s="21"/>
      <c r="K539" s="21"/>
      <c r="L539" s="21"/>
    </row>
    <row r="540">
      <c r="B540" s="20"/>
      <c r="C540" s="21"/>
      <c r="D540" s="21"/>
      <c r="E540" s="21"/>
      <c r="F540" s="21"/>
      <c r="G540" s="21"/>
      <c r="H540" s="21"/>
      <c r="I540" s="21"/>
      <c r="J540" s="21"/>
      <c r="K540" s="21"/>
      <c r="L540" s="21"/>
    </row>
    <row r="541">
      <c r="B541" s="20"/>
      <c r="C541" s="21"/>
      <c r="D541" s="21"/>
      <c r="E541" s="21"/>
      <c r="F541" s="21"/>
      <c r="G541" s="21"/>
      <c r="H541" s="21"/>
      <c r="I541" s="21"/>
      <c r="J541" s="21"/>
      <c r="K541" s="21"/>
      <c r="L541" s="21"/>
    </row>
    <row r="542">
      <c r="B542" s="20"/>
      <c r="C542" s="21"/>
      <c r="D542" s="21"/>
      <c r="E542" s="21"/>
      <c r="F542" s="21"/>
      <c r="G542" s="21"/>
      <c r="H542" s="21"/>
      <c r="I542" s="21"/>
      <c r="J542" s="21"/>
      <c r="K542" s="21"/>
      <c r="L542" s="21"/>
    </row>
    <row r="543">
      <c r="B543" s="20"/>
      <c r="C543" s="21"/>
      <c r="D543" s="21"/>
      <c r="E543" s="21"/>
      <c r="F543" s="21"/>
      <c r="G543" s="21"/>
      <c r="H543" s="21"/>
      <c r="I543" s="21"/>
      <c r="J543" s="21"/>
      <c r="K543" s="21"/>
      <c r="L543" s="21"/>
    </row>
    <row r="544">
      <c r="B544" s="20"/>
      <c r="C544" s="21"/>
      <c r="D544" s="21"/>
      <c r="E544" s="21"/>
      <c r="F544" s="21"/>
      <c r="G544" s="21"/>
      <c r="H544" s="21"/>
      <c r="I544" s="21"/>
      <c r="J544" s="21"/>
      <c r="K544" s="21"/>
      <c r="L544" s="21"/>
    </row>
    <row r="545">
      <c r="B545" s="20"/>
      <c r="C545" s="21"/>
      <c r="D545" s="21"/>
      <c r="E545" s="21"/>
      <c r="F545" s="21"/>
      <c r="G545" s="21"/>
      <c r="H545" s="21"/>
      <c r="I545" s="21"/>
      <c r="J545" s="21"/>
      <c r="K545" s="21"/>
      <c r="L545" s="21"/>
    </row>
    <row r="546">
      <c r="B546" s="20"/>
      <c r="C546" s="21"/>
      <c r="D546" s="21"/>
      <c r="E546" s="21"/>
      <c r="F546" s="21"/>
      <c r="G546" s="21"/>
      <c r="H546" s="21"/>
      <c r="I546" s="21"/>
      <c r="J546" s="21"/>
      <c r="K546" s="21"/>
      <c r="L546" s="21"/>
    </row>
    <row r="547">
      <c r="B547" s="20"/>
      <c r="C547" s="21"/>
      <c r="D547" s="21"/>
      <c r="E547" s="21"/>
      <c r="F547" s="21"/>
      <c r="G547" s="21"/>
      <c r="H547" s="21"/>
      <c r="I547" s="21"/>
      <c r="J547" s="21"/>
      <c r="K547" s="21"/>
      <c r="L547" s="21"/>
    </row>
    <row r="548">
      <c r="B548" s="20"/>
      <c r="C548" s="21"/>
      <c r="D548" s="21"/>
      <c r="E548" s="21"/>
      <c r="F548" s="21"/>
      <c r="G548" s="21"/>
      <c r="H548" s="21"/>
      <c r="I548" s="21"/>
      <c r="J548" s="21"/>
      <c r="K548" s="21"/>
      <c r="L548" s="21"/>
    </row>
    <row r="549">
      <c r="B549" s="20"/>
      <c r="C549" s="21"/>
      <c r="D549" s="21"/>
      <c r="E549" s="21"/>
      <c r="F549" s="21"/>
      <c r="G549" s="21"/>
      <c r="H549" s="21"/>
      <c r="I549" s="21"/>
      <c r="J549" s="21"/>
      <c r="K549" s="21"/>
      <c r="L549" s="21"/>
    </row>
    <row r="550">
      <c r="B550" s="20"/>
      <c r="C550" s="21"/>
      <c r="D550" s="21"/>
      <c r="E550" s="21"/>
      <c r="F550" s="21"/>
      <c r="G550" s="21"/>
      <c r="H550" s="21"/>
      <c r="I550" s="21"/>
      <c r="J550" s="21"/>
      <c r="K550" s="21"/>
      <c r="L550" s="21"/>
    </row>
    <row r="551">
      <c r="B551" s="20"/>
      <c r="C551" s="21"/>
      <c r="D551" s="21"/>
      <c r="E551" s="21"/>
      <c r="F551" s="21"/>
      <c r="G551" s="21"/>
      <c r="H551" s="21"/>
      <c r="I551" s="21"/>
      <c r="J551" s="21"/>
      <c r="K551" s="21"/>
      <c r="L551" s="21"/>
    </row>
    <row r="552">
      <c r="B552" s="20"/>
      <c r="C552" s="21"/>
      <c r="D552" s="21"/>
      <c r="E552" s="21"/>
      <c r="F552" s="21"/>
      <c r="G552" s="21"/>
      <c r="H552" s="21"/>
      <c r="I552" s="21"/>
      <c r="J552" s="21"/>
      <c r="K552" s="21"/>
      <c r="L552" s="21"/>
    </row>
    <row r="553">
      <c r="B553" s="20"/>
      <c r="C553" s="21"/>
      <c r="D553" s="21"/>
      <c r="E553" s="21"/>
      <c r="F553" s="21"/>
      <c r="G553" s="21"/>
      <c r="H553" s="21"/>
      <c r="I553" s="21"/>
      <c r="J553" s="21"/>
      <c r="K553" s="21"/>
      <c r="L553" s="21"/>
    </row>
    <row r="554">
      <c r="B554" s="20"/>
      <c r="C554" s="21"/>
      <c r="D554" s="21"/>
      <c r="E554" s="21"/>
      <c r="F554" s="21"/>
      <c r="G554" s="21"/>
      <c r="H554" s="21"/>
      <c r="I554" s="21"/>
      <c r="J554" s="21"/>
      <c r="K554" s="21"/>
      <c r="L554" s="21"/>
    </row>
    <row r="555">
      <c r="B555" s="20"/>
      <c r="C555" s="21"/>
      <c r="D555" s="21"/>
      <c r="E555" s="21"/>
      <c r="F555" s="21"/>
      <c r="G555" s="21"/>
      <c r="H555" s="21"/>
      <c r="I555" s="21"/>
      <c r="J555" s="21"/>
      <c r="K555" s="21"/>
      <c r="L555" s="21"/>
    </row>
    <row r="556">
      <c r="B556" s="20"/>
      <c r="C556" s="21"/>
      <c r="D556" s="21"/>
      <c r="E556" s="21"/>
      <c r="F556" s="21"/>
      <c r="G556" s="21"/>
      <c r="H556" s="21"/>
      <c r="I556" s="21"/>
      <c r="J556" s="21"/>
      <c r="K556" s="21"/>
      <c r="L556" s="21"/>
    </row>
    <row r="557">
      <c r="B557" s="20"/>
      <c r="C557" s="21"/>
      <c r="D557" s="21"/>
      <c r="E557" s="21"/>
      <c r="F557" s="21"/>
      <c r="G557" s="21"/>
      <c r="H557" s="21"/>
      <c r="I557" s="21"/>
      <c r="J557" s="21"/>
      <c r="K557" s="21"/>
      <c r="L557" s="21"/>
    </row>
    <row r="558">
      <c r="B558" s="20"/>
      <c r="C558" s="21"/>
      <c r="D558" s="21"/>
      <c r="E558" s="21"/>
      <c r="F558" s="21"/>
      <c r="G558" s="21"/>
      <c r="H558" s="21"/>
      <c r="I558" s="21"/>
      <c r="J558" s="21"/>
      <c r="K558" s="21"/>
      <c r="L558" s="21"/>
    </row>
    <row r="559">
      <c r="B559" s="20"/>
      <c r="C559" s="21"/>
      <c r="D559" s="21"/>
      <c r="E559" s="21"/>
      <c r="F559" s="21"/>
      <c r="G559" s="21"/>
      <c r="H559" s="21"/>
      <c r="I559" s="21"/>
      <c r="J559" s="21"/>
      <c r="K559" s="21"/>
      <c r="L559" s="21"/>
    </row>
    <row r="560">
      <c r="B560" s="20"/>
      <c r="C560" s="21"/>
      <c r="D560" s="21"/>
      <c r="E560" s="21"/>
      <c r="F560" s="21"/>
      <c r="G560" s="21"/>
      <c r="H560" s="21"/>
      <c r="I560" s="21"/>
      <c r="J560" s="21"/>
      <c r="K560" s="21"/>
      <c r="L560" s="21"/>
    </row>
    <row r="561">
      <c r="B561" s="20"/>
      <c r="C561" s="21"/>
      <c r="D561" s="21"/>
      <c r="E561" s="21"/>
      <c r="F561" s="21"/>
      <c r="G561" s="21"/>
      <c r="H561" s="21"/>
      <c r="I561" s="21"/>
      <c r="J561" s="21"/>
      <c r="K561" s="21"/>
      <c r="L561" s="21"/>
    </row>
    <row r="562">
      <c r="B562" s="20"/>
      <c r="C562" s="21"/>
      <c r="D562" s="21"/>
      <c r="E562" s="21"/>
      <c r="F562" s="21"/>
      <c r="G562" s="21"/>
      <c r="H562" s="21"/>
      <c r="I562" s="21"/>
      <c r="J562" s="21"/>
      <c r="K562" s="21"/>
      <c r="L562" s="21"/>
    </row>
    <row r="563">
      <c r="B563" s="20"/>
      <c r="C563" s="21"/>
      <c r="D563" s="21"/>
      <c r="E563" s="21"/>
      <c r="F563" s="21"/>
      <c r="G563" s="21"/>
      <c r="H563" s="21"/>
      <c r="I563" s="21"/>
      <c r="J563" s="21"/>
      <c r="K563" s="21"/>
      <c r="L563" s="21"/>
    </row>
    <row r="564">
      <c r="B564" s="20"/>
      <c r="C564" s="21"/>
      <c r="D564" s="21"/>
      <c r="E564" s="21"/>
      <c r="F564" s="21"/>
      <c r="G564" s="21"/>
      <c r="H564" s="21"/>
      <c r="I564" s="21"/>
      <c r="J564" s="21"/>
      <c r="K564" s="21"/>
      <c r="L564" s="21"/>
    </row>
    <row r="565">
      <c r="B565" s="20"/>
      <c r="C565" s="21"/>
      <c r="D565" s="21"/>
      <c r="E565" s="21"/>
      <c r="F565" s="21"/>
      <c r="G565" s="21"/>
      <c r="H565" s="21"/>
      <c r="I565" s="21"/>
      <c r="J565" s="21"/>
      <c r="K565" s="21"/>
      <c r="L565" s="21"/>
    </row>
    <row r="566">
      <c r="B566" s="20"/>
      <c r="C566" s="21"/>
      <c r="D566" s="21"/>
      <c r="E566" s="21"/>
      <c r="F566" s="21"/>
      <c r="G566" s="21"/>
      <c r="H566" s="21"/>
      <c r="I566" s="21"/>
      <c r="J566" s="21"/>
      <c r="K566" s="21"/>
      <c r="L566" s="21"/>
    </row>
    <row r="567">
      <c r="B567" s="20"/>
      <c r="C567" s="21"/>
      <c r="D567" s="21"/>
      <c r="E567" s="21"/>
      <c r="F567" s="21"/>
      <c r="G567" s="21"/>
      <c r="H567" s="21"/>
      <c r="I567" s="21"/>
      <c r="J567" s="21"/>
      <c r="K567" s="21"/>
      <c r="L567" s="21"/>
    </row>
    <row r="568">
      <c r="B568" s="20"/>
      <c r="C568" s="21"/>
      <c r="D568" s="21"/>
      <c r="E568" s="21"/>
      <c r="F568" s="21"/>
      <c r="G568" s="21"/>
      <c r="H568" s="21"/>
      <c r="I568" s="21"/>
      <c r="J568" s="21"/>
      <c r="K568" s="21"/>
      <c r="L568" s="21"/>
    </row>
    <row r="569">
      <c r="B569" s="20"/>
      <c r="C569" s="21"/>
      <c r="D569" s="21"/>
      <c r="E569" s="21"/>
      <c r="F569" s="21"/>
      <c r="G569" s="21"/>
      <c r="H569" s="21"/>
      <c r="I569" s="21"/>
      <c r="J569" s="21"/>
      <c r="K569" s="21"/>
      <c r="L569" s="21"/>
    </row>
    <row r="570">
      <c r="B570" s="20"/>
      <c r="C570" s="21"/>
      <c r="D570" s="21"/>
      <c r="E570" s="21"/>
      <c r="F570" s="21"/>
      <c r="G570" s="21"/>
      <c r="H570" s="21"/>
      <c r="I570" s="21"/>
      <c r="J570" s="21"/>
      <c r="K570" s="21"/>
      <c r="L570" s="21"/>
    </row>
    <row r="571">
      <c r="B571" s="20"/>
      <c r="C571" s="21"/>
      <c r="D571" s="21"/>
      <c r="E571" s="21"/>
      <c r="F571" s="21"/>
      <c r="G571" s="21"/>
      <c r="H571" s="21"/>
      <c r="I571" s="21"/>
      <c r="J571" s="21"/>
      <c r="K571" s="21"/>
      <c r="L571" s="21"/>
    </row>
    <row r="572">
      <c r="B572" s="20"/>
      <c r="C572" s="21"/>
      <c r="D572" s="21"/>
      <c r="E572" s="21"/>
      <c r="F572" s="21"/>
      <c r="G572" s="21"/>
      <c r="H572" s="21"/>
      <c r="I572" s="21"/>
      <c r="J572" s="21"/>
      <c r="K572" s="21"/>
      <c r="L572" s="21"/>
    </row>
    <row r="573">
      <c r="B573" s="20"/>
      <c r="C573" s="21"/>
      <c r="D573" s="21"/>
      <c r="E573" s="21"/>
      <c r="F573" s="21"/>
      <c r="G573" s="21"/>
      <c r="H573" s="21"/>
      <c r="I573" s="21"/>
      <c r="J573" s="21"/>
      <c r="K573" s="21"/>
      <c r="L573" s="21"/>
    </row>
    <row r="574">
      <c r="B574" s="20"/>
      <c r="C574" s="21"/>
      <c r="D574" s="21"/>
      <c r="E574" s="21"/>
      <c r="F574" s="21"/>
      <c r="G574" s="21"/>
      <c r="H574" s="21"/>
      <c r="I574" s="21"/>
      <c r="J574" s="21"/>
      <c r="K574" s="21"/>
      <c r="L574" s="21"/>
    </row>
    <row r="575">
      <c r="B575" s="20"/>
      <c r="C575" s="21"/>
      <c r="D575" s="21"/>
      <c r="E575" s="21"/>
      <c r="F575" s="21"/>
      <c r="G575" s="21"/>
      <c r="H575" s="21"/>
      <c r="I575" s="21"/>
      <c r="J575" s="21"/>
      <c r="K575" s="21"/>
      <c r="L575" s="21"/>
    </row>
    <row r="576">
      <c r="B576" s="20"/>
      <c r="C576" s="21"/>
      <c r="D576" s="21"/>
      <c r="E576" s="21"/>
      <c r="F576" s="21"/>
      <c r="G576" s="21"/>
      <c r="H576" s="21"/>
      <c r="I576" s="21"/>
      <c r="J576" s="21"/>
      <c r="K576" s="21"/>
      <c r="L576" s="21"/>
    </row>
    <row r="577">
      <c r="B577" s="20"/>
      <c r="C577" s="21"/>
      <c r="D577" s="21"/>
      <c r="E577" s="21"/>
      <c r="F577" s="21"/>
      <c r="G577" s="21"/>
      <c r="H577" s="21"/>
      <c r="I577" s="21"/>
      <c r="J577" s="21"/>
      <c r="K577" s="21"/>
      <c r="L577" s="21"/>
    </row>
    <row r="578">
      <c r="B578" s="20"/>
      <c r="C578" s="21"/>
      <c r="D578" s="21"/>
      <c r="E578" s="21"/>
      <c r="F578" s="21"/>
      <c r="G578" s="21"/>
      <c r="H578" s="21"/>
      <c r="I578" s="21"/>
      <c r="J578" s="21"/>
      <c r="K578" s="21"/>
      <c r="L578" s="21"/>
    </row>
    <row r="579">
      <c r="B579" s="20"/>
      <c r="C579" s="21"/>
      <c r="D579" s="21"/>
      <c r="E579" s="21"/>
      <c r="F579" s="21"/>
      <c r="G579" s="21"/>
      <c r="H579" s="21"/>
      <c r="I579" s="21"/>
      <c r="J579" s="21"/>
      <c r="K579" s="21"/>
      <c r="L579" s="21"/>
    </row>
    <row r="580">
      <c r="B580" s="20"/>
      <c r="C580" s="21"/>
      <c r="D580" s="21"/>
      <c r="E580" s="21"/>
      <c r="F580" s="21"/>
      <c r="G580" s="21"/>
      <c r="H580" s="21"/>
      <c r="I580" s="21"/>
      <c r="J580" s="21"/>
      <c r="K580" s="21"/>
      <c r="L580" s="21"/>
    </row>
    <row r="581">
      <c r="B581" s="20"/>
      <c r="C581" s="21"/>
      <c r="D581" s="21"/>
      <c r="E581" s="21"/>
      <c r="F581" s="21"/>
      <c r="G581" s="21"/>
      <c r="H581" s="21"/>
      <c r="I581" s="21"/>
      <c r="J581" s="21"/>
      <c r="K581" s="21"/>
      <c r="L581" s="21"/>
    </row>
    <row r="582">
      <c r="B582" s="20"/>
      <c r="C582" s="21"/>
      <c r="D582" s="21"/>
      <c r="E582" s="21"/>
      <c r="F582" s="21"/>
      <c r="G582" s="21"/>
      <c r="H582" s="21"/>
      <c r="I582" s="21"/>
      <c r="J582" s="21"/>
      <c r="K582" s="21"/>
      <c r="L582" s="21"/>
    </row>
    <row r="583">
      <c r="B583" s="20"/>
      <c r="C583" s="21"/>
      <c r="D583" s="21"/>
      <c r="E583" s="21"/>
      <c r="F583" s="21"/>
      <c r="G583" s="21"/>
      <c r="H583" s="21"/>
      <c r="I583" s="21"/>
      <c r="J583" s="21"/>
      <c r="K583" s="21"/>
      <c r="L583" s="21"/>
    </row>
    <row r="584">
      <c r="B584" s="20"/>
      <c r="C584" s="21"/>
      <c r="D584" s="21"/>
      <c r="E584" s="21"/>
      <c r="F584" s="21"/>
      <c r="G584" s="21"/>
      <c r="H584" s="21"/>
      <c r="I584" s="21"/>
      <c r="J584" s="21"/>
      <c r="K584" s="21"/>
      <c r="L584" s="21"/>
    </row>
    <row r="585">
      <c r="B585" s="20"/>
      <c r="C585" s="21"/>
      <c r="D585" s="21"/>
      <c r="E585" s="21"/>
      <c r="F585" s="21"/>
      <c r="G585" s="21"/>
      <c r="H585" s="21"/>
      <c r="I585" s="21"/>
      <c r="J585" s="21"/>
      <c r="K585" s="21"/>
      <c r="L585" s="21"/>
    </row>
    <row r="586">
      <c r="B586" s="20"/>
      <c r="C586" s="21"/>
      <c r="D586" s="21"/>
      <c r="E586" s="21"/>
      <c r="F586" s="21"/>
      <c r="G586" s="21"/>
      <c r="H586" s="21"/>
      <c r="I586" s="21"/>
      <c r="J586" s="21"/>
      <c r="K586" s="21"/>
      <c r="L586" s="21"/>
    </row>
    <row r="587">
      <c r="B587" s="20"/>
      <c r="C587" s="21"/>
      <c r="D587" s="21"/>
      <c r="E587" s="21"/>
      <c r="F587" s="21"/>
      <c r="G587" s="21"/>
      <c r="H587" s="21"/>
      <c r="I587" s="21"/>
      <c r="J587" s="21"/>
      <c r="K587" s="21"/>
      <c r="L587" s="21"/>
    </row>
    <row r="588">
      <c r="B588" s="20"/>
      <c r="C588" s="21"/>
      <c r="D588" s="21"/>
      <c r="E588" s="21"/>
      <c r="F588" s="21"/>
      <c r="G588" s="21"/>
      <c r="H588" s="21"/>
      <c r="I588" s="21"/>
      <c r="J588" s="21"/>
      <c r="K588" s="21"/>
      <c r="L588" s="21"/>
    </row>
    <row r="589">
      <c r="B589" s="20"/>
      <c r="C589" s="21"/>
      <c r="D589" s="21"/>
      <c r="E589" s="21"/>
      <c r="F589" s="21"/>
      <c r="G589" s="21"/>
      <c r="H589" s="21"/>
      <c r="I589" s="21"/>
      <c r="J589" s="21"/>
      <c r="K589" s="21"/>
      <c r="L589" s="21"/>
    </row>
    <row r="590">
      <c r="B590" s="20"/>
      <c r="C590" s="21"/>
      <c r="D590" s="21"/>
      <c r="E590" s="21"/>
      <c r="F590" s="21"/>
      <c r="G590" s="21"/>
      <c r="H590" s="21"/>
      <c r="I590" s="21"/>
      <c r="J590" s="21"/>
      <c r="K590" s="21"/>
      <c r="L590" s="21"/>
    </row>
    <row r="591">
      <c r="B591" s="20"/>
      <c r="C591" s="21"/>
      <c r="D591" s="21"/>
      <c r="E591" s="21"/>
      <c r="F591" s="21"/>
      <c r="G591" s="21"/>
      <c r="H591" s="21"/>
      <c r="I591" s="21"/>
      <c r="J591" s="21"/>
      <c r="K591" s="21"/>
      <c r="L591" s="21"/>
    </row>
    <row r="592">
      <c r="B592" s="20"/>
      <c r="C592" s="21"/>
      <c r="D592" s="21"/>
      <c r="E592" s="21"/>
      <c r="F592" s="21"/>
      <c r="G592" s="21"/>
      <c r="H592" s="21"/>
      <c r="I592" s="21"/>
      <c r="J592" s="21"/>
      <c r="K592" s="21"/>
      <c r="L592" s="21"/>
    </row>
    <row r="593">
      <c r="B593" s="20"/>
      <c r="C593" s="21"/>
      <c r="D593" s="21"/>
      <c r="E593" s="21"/>
      <c r="F593" s="21"/>
      <c r="G593" s="21"/>
      <c r="H593" s="21"/>
      <c r="I593" s="21"/>
      <c r="J593" s="21"/>
      <c r="K593" s="21"/>
      <c r="L593" s="21"/>
    </row>
    <row r="594">
      <c r="B594" s="20"/>
      <c r="C594" s="21"/>
      <c r="D594" s="21"/>
      <c r="E594" s="21"/>
      <c r="F594" s="21"/>
      <c r="G594" s="21"/>
      <c r="H594" s="21"/>
      <c r="I594" s="21"/>
      <c r="J594" s="21"/>
      <c r="K594" s="21"/>
      <c r="L594" s="21"/>
    </row>
    <row r="595">
      <c r="B595" s="20"/>
      <c r="C595" s="21"/>
      <c r="D595" s="21"/>
      <c r="E595" s="21"/>
      <c r="F595" s="21"/>
      <c r="G595" s="21"/>
      <c r="H595" s="21"/>
      <c r="I595" s="21"/>
      <c r="J595" s="21"/>
      <c r="K595" s="21"/>
      <c r="L595" s="21"/>
    </row>
    <row r="596">
      <c r="B596" s="20"/>
      <c r="C596" s="21"/>
      <c r="D596" s="21"/>
      <c r="E596" s="21"/>
      <c r="F596" s="21"/>
      <c r="G596" s="21"/>
      <c r="H596" s="21"/>
      <c r="I596" s="21"/>
      <c r="J596" s="21"/>
      <c r="K596" s="21"/>
      <c r="L596" s="21"/>
    </row>
    <row r="597">
      <c r="B597" s="20"/>
      <c r="C597" s="21"/>
      <c r="D597" s="21"/>
      <c r="E597" s="21"/>
      <c r="F597" s="21"/>
      <c r="G597" s="21"/>
      <c r="H597" s="21"/>
      <c r="I597" s="21"/>
      <c r="J597" s="21"/>
      <c r="K597" s="21"/>
      <c r="L597" s="21"/>
    </row>
    <row r="598">
      <c r="B598" s="20"/>
      <c r="C598" s="21"/>
      <c r="D598" s="21"/>
      <c r="E598" s="21"/>
      <c r="F598" s="21"/>
      <c r="G598" s="21"/>
      <c r="H598" s="21"/>
      <c r="I598" s="21"/>
      <c r="J598" s="21"/>
      <c r="K598" s="21"/>
      <c r="L598" s="21"/>
    </row>
    <row r="599">
      <c r="B599" s="20"/>
      <c r="C599" s="21"/>
      <c r="D599" s="21"/>
      <c r="E599" s="21"/>
      <c r="F599" s="21"/>
      <c r="G599" s="21"/>
      <c r="H599" s="21"/>
      <c r="I599" s="21"/>
      <c r="J599" s="21"/>
      <c r="K599" s="21"/>
      <c r="L599" s="21"/>
    </row>
    <row r="600">
      <c r="B600" s="20"/>
      <c r="C600" s="21"/>
      <c r="D600" s="21"/>
      <c r="E600" s="21"/>
      <c r="F600" s="21"/>
      <c r="G600" s="21"/>
      <c r="H600" s="21"/>
      <c r="I600" s="21"/>
      <c r="J600" s="21"/>
      <c r="K600" s="21"/>
      <c r="L600" s="21"/>
    </row>
    <row r="601">
      <c r="B601" s="20"/>
      <c r="C601" s="21"/>
      <c r="D601" s="21"/>
      <c r="E601" s="21"/>
      <c r="F601" s="21"/>
      <c r="G601" s="21"/>
      <c r="H601" s="21"/>
      <c r="I601" s="21"/>
      <c r="J601" s="21"/>
      <c r="K601" s="21"/>
      <c r="L601" s="21"/>
    </row>
    <row r="602">
      <c r="B602" s="20"/>
      <c r="C602" s="21"/>
      <c r="D602" s="21"/>
      <c r="E602" s="21"/>
      <c r="F602" s="21"/>
      <c r="G602" s="21"/>
      <c r="H602" s="21"/>
      <c r="I602" s="21"/>
      <c r="J602" s="21"/>
      <c r="K602" s="21"/>
      <c r="L602" s="21"/>
    </row>
    <row r="603">
      <c r="B603" s="20"/>
      <c r="C603" s="21"/>
      <c r="D603" s="21"/>
      <c r="E603" s="21"/>
      <c r="F603" s="21"/>
      <c r="G603" s="21"/>
      <c r="H603" s="21"/>
      <c r="I603" s="21"/>
      <c r="J603" s="21"/>
      <c r="K603" s="21"/>
      <c r="L603" s="21"/>
    </row>
    <row r="604">
      <c r="B604" s="20"/>
      <c r="C604" s="21"/>
      <c r="D604" s="21"/>
      <c r="E604" s="21"/>
      <c r="F604" s="21"/>
      <c r="G604" s="21"/>
      <c r="H604" s="21"/>
      <c r="I604" s="21"/>
      <c r="J604" s="21"/>
      <c r="K604" s="21"/>
      <c r="L604" s="21"/>
    </row>
    <row r="605">
      <c r="B605" s="20"/>
      <c r="C605" s="21"/>
      <c r="D605" s="21"/>
      <c r="E605" s="21"/>
      <c r="F605" s="21"/>
      <c r="G605" s="21"/>
      <c r="H605" s="21"/>
      <c r="I605" s="21"/>
      <c r="J605" s="21"/>
      <c r="K605" s="21"/>
      <c r="L605" s="21"/>
    </row>
    <row r="606">
      <c r="B606" s="20"/>
      <c r="C606" s="21"/>
      <c r="D606" s="21"/>
      <c r="E606" s="21"/>
      <c r="F606" s="21"/>
      <c r="G606" s="21"/>
      <c r="H606" s="21"/>
      <c r="I606" s="21"/>
      <c r="J606" s="21"/>
      <c r="K606" s="21"/>
      <c r="L606" s="21"/>
    </row>
    <row r="607">
      <c r="B607" s="20"/>
      <c r="C607" s="21"/>
      <c r="D607" s="21"/>
      <c r="E607" s="21"/>
      <c r="F607" s="21"/>
      <c r="G607" s="21"/>
      <c r="H607" s="21"/>
      <c r="I607" s="21"/>
      <c r="J607" s="21"/>
      <c r="K607" s="21"/>
      <c r="L607" s="21"/>
    </row>
    <row r="608">
      <c r="B608" s="20"/>
      <c r="C608" s="21"/>
      <c r="D608" s="21"/>
      <c r="E608" s="21"/>
      <c r="F608" s="21"/>
      <c r="G608" s="21"/>
      <c r="H608" s="21"/>
      <c r="I608" s="21"/>
      <c r="J608" s="21"/>
      <c r="K608" s="21"/>
      <c r="L608" s="21"/>
    </row>
    <row r="609">
      <c r="B609" s="20"/>
      <c r="C609" s="21"/>
      <c r="D609" s="21"/>
      <c r="E609" s="21"/>
      <c r="F609" s="21"/>
      <c r="G609" s="21"/>
      <c r="H609" s="21"/>
      <c r="I609" s="21"/>
      <c r="J609" s="21"/>
      <c r="K609" s="21"/>
      <c r="L609" s="21"/>
    </row>
    <row r="610">
      <c r="B610" s="20"/>
      <c r="C610" s="21"/>
      <c r="D610" s="21"/>
      <c r="E610" s="21"/>
      <c r="F610" s="21"/>
      <c r="G610" s="21"/>
      <c r="H610" s="21"/>
      <c r="I610" s="21"/>
      <c r="J610" s="21"/>
      <c r="K610" s="21"/>
      <c r="L610" s="21"/>
    </row>
    <row r="611">
      <c r="B611" s="20"/>
      <c r="C611" s="21"/>
      <c r="D611" s="21"/>
      <c r="E611" s="21"/>
      <c r="F611" s="21"/>
      <c r="G611" s="21"/>
      <c r="H611" s="21"/>
      <c r="I611" s="21"/>
      <c r="J611" s="21"/>
      <c r="K611" s="21"/>
      <c r="L611" s="21"/>
    </row>
    <row r="612">
      <c r="B612" s="20"/>
      <c r="C612" s="21"/>
      <c r="D612" s="21"/>
      <c r="E612" s="21"/>
      <c r="F612" s="21"/>
      <c r="G612" s="21"/>
      <c r="H612" s="21"/>
      <c r="I612" s="21"/>
      <c r="J612" s="21"/>
      <c r="K612" s="21"/>
      <c r="L612" s="21"/>
    </row>
    <row r="613">
      <c r="B613" s="20"/>
      <c r="C613" s="21"/>
      <c r="D613" s="21"/>
      <c r="E613" s="21"/>
      <c r="F613" s="21"/>
      <c r="G613" s="21"/>
      <c r="H613" s="21"/>
      <c r="I613" s="21"/>
      <c r="J613" s="21"/>
      <c r="K613" s="21"/>
      <c r="L613" s="21"/>
    </row>
    <row r="614">
      <c r="B614" s="20"/>
      <c r="C614" s="21"/>
      <c r="D614" s="21"/>
      <c r="E614" s="21"/>
      <c r="F614" s="21"/>
      <c r="G614" s="21"/>
      <c r="H614" s="21"/>
      <c r="I614" s="21"/>
      <c r="J614" s="21"/>
      <c r="K614" s="21"/>
      <c r="L614" s="21"/>
    </row>
    <row r="615">
      <c r="B615" s="20"/>
      <c r="C615" s="21"/>
      <c r="D615" s="21"/>
      <c r="E615" s="21"/>
      <c r="F615" s="21"/>
      <c r="G615" s="21"/>
      <c r="H615" s="21"/>
      <c r="I615" s="21"/>
      <c r="J615" s="21"/>
      <c r="K615" s="21"/>
      <c r="L615" s="21"/>
    </row>
    <row r="616">
      <c r="B616" s="20"/>
      <c r="C616" s="21"/>
      <c r="D616" s="21"/>
      <c r="E616" s="21"/>
      <c r="F616" s="21"/>
      <c r="G616" s="21"/>
      <c r="H616" s="21"/>
      <c r="I616" s="21"/>
      <c r="J616" s="21"/>
      <c r="K616" s="21"/>
      <c r="L616" s="21"/>
    </row>
    <row r="617">
      <c r="B617" s="20"/>
      <c r="C617" s="21"/>
      <c r="D617" s="21"/>
      <c r="E617" s="21"/>
      <c r="F617" s="21"/>
      <c r="G617" s="21"/>
      <c r="H617" s="21"/>
      <c r="I617" s="21"/>
      <c r="J617" s="21"/>
      <c r="K617" s="21"/>
      <c r="L617" s="21"/>
    </row>
    <row r="618">
      <c r="B618" s="20"/>
      <c r="C618" s="21"/>
      <c r="D618" s="21"/>
      <c r="E618" s="21"/>
      <c r="F618" s="21"/>
      <c r="G618" s="21"/>
      <c r="H618" s="21"/>
      <c r="I618" s="21"/>
      <c r="J618" s="21"/>
      <c r="K618" s="21"/>
      <c r="L618" s="21"/>
    </row>
    <row r="619">
      <c r="B619" s="20"/>
      <c r="C619" s="21"/>
      <c r="D619" s="21"/>
      <c r="E619" s="21"/>
      <c r="F619" s="21"/>
      <c r="G619" s="21"/>
      <c r="H619" s="21"/>
      <c r="I619" s="21"/>
      <c r="J619" s="21"/>
      <c r="K619" s="21"/>
      <c r="L619" s="21"/>
    </row>
    <row r="620">
      <c r="B620" s="20"/>
      <c r="C620" s="21"/>
      <c r="D620" s="21"/>
      <c r="E620" s="21"/>
      <c r="F620" s="21"/>
      <c r="G620" s="21"/>
      <c r="H620" s="21"/>
      <c r="I620" s="21"/>
      <c r="J620" s="21"/>
      <c r="K620" s="21"/>
      <c r="L620" s="21"/>
    </row>
    <row r="621">
      <c r="B621" s="20"/>
      <c r="C621" s="21"/>
      <c r="D621" s="21"/>
      <c r="E621" s="21"/>
      <c r="F621" s="21"/>
      <c r="G621" s="21"/>
      <c r="H621" s="21"/>
      <c r="I621" s="21"/>
      <c r="J621" s="21"/>
      <c r="K621" s="21"/>
      <c r="L621" s="21"/>
    </row>
    <row r="622">
      <c r="B622" s="20"/>
      <c r="C622" s="21"/>
      <c r="D622" s="21"/>
      <c r="E622" s="21"/>
      <c r="F622" s="21"/>
      <c r="G622" s="21"/>
      <c r="H622" s="21"/>
      <c r="I622" s="21"/>
      <c r="J622" s="21"/>
      <c r="K622" s="21"/>
      <c r="L622" s="21"/>
    </row>
    <row r="623">
      <c r="B623" s="20"/>
      <c r="C623" s="21"/>
      <c r="D623" s="21"/>
      <c r="E623" s="21"/>
      <c r="F623" s="21"/>
      <c r="G623" s="21"/>
      <c r="H623" s="21"/>
      <c r="I623" s="21"/>
      <c r="J623" s="21"/>
      <c r="K623" s="21"/>
      <c r="L623" s="21"/>
    </row>
    <row r="624">
      <c r="B624" s="20"/>
      <c r="C624" s="21"/>
      <c r="D624" s="21"/>
      <c r="E624" s="21"/>
      <c r="F624" s="21"/>
      <c r="G624" s="21"/>
      <c r="H624" s="21"/>
      <c r="I624" s="21"/>
      <c r="J624" s="21"/>
      <c r="K624" s="21"/>
      <c r="L624" s="21"/>
    </row>
    <row r="625">
      <c r="B625" s="20"/>
      <c r="C625" s="21"/>
      <c r="D625" s="21"/>
      <c r="E625" s="21"/>
      <c r="F625" s="21"/>
      <c r="G625" s="21"/>
      <c r="H625" s="21"/>
      <c r="I625" s="21"/>
      <c r="J625" s="21"/>
      <c r="K625" s="21"/>
      <c r="L625" s="21"/>
    </row>
    <row r="626">
      <c r="B626" s="20"/>
      <c r="C626" s="21"/>
      <c r="D626" s="21"/>
      <c r="E626" s="21"/>
      <c r="F626" s="21"/>
      <c r="G626" s="21"/>
      <c r="H626" s="21"/>
      <c r="I626" s="21"/>
      <c r="J626" s="21"/>
      <c r="K626" s="21"/>
      <c r="L626" s="21"/>
    </row>
    <row r="627">
      <c r="B627" s="20"/>
      <c r="C627" s="21"/>
      <c r="D627" s="21"/>
      <c r="E627" s="21"/>
      <c r="F627" s="21"/>
      <c r="G627" s="21"/>
      <c r="H627" s="21"/>
      <c r="I627" s="21"/>
      <c r="J627" s="21"/>
      <c r="K627" s="21"/>
      <c r="L627" s="21"/>
    </row>
    <row r="628">
      <c r="B628" s="20"/>
      <c r="C628" s="21"/>
      <c r="D628" s="21"/>
      <c r="E628" s="21"/>
      <c r="F628" s="21"/>
      <c r="G628" s="21"/>
      <c r="H628" s="21"/>
      <c r="I628" s="21"/>
      <c r="J628" s="21"/>
      <c r="K628" s="21"/>
      <c r="L628" s="21"/>
    </row>
    <row r="629">
      <c r="B629" s="20"/>
      <c r="C629" s="21"/>
      <c r="D629" s="21"/>
      <c r="E629" s="21"/>
      <c r="F629" s="21"/>
      <c r="G629" s="21"/>
      <c r="H629" s="21"/>
      <c r="I629" s="21"/>
      <c r="J629" s="21"/>
      <c r="K629" s="21"/>
      <c r="L629" s="21"/>
    </row>
    <row r="630">
      <c r="B630" s="20"/>
      <c r="C630" s="21"/>
      <c r="D630" s="21"/>
      <c r="E630" s="21"/>
      <c r="F630" s="21"/>
      <c r="G630" s="21"/>
      <c r="H630" s="21"/>
      <c r="I630" s="21"/>
      <c r="J630" s="21"/>
      <c r="K630" s="21"/>
      <c r="L630" s="21"/>
    </row>
    <row r="631">
      <c r="B631" s="20"/>
      <c r="C631" s="21"/>
      <c r="D631" s="21"/>
      <c r="E631" s="21"/>
      <c r="F631" s="21"/>
      <c r="G631" s="21"/>
      <c r="H631" s="21"/>
      <c r="I631" s="21"/>
      <c r="J631" s="21"/>
      <c r="K631" s="21"/>
      <c r="L631" s="21"/>
    </row>
    <row r="632">
      <c r="B632" s="20"/>
      <c r="C632" s="21"/>
      <c r="D632" s="21"/>
      <c r="E632" s="21"/>
      <c r="F632" s="21"/>
      <c r="G632" s="21"/>
      <c r="H632" s="21"/>
      <c r="I632" s="21"/>
      <c r="J632" s="21"/>
      <c r="K632" s="21"/>
      <c r="L632" s="21"/>
    </row>
    <row r="633">
      <c r="B633" s="20"/>
      <c r="C633" s="21"/>
      <c r="D633" s="21"/>
      <c r="E633" s="21"/>
      <c r="F633" s="21"/>
      <c r="G633" s="21"/>
      <c r="H633" s="21"/>
      <c r="I633" s="21"/>
      <c r="J633" s="21"/>
      <c r="K633" s="21"/>
      <c r="L633" s="21"/>
    </row>
    <row r="634">
      <c r="B634" s="20"/>
      <c r="C634" s="21"/>
      <c r="D634" s="21"/>
      <c r="E634" s="21"/>
      <c r="F634" s="21"/>
      <c r="G634" s="21"/>
      <c r="H634" s="21"/>
      <c r="I634" s="21"/>
      <c r="J634" s="21"/>
      <c r="K634" s="21"/>
      <c r="L634" s="21"/>
    </row>
    <row r="635">
      <c r="B635" s="20"/>
      <c r="C635" s="21"/>
      <c r="D635" s="21"/>
      <c r="E635" s="21"/>
      <c r="F635" s="21"/>
      <c r="G635" s="21"/>
      <c r="H635" s="21"/>
      <c r="I635" s="21"/>
      <c r="J635" s="21"/>
      <c r="K635" s="21"/>
      <c r="L635" s="21"/>
    </row>
    <row r="636">
      <c r="B636" s="20"/>
      <c r="C636" s="21"/>
      <c r="D636" s="21"/>
      <c r="E636" s="21"/>
      <c r="F636" s="21"/>
      <c r="G636" s="21"/>
      <c r="H636" s="21"/>
      <c r="I636" s="21"/>
      <c r="J636" s="21"/>
      <c r="K636" s="21"/>
      <c r="L636" s="21"/>
    </row>
    <row r="637">
      <c r="B637" s="20"/>
      <c r="C637" s="21"/>
      <c r="D637" s="21"/>
      <c r="E637" s="21"/>
      <c r="F637" s="21"/>
      <c r="G637" s="21"/>
      <c r="H637" s="21"/>
      <c r="I637" s="21"/>
      <c r="J637" s="21"/>
      <c r="K637" s="21"/>
      <c r="L637" s="21"/>
    </row>
    <row r="638">
      <c r="B638" s="20"/>
      <c r="C638" s="21"/>
      <c r="D638" s="21"/>
      <c r="E638" s="21"/>
      <c r="F638" s="21"/>
      <c r="G638" s="21"/>
      <c r="H638" s="21"/>
      <c r="I638" s="21"/>
      <c r="J638" s="21"/>
      <c r="K638" s="21"/>
      <c r="L638" s="21"/>
    </row>
    <row r="639">
      <c r="B639" s="20"/>
      <c r="C639" s="21"/>
      <c r="D639" s="21"/>
      <c r="E639" s="21"/>
      <c r="F639" s="21"/>
      <c r="G639" s="21"/>
      <c r="H639" s="21"/>
      <c r="I639" s="21"/>
      <c r="J639" s="21"/>
      <c r="K639" s="21"/>
      <c r="L639" s="21"/>
    </row>
    <row r="640">
      <c r="B640" s="20"/>
      <c r="C640" s="21"/>
      <c r="D640" s="21"/>
      <c r="E640" s="21"/>
      <c r="F640" s="21"/>
      <c r="G640" s="21"/>
      <c r="H640" s="21"/>
      <c r="I640" s="21"/>
      <c r="J640" s="21"/>
      <c r="K640" s="21"/>
      <c r="L640" s="21"/>
    </row>
    <row r="641">
      <c r="B641" s="20"/>
      <c r="C641" s="21"/>
      <c r="D641" s="21"/>
      <c r="E641" s="21"/>
      <c r="F641" s="21"/>
      <c r="G641" s="21"/>
      <c r="H641" s="21"/>
      <c r="I641" s="21"/>
      <c r="J641" s="21"/>
      <c r="K641" s="21"/>
      <c r="L641" s="21"/>
    </row>
    <row r="642">
      <c r="B642" s="20"/>
      <c r="C642" s="21"/>
      <c r="D642" s="21"/>
      <c r="E642" s="21"/>
      <c r="F642" s="21"/>
      <c r="G642" s="21"/>
      <c r="H642" s="21"/>
      <c r="I642" s="21"/>
      <c r="J642" s="21"/>
      <c r="K642" s="21"/>
      <c r="L642" s="21"/>
    </row>
    <row r="643">
      <c r="B643" s="20"/>
      <c r="C643" s="21"/>
      <c r="D643" s="21"/>
      <c r="E643" s="21"/>
      <c r="F643" s="21"/>
      <c r="G643" s="21"/>
      <c r="H643" s="21"/>
      <c r="I643" s="21"/>
      <c r="J643" s="21"/>
      <c r="K643" s="21"/>
      <c r="L643" s="21"/>
    </row>
    <row r="644">
      <c r="B644" s="20"/>
      <c r="C644" s="21"/>
      <c r="D644" s="21"/>
      <c r="E644" s="21"/>
      <c r="F644" s="21"/>
      <c r="G644" s="21"/>
      <c r="H644" s="21"/>
      <c r="I644" s="21"/>
      <c r="J644" s="21"/>
      <c r="K644" s="21"/>
      <c r="L644" s="21"/>
    </row>
    <row r="645">
      <c r="B645" s="20"/>
      <c r="C645" s="21"/>
      <c r="D645" s="21"/>
      <c r="E645" s="21"/>
      <c r="F645" s="21"/>
      <c r="G645" s="21"/>
      <c r="H645" s="21"/>
      <c r="I645" s="21"/>
      <c r="J645" s="21"/>
      <c r="K645" s="21"/>
      <c r="L645" s="21"/>
    </row>
    <row r="646">
      <c r="B646" s="20"/>
      <c r="C646" s="21"/>
      <c r="D646" s="21"/>
      <c r="E646" s="21"/>
      <c r="F646" s="21"/>
      <c r="G646" s="21"/>
      <c r="H646" s="21"/>
      <c r="I646" s="21"/>
      <c r="J646" s="21"/>
      <c r="K646" s="21"/>
      <c r="L646" s="21"/>
    </row>
    <row r="647">
      <c r="B647" s="20"/>
      <c r="C647" s="21"/>
      <c r="D647" s="21"/>
      <c r="E647" s="21"/>
      <c r="F647" s="21"/>
      <c r="G647" s="21"/>
      <c r="H647" s="21"/>
      <c r="I647" s="21"/>
      <c r="J647" s="21"/>
      <c r="K647" s="21"/>
      <c r="L647" s="21"/>
    </row>
    <row r="648">
      <c r="B648" s="20"/>
      <c r="C648" s="21"/>
      <c r="D648" s="21"/>
      <c r="E648" s="21"/>
      <c r="F648" s="21"/>
      <c r="G648" s="21"/>
      <c r="H648" s="21"/>
      <c r="I648" s="21"/>
      <c r="J648" s="21"/>
      <c r="K648" s="21"/>
      <c r="L648" s="21"/>
    </row>
    <row r="649">
      <c r="B649" s="20"/>
      <c r="C649" s="21"/>
      <c r="D649" s="21"/>
      <c r="E649" s="21"/>
      <c r="F649" s="21"/>
      <c r="G649" s="21"/>
      <c r="H649" s="21"/>
      <c r="I649" s="21"/>
      <c r="J649" s="21"/>
      <c r="K649" s="21"/>
      <c r="L649" s="21"/>
    </row>
    <row r="650">
      <c r="B650" s="20"/>
      <c r="C650" s="21"/>
      <c r="D650" s="21"/>
      <c r="E650" s="21"/>
      <c r="F650" s="21"/>
      <c r="G650" s="21"/>
      <c r="H650" s="21"/>
      <c r="I650" s="21"/>
      <c r="J650" s="21"/>
      <c r="K650" s="21"/>
      <c r="L650" s="21"/>
    </row>
    <row r="651">
      <c r="B651" s="20"/>
      <c r="C651" s="21"/>
      <c r="D651" s="21"/>
      <c r="E651" s="21"/>
      <c r="F651" s="21"/>
      <c r="G651" s="21"/>
      <c r="H651" s="21"/>
      <c r="I651" s="21"/>
      <c r="J651" s="21"/>
      <c r="K651" s="21"/>
      <c r="L651" s="21"/>
    </row>
    <row r="652">
      <c r="B652" s="20"/>
      <c r="C652" s="21"/>
      <c r="D652" s="21"/>
      <c r="E652" s="21"/>
      <c r="F652" s="21"/>
      <c r="G652" s="21"/>
      <c r="H652" s="21"/>
      <c r="I652" s="21"/>
      <c r="J652" s="21"/>
      <c r="K652" s="21"/>
      <c r="L652" s="21"/>
    </row>
    <row r="653">
      <c r="B653" s="20"/>
      <c r="C653" s="21"/>
      <c r="D653" s="21"/>
      <c r="E653" s="21"/>
      <c r="F653" s="21"/>
      <c r="G653" s="21"/>
      <c r="H653" s="21"/>
      <c r="I653" s="21"/>
      <c r="J653" s="21"/>
      <c r="K653" s="21"/>
      <c r="L653" s="21"/>
    </row>
    <row r="654">
      <c r="B654" s="20"/>
      <c r="C654" s="21"/>
      <c r="D654" s="21"/>
      <c r="E654" s="21"/>
      <c r="F654" s="21"/>
      <c r="G654" s="21"/>
      <c r="H654" s="21"/>
      <c r="I654" s="21"/>
      <c r="J654" s="21"/>
      <c r="K654" s="21"/>
      <c r="L654" s="21"/>
    </row>
    <row r="655">
      <c r="B655" s="20"/>
      <c r="C655" s="21"/>
      <c r="D655" s="21"/>
      <c r="E655" s="21"/>
      <c r="F655" s="21"/>
      <c r="G655" s="21"/>
      <c r="H655" s="21"/>
      <c r="I655" s="21"/>
      <c r="J655" s="21"/>
      <c r="K655" s="21"/>
      <c r="L655" s="21"/>
    </row>
    <row r="656">
      <c r="B656" s="20"/>
      <c r="C656" s="21"/>
      <c r="D656" s="21"/>
      <c r="E656" s="21"/>
      <c r="F656" s="21"/>
      <c r="G656" s="21"/>
      <c r="H656" s="21"/>
      <c r="I656" s="21"/>
      <c r="J656" s="21"/>
      <c r="K656" s="21"/>
      <c r="L656" s="21"/>
    </row>
    <row r="657">
      <c r="B657" s="20"/>
      <c r="C657" s="21"/>
      <c r="D657" s="21"/>
      <c r="E657" s="21"/>
      <c r="F657" s="21"/>
      <c r="G657" s="21"/>
      <c r="H657" s="21"/>
      <c r="I657" s="21"/>
      <c r="J657" s="21"/>
      <c r="K657" s="21"/>
      <c r="L657" s="21"/>
    </row>
    <row r="658">
      <c r="B658" s="20"/>
      <c r="C658" s="21"/>
      <c r="D658" s="21"/>
      <c r="E658" s="21"/>
      <c r="F658" s="21"/>
      <c r="G658" s="21"/>
      <c r="H658" s="21"/>
      <c r="I658" s="21"/>
      <c r="J658" s="21"/>
      <c r="K658" s="21"/>
      <c r="L658" s="21"/>
    </row>
    <row r="659">
      <c r="B659" s="20"/>
      <c r="C659" s="21"/>
      <c r="D659" s="21"/>
      <c r="E659" s="21"/>
      <c r="F659" s="21"/>
      <c r="G659" s="21"/>
      <c r="H659" s="21"/>
      <c r="I659" s="21"/>
      <c r="J659" s="21"/>
      <c r="K659" s="21"/>
      <c r="L659" s="21"/>
    </row>
    <row r="660">
      <c r="B660" s="20"/>
      <c r="C660" s="21"/>
      <c r="D660" s="21"/>
      <c r="E660" s="21"/>
      <c r="F660" s="21"/>
      <c r="G660" s="21"/>
      <c r="H660" s="21"/>
      <c r="I660" s="21"/>
      <c r="J660" s="21"/>
      <c r="K660" s="21"/>
      <c r="L660" s="21"/>
    </row>
    <row r="661">
      <c r="B661" s="20"/>
      <c r="C661" s="21"/>
      <c r="D661" s="21"/>
      <c r="E661" s="21"/>
      <c r="F661" s="21"/>
      <c r="G661" s="21"/>
      <c r="H661" s="21"/>
      <c r="I661" s="21"/>
      <c r="J661" s="21"/>
      <c r="K661" s="21"/>
      <c r="L661" s="21"/>
    </row>
    <row r="662">
      <c r="B662" s="20"/>
      <c r="C662" s="21"/>
      <c r="D662" s="21"/>
      <c r="E662" s="21"/>
      <c r="F662" s="21"/>
      <c r="G662" s="21"/>
      <c r="H662" s="21"/>
      <c r="I662" s="21"/>
      <c r="J662" s="21"/>
      <c r="K662" s="21"/>
      <c r="L662" s="21"/>
    </row>
    <row r="663">
      <c r="B663" s="20"/>
      <c r="C663" s="21"/>
      <c r="D663" s="21"/>
      <c r="E663" s="21"/>
      <c r="F663" s="21"/>
      <c r="G663" s="21"/>
      <c r="H663" s="21"/>
      <c r="I663" s="21"/>
      <c r="J663" s="21"/>
      <c r="K663" s="21"/>
      <c r="L663" s="21"/>
    </row>
    <row r="664">
      <c r="B664" s="20"/>
      <c r="C664" s="21"/>
      <c r="D664" s="21"/>
      <c r="E664" s="21"/>
      <c r="F664" s="21"/>
      <c r="G664" s="21"/>
      <c r="H664" s="21"/>
      <c r="I664" s="21"/>
      <c r="J664" s="21"/>
      <c r="K664" s="21"/>
      <c r="L664" s="21"/>
    </row>
    <row r="665">
      <c r="B665" s="20"/>
      <c r="C665" s="21"/>
      <c r="D665" s="21"/>
      <c r="E665" s="21"/>
      <c r="F665" s="21"/>
      <c r="G665" s="21"/>
      <c r="H665" s="21"/>
      <c r="I665" s="21"/>
      <c r="J665" s="21"/>
      <c r="K665" s="21"/>
      <c r="L665" s="21"/>
    </row>
    <row r="666">
      <c r="B666" s="20"/>
      <c r="C666" s="21"/>
      <c r="D666" s="21"/>
      <c r="E666" s="21"/>
      <c r="F666" s="21"/>
      <c r="G666" s="21"/>
      <c r="H666" s="21"/>
      <c r="I666" s="21"/>
      <c r="J666" s="21"/>
      <c r="K666" s="21"/>
      <c r="L666" s="21"/>
    </row>
    <row r="667">
      <c r="B667" s="20"/>
      <c r="C667" s="21"/>
      <c r="D667" s="21"/>
      <c r="E667" s="21"/>
      <c r="F667" s="21"/>
      <c r="G667" s="21"/>
      <c r="H667" s="21"/>
      <c r="I667" s="21"/>
      <c r="J667" s="21"/>
      <c r="K667" s="21"/>
      <c r="L667" s="21"/>
    </row>
    <row r="668">
      <c r="B668" s="20"/>
      <c r="C668" s="21"/>
      <c r="D668" s="21"/>
      <c r="E668" s="21"/>
      <c r="F668" s="21"/>
      <c r="G668" s="21"/>
      <c r="H668" s="21"/>
      <c r="I668" s="21"/>
      <c r="J668" s="21"/>
      <c r="K668" s="21"/>
      <c r="L668" s="21"/>
    </row>
    <row r="669">
      <c r="B669" s="20"/>
      <c r="C669" s="21"/>
      <c r="D669" s="21"/>
      <c r="E669" s="21"/>
      <c r="F669" s="21"/>
      <c r="G669" s="21"/>
      <c r="H669" s="21"/>
      <c r="I669" s="21"/>
      <c r="J669" s="21"/>
      <c r="K669" s="21"/>
      <c r="L669" s="21"/>
    </row>
    <row r="670">
      <c r="B670" s="20"/>
      <c r="C670" s="21"/>
      <c r="D670" s="21"/>
      <c r="E670" s="21"/>
      <c r="F670" s="21"/>
      <c r="G670" s="21"/>
      <c r="H670" s="21"/>
      <c r="I670" s="21"/>
      <c r="J670" s="21"/>
      <c r="K670" s="21"/>
      <c r="L670" s="21"/>
    </row>
    <row r="671">
      <c r="B671" s="20"/>
      <c r="C671" s="21"/>
      <c r="D671" s="21"/>
      <c r="E671" s="21"/>
      <c r="F671" s="21"/>
      <c r="G671" s="21"/>
      <c r="H671" s="21"/>
      <c r="I671" s="21"/>
      <c r="J671" s="21"/>
      <c r="K671" s="21"/>
      <c r="L671" s="21"/>
    </row>
    <row r="672">
      <c r="B672" s="20"/>
      <c r="C672" s="21"/>
      <c r="D672" s="21"/>
      <c r="E672" s="21"/>
      <c r="F672" s="21"/>
      <c r="G672" s="21"/>
      <c r="H672" s="21"/>
      <c r="I672" s="21"/>
      <c r="J672" s="21"/>
      <c r="K672" s="21"/>
      <c r="L672" s="21"/>
    </row>
    <row r="673">
      <c r="B673" s="20"/>
      <c r="C673" s="21"/>
      <c r="D673" s="21"/>
      <c r="E673" s="21"/>
      <c r="F673" s="21"/>
      <c r="G673" s="21"/>
      <c r="H673" s="21"/>
      <c r="I673" s="21"/>
      <c r="J673" s="21"/>
      <c r="K673" s="21"/>
      <c r="L673" s="21"/>
    </row>
    <row r="674">
      <c r="B674" s="20"/>
      <c r="C674" s="21"/>
      <c r="D674" s="21"/>
      <c r="E674" s="21"/>
      <c r="F674" s="21"/>
      <c r="G674" s="21"/>
      <c r="H674" s="21"/>
      <c r="I674" s="21"/>
      <c r="J674" s="21"/>
      <c r="K674" s="21"/>
      <c r="L674" s="21"/>
    </row>
    <row r="675">
      <c r="B675" s="20"/>
      <c r="C675" s="21"/>
      <c r="D675" s="21"/>
      <c r="E675" s="21"/>
      <c r="F675" s="21"/>
      <c r="G675" s="21"/>
      <c r="H675" s="21"/>
      <c r="I675" s="21"/>
      <c r="J675" s="21"/>
      <c r="K675" s="21"/>
      <c r="L675" s="21"/>
    </row>
    <row r="676">
      <c r="B676" s="20"/>
      <c r="C676" s="21"/>
      <c r="D676" s="21"/>
      <c r="E676" s="21"/>
      <c r="F676" s="21"/>
      <c r="G676" s="21"/>
      <c r="H676" s="21"/>
      <c r="I676" s="21"/>
      <c r="J676" s="21"/>
      <c r="K676" s="21"/>
      <c r="L676" s="21"/>
    </row>
    <row r="677">
      <c r="B677" s="20"/>
      <c r="C677" s="21"/>
      <c r="D677" s="21"/>
      <c r="E677" s="21"/>
      <c r="F677" s="21"/>
      <c r="G677" s="21"/>
      <c r="H677" s="21"/>
      <c r="I677" s="21"/>
      <c r="J677" s="21"/>
      <c r="K677" s="21"/>
      <c r="L677" s="21"/>
    </row>
    <row r="678">
      <c r="B678" s="20"/>
      <c r="C678" s="21"/>
      <c r="D678" s="21"/>
      <c r="E678" s="21"/>
      <c r="F678" s="21"/>
      <c r="G678" s="21"/>
      <c r="H678" s="21"/>
      <c r="I678" s="21"/>
      <c r="J678" s="21"/>
      <c r="K678" s="21"/>
      <c r="L678" s="21"/>
    </row>
    <row r="679">
      <c r="B679" s="20"/>
      <c r="C679" s="21"/>
      <c r="D679" s="21"/>
      <c r="E679" s="21"/>
      <c r="F679" s="21"/>
      <c r="G679" s="21"/>
      <c r="H679" s="21"/>
      <c r="I679" s="21"/>
      <c r="J679" s="21"/>
      <c r="K679" s="21"/>
      <c r="L679" s="21"/>
    </row>
    <row r="680">
      <c r="B680" s="20"/>
      <c r="C680" s="21"/>
      <c r="D680" s="21"/>
      <c r="E680" s="21"/>
      <c r="F680" s="21"/>
      <c r="G680" s="21"/>
      <c r="H680" s="21"/>
      <c r="I680" s="21"/>
      <c r="J680" s="21"/>
      <c r="K680" s="21"/>
      <c r="L680" s="21"/>
    </row>
    <row r="681">
      <c r="B681" s="20"/>
      <c r="C681" s="21"/>
      <c r="D681" s="21"/>
      <c r="E681" s="21"/>
      <c r="F681" s="21"/>
      <c r="G681" s="21"/>
      <c r="H681" s="21"/>
      <c r="I681" s="21"/>
      <c r="J681" s="21"/>
      <c r="K681" s="21"/>
      <c r="L681" s="21"/>
    </row>
    <row r="682">
      <c r="B682" s="20"/>
      <c r="C682" s="21"/>
      <c r="D682" s="21"/>
      <c r="E682" s="21"/>
      <c r="F682" s="21"/>
      <c r="G682" s="21"/>
      <c r="H682" s="21"/>
      <c r="I682" s="21"/>
      <c r="J682" s="21"/>
      <c r="K682" s="21"/>
      <c r="L682" s="21"/>
    </row>
    <row r="683">
      <c r="B683" s="20"/>
      <c r="C683" s="21"/>
      <c r="D683" s="21"/>
      <c r="E683" s="21"/>
      <c r="F683" s="21"/>
      <c r="G683" s="21"/>
      <c r="H683" s="21"/>
      <c r="I683" s="21"/>
      <c r="J683" s="21"/>
      <c r="K683" s="21"/>
      <c r="L683" s="21"/>
    </row>
    <row r="684">
      <c r="B684" s="20"/>
      <c r="C684" s="21"/>
      <c r="D684" s="21"/>
      <c r="E684" s="21"/>
      <c r="F684" s="21"/>
      <c r="G684" s="21"/>
      <c r="H684" s="21"/>
      <c r="I684" s="21"/>
      <c r="J684" s="21"/>
      <c r="K684" s="21"/>
      <c r="L684" s="21"/>
    </row>
    <row r="685">
      <c r="B685" s="20"/>
      <c r="C685" s="21"/>
      <c r="D685" s="21"/>
      <c r="E685" s="21"/>
      <c r="F685" s="21"/>
      <c r="G685" s="21"/>
      <c r="H685" s="21"/>
      <c r="I685" s="21"/>
      <c r="J685" s="21"/>
      <c r="K685" s="21"/>
      <c r="L685" s="21"/>
    </row>
    <row r="686">
      <c r="B686" s="20"/>
      <c r="C686" s="21"/>
      <c r="D686" s="21"/>
      <c r="E686" s="21"/>
      <c r="F686" s="21"/>
      <c r="G686" s="21"/>
      <c r="H686" s="21"/>
      <c r="I686" s="21"/>
      <c r="J686" s="21"/>
      <c r="K686" s="21"/>
      <c r="L686" s="21"/>
    </row>
    <row r="687">
      <c r="B687" s="20"/>
      <c r="C687" s="21"/>
      <c r="D687" s="21"/>
      <c r="E687" s="21"/>
      <c r="F687" s="21"/>
      <c r="G687" s="21"/>
      <c r="H687" s="21"/>
      <c r="I687" s="21"/>
      <c r="J687" s="21"/>
      <c r="K687" s="21"/>
      <c r="L687" s="21"/>
    </row>
    <row r="688">
      <c r="B688" s="20"/>
      <c r="C688" s="21"/>
      <c r="D688" s="21"/>
      <c r="E688" s="21"/>
      <c r="F688" s="21"/>
      <c r="G688" s="21"/>
      <c r="H688" s="21"/>
      <c r="I688" s="21"/>
      <c r="J688" s="21"/>
      <c r="K688" s="21"/>
      <c r="L688" s="21"/>
    </row>
    <row r="689">
      <c r="B689" s="20"/>
      <c r="C689" s="21"/>
      <c r="D689" s="21"/>
      <c r="E689" s="21"/>
      <c r="F689" s="21"/>
      <c r="G689" s="21"/>
      <c r="H689" s="21"/>
      <c r="I689" s="21"/>
      <c r="J689" s="21"/>
      <c r="K689" s="21"/>
      <c r="L689" s="21"/>
    </row>
    <row r="690">
      <c r="B690" s="20"/>
      <c r="C690" s="21"/>
      <c r="D690" s="21"/>
      <c r="E690" s="21"/>
      <c r="F690" s="21"/>
      <c r="G690" s="21"/>
      <c r="H690" s="21"/>
      <c r="I690" s="21"/>
      <c r="J690" s="21"/>
      <c r="K690" s="21"/>
      <c r="L690" s="21"/>
    </row>
    <row r="691">
      <c r="B691" s="20"/>
      <c r="C691" s="21"/>
      <c r="D691" s="21"/>
      <c r="E691" s="21"/>
      <c r="F691" s="21"/>
      <c r="G691" s="21"/>
      <c r="H691" s="21"/>
      <c r="I691" s="21"/>
      <c r="J691" s="21"/>
      <c r="K691" s="21"/>
      <c r="L691" s="21"/>
    </row>
    <row r="692">
      <c r="B692" s="20"/>
      <c r="C692" s="21"/>
      <c r="D692" s="21"/>
      <c r="E692" s="21"/>
      <c r="F692" s="21"/>
      <c r="G692" s="21"/>
      <c r="H692" s="21"/>
      <c r="I692" s="21"/>
      <c r="J692" s="21"/>
      <c r="K692" s="21"/>
      <c r="L692" s="21"/>
    </row>
    <row r="693">
      <c r="B693" s="20"/>
      <c r="C693" s="21"/>
      <c r="D693" s="21"/>
      <c r="E693" s="21"/>
      <c r="F693" s="21"/>
      <c r="G693" s="21"/>
      <c r="H693" s="21"/>
      <c r="I693" s="21"/>
      <c r="J693" s="21"/>
      <c r="K693" s="21"/>
      <c r="L693" s="21"/>
    </row>
    <row r="694">
      <c r="B694" s="20"/>
      <c r="C694" s="21"/>
      <c r="D694" s="21"/>
      <c r="E694" s="21"/>
      <c r="F694" s="21"/>
      <c r="G694" s="21"/>
      <c r="H694" s="21"/>
      <c r="I694" s="21"/>
      <c r="J694" s="21"/>
      <c r="K694" s="21"/>
      <c r="L694" s="21"/>
    </row>
    <row r="695">
      <c r="B695" s="20"/>
      <c r="C695" s="21"/>
      <c r="D695" s="21"/>
      <c r="E695" s="21"/>
      <c r="F695" s="21"/>
      <c r="G695" s="21"/>
      <c r="H695" s="21"/>
      <c r="I695" s="21"/>
      <c r="J695" s="21"/>
      <c r="K695" s="21"/>
      <c r="L695" s="21"/>
    </row>
    <row r="696">
      <c r="B696" s="20"/>
      <c r="C696" s="21"/>
      <c r="D696" s="21"/>
      <c r="E696" s="21"/>
      <c r="F696" s="21"/>
      <c r="G696" s="21"/>
      <c r="H696" s="21"/>
      <c r="I696" s="21"/>
      <c r="J696" s="21"/>
      <c r="K696" s="21"/>
      <c r="L696" s="21"/>
    </row>
    <row r="697">
      <c r="B697" s="20"/>
      <c r="C697" s="21"/>
      <c r="D697" s="21"/>
      <c r="E697" s="21"/>
      <c r="F697" s="21"/>
      <c r="G697" s="21"/>
      <c r="H697" s="21"/>
      <c r="I697" s="21"/>
      <c r="J697" s="21"/>
      <c r="K697" s="21"/>
      <c r="L697" s="21"/>
    </row>
    <row r="698">
      <c r="B698" s="20"/>
      <c r="C698" s="21"/>
      <c r="D698" s="21"/>
      <c r="E698" s="21"/>
      <c r="F698" s="21"/>
      <c r="G698" s="21"/>
      <c r="H698" s="21"/>
      <c r="I698" s="21"/>
      <c r="J698" s="21"/>
      <c r="K698" s="21"/>
      <c r="L698" s="21"/>
    </row>
    <row r="699">
      <c r="B699" s="20"/>
      <c r="C699" s="21"/>
      <c r="D699" s="21"/>
      <c r="E699" s="21"/>
      <c r="F699" s="21"/>
      <c r="G699" s="21"/>
      <c r="H699" s="21"/>
      <c r="I699" s="21"/>
      <c r="J699" s="21"/>
      <c r="K699" s="21"/>
      <c r="L699" s="21"/>
    </row>
    <row r="700">
      <c r="B700" s="20"/>
      <c r="C700" s="21"/>
      <c r="D700" s="21"/>
      <c r="E700" s="21"/>
      <c r="F700" s="21"/>
      <c r="G700" s="21"/>
      <c r="H700" s="21"/>
      <c r="I700" s="21"/>
      <c r="J700" s="21"/>
      <c r="K700" s="21"/>
      <c r="L700" s="21"/>
    </row>
    <row r="701">
      <c r="B701" s="20"/>
      <c r="C701" s="21"/>
      <c r="D701" s="21"/>
      <c r="E701" s="21"/>
      <c r="F701" s="21"/>
      <c r="G701" s="21"/>
      <c r="H701" s="21"/>
      <c r="I701" s="21"/>
      <c r="J701" s="21"/>
      <c r="K701" s="21"/>
      <c r="L701" s="21"/>
    </row>
    <row r="702">
      <c r="B702" s="20"/>
      <c r="C702" s="21"/>
      <c r="D702" s="21"/>
      <c r="E702" s="21"/>
      <c r="F702" s="21"/>
      <c r="G702" s="21"/>
      <c r="H702" s="21"/>
      <c r="I702" s="21"/>
      <c r="J702" s="21"/>
      <c r="K702" s="21"/>
      <c r="L702" s="21"/>
    </row>
    <row r="703">
      <c r="B703" s="20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>
      <c r="B704" s="20"/>
      <c r="C704" s="21"/>
      <c r="D704" s="21"/>
      <c r="E704" s="21"/>
      <c r="F704" s="21"/>
      <c r="G704" s="21"/>
      <c r="H704" s="21"/>
      <c r="I704" s="21"/>
      <c r="J704" s="21"/>
      <c r="K704" s="21"/>
      <c r="L704" s="21"/>
    </row>
    <row r="705">
      <c r="B705" s="20"/>
      <c r="C705" s="21"/>
      <c r="D705" s="21"/>
      <c r="E705" s="21"/>
      <c r="F705" s="21"/>
      <c r="G705" s="21"/>
      <c r="H705" s="21"/>
      <c r="I705" s="21"/>
      <c r="J705" s="21"/>
      <c r="K705" s="21"/>
      <c r="L705" s="21"/>
    </row>
    <row r="706">
      <c r="B706" s="20"/>
      <c r="C706" s="21"/>
      <c r="D706" s="21"/>
      <c r="E706" s="21"/>
      <c r="F706" s="21"/>
      <c r="G706" s="21"/>
      <c r="H706" s="21"/>
      <c r="I706" s="21"/>
      <c r="J706" s="21"/>
      <c r="K706" s="21"/>
      <c r="L706" s="21"/>
    </row>
    <row r="707">
      <c r="B707" s="20"/>
      <c r="C707" s="21"/>
      <c r="D707" s="21"/>
      <c r="E707" s="21"/>
      <c r="F707" s="21"/>
      <c r="G707" s="21"/>
      <c r="H707" s="21"/>
      <c r="I707" s="21"/>
      <c r="J707" s="21"/>
      <c r="K707" s="21"/>
      <c r="L707" s="21"/>
    </row>
    <row r="708">
      <c r="B708" s="20"/>
      <c r="C708" s="21"/>
      <c r="D708" s="21"/>
      <c r="E708" s="21"/>
      <c r="F708" s="21"/>
      <c r="G708" s="21"/>
      <c r="H708" s="21"/>
      <c r="I708" s="21"/>
      <c r="J708" s="21"/>
      <c r="K708" s="21"/>
      <c r="L708" s="21"/>
    </row>
    <row r="709">
      <c r="B709" s="20"/>
      <c r="C709" s="21"/>
      <c r="D709" s="21"/>
      <c r="E709" s="21"/>
      <c r="F709" s="21"/>
      <c r="G709" s="21"/>
      <c r="H709" s="21"/>
      <c r="I709" s="21"/>
      <c r="J709" s="21"/>
      <c r="K709" s="21"/>
      <c r="L709" s="21"/>
    </row>
    <row r="710">
      <c r="B710" s="20"/>
      <c r="C710" s="21"/>
      <c r="D710" s="21"/>
      <c r="E710" s="21"/>
      <c r="F710" s="21"/>
      <c r="G710" s="21"/>
      <c r="H710" s="21"/>
      <c r="I710" s="21"/>
      <c r="J710" s="21"/>
      <c r="K710" s="21"/>
      <c r="L710" s="21"/>
    </row>
    <row r="711">
      <c r="B711" s="20"/>
      <c r="C711" s="21"/>
      <c r="D711" s="21"/>
      <c r="E711" s="21"/>
      <c r="F711" s="21"/>
      <c r="G711" s="21"/>
      <c r="H711" s="21"/>
      <c r="I711" s="21"/>
      <c r="J711" s="21"/>
      <c r="K711" s="21"/>
      <c r="L711" s="21"/>
    </row>
    <row r="712">
      <c r="B712" s="20"/>
      <c r="C712" s="21"/>
      <c r="D712" s="21"/>
      <c r="E712" s="21"/>
      <c r="F712" s="21"/>
      <c r="G712" s="21"/>
      <c r="H712" s="21"/>
      <c r="I712" s="21"/>
      <c r="J712" s="21"/>
      <c r="K712" s="21"/>
      <c r="L712" s="21"/>
    </row>
    <row r="713">
      <c r="B713" s="20"/>
      <c r="C713" s="21"/>
      <c r="D713" s="21"/>
      <c r="E713" s="21"/>
      <c r="F713" s="21"/>
      <c r="G713" s="21"/>
      <c r="H713" s="21"/>
      <c r="I713" s="21"/>
      <c r="J713" s="21"/>
      <c r="K713" s="21"/>
      <c r="L713" s="21"/>
    </row>
    <row r="714">
      <c r="B714" s="20"/>
      <c r="C714" s="21"/>
      <c r="D714" s="21"/>
      <c r="E714" s="21"/>
      <c r="F714" s="21"/>
      <c r="G714" s="21"/>
      <c r="H714" s="21"/>
      <c r="I714" s="21"/>
      <c r="J714" s="21"/>
      <c r="K714" s="21"/>
      <c r="L714" s="21"/>
    </row>
    <row r="715">
      <c r="B715" s="20"/>
      <c r="C715" s="21"/>
      <c r="D715" s="21"/>
      <c r="E715" s="21"/>
      <c r="F715" s="21"/>
      <c r="G715" s="21"/>
      <c r="H715" s="21"/>
      <c r="I715" s="21"/>
      <c r="J715" s="21"/>
      <c r="K715" s="21"/>
      <c r="L715" s="21"/>
    </row>
    <row r="716">
      <c r="B716" s="20"/>
      <c r="C716" s="21"/>
      <c r="D716" s="21"/>
      <c r="E716" s="21"/>
      <c r="F716" s="21"/>
      <c r="G716" s="21"/>
      <c r="H716" s="21"/>
      <c r="I716" s="21"/>
      <c r="J716" s="21"/>
      <c r="K716" s="21"/>
      <c r="L716" s="21"/>
    </row>
    <row r="717">
      <c r="B717" s="20"/>
      <c r="C717" s="21"/>
      <c r="D717" s="21"/>
      <c r="E717" s="21"/>
      <c r="F717" s="21"/>
      <c r="G717" s="21"/>
      <c r="H717" s="21"/>
      <c r="I717" s="21"/>
      <c r="J717" s="21"/>
      <c r="K717" s="21"/>
      <c r="L717" s="21"/>
    </row>
    <row r="718">
      <c r="B718" s="20"/>
      <c r="C718" s="21"/>
      <c r="D718" s="21"/>
      <c r="E718" s="21"/>
      <c r="F718" s="21"/>
      <c r="G718" s="21"/>
      <c r="H718" s="21"/>
      <c r="I718" s="21"/>
      <c r="J718" s="21"/>
      <c r="K718" s="21"/>
      <c r="L718" s="21"/>
    </row>
    <row r="719">
      <c r="B719" s="20"/>
      <c r="C719" s="21"/>
      <c r="D719" s="21"/>
      <c r="E719" s="21"/>
      <c r="F719" s="21"/>
      <c r="G719" s="21"/>
      <c r="H719" s="21"/>
      <c r="I719" s="21"/>
      <c r="J719" s="21"/>
      <c r="K719" s="21"/>
      <c r="L719" s="21"/>
    </row>
    <row r="720">
      <c r="B720" s="20"/>
      <c r="C720" s="21"/>
      <c r="D720" s="21"/>
      <c r="E720" s="21"/>
      <c r="F720" s="21"/>
      <c r="G720" s="21"/>
      <c r="H720" s="21"/>
      <c r="I720" s="21"/>
      <c r="J720" s="21"/>
      <c r="K720" s="21"/>
      <c r="L720" s="21"/>
    </row>
    <row r="721">
      <c r="B721" s="20"/>
      <c r="C721" s="21"/>
      <c r="D721" s="21"/>
      <c r="E721" s="21"/>
      <c r="F721" s="21"/>
      <c r="G721" s="21"/>
      <c r="H721" s="21"/>
      <c r="I721" s="21"/>
      <c r="J721" s="21"/>
      <c r="K721" s="21"/>
      <c r="L721" s="21"/>
    </row>
    <row r="722">
      <c r="B722" s="20"/>
      <c r="C722" s="21"/>
      <c r="D722" s="21"/>
      <c r="E722" s="21"/>
      <c r="F722" s="21"/>
      <c r="G722" s="21"/>
      <c r="H722" s="21"/>
      <c r="I722" s="21"/>
      <c r="J722" s="21"/>
      <c r="K722" s="21"/>
      <c r="L722" s="21"/>
    </row>
    <row r="723">
      <c r="B723" s="20"/>
      <c r="C723" s="21"/>
      <c r="D723" s="21"/>
      <c r="E723" s="21"/>
      <c r="F723" s="21"/>
      <c r="G723" s="21"/>
      <c r="H723" s="21"/>
      <c r="I723" s="21"/>
      <c r="J723" s="21"/>
      <c r="K723" s="21"/>
      <c r="L723" s="21"/>
    </row>
    <row r="724">
      <c r="B724" s="20"/>
      <c r="C724" s="21"/>
      <c r="D724" s="21"/>
      <c r="E724" s="21"/>
      <c r="F724" s="21"/>
      <c r="G724" s="21"/>
      <c r="H724" s="21"/>
      <c r="I724" s="21"/>
      <c r="J724" s="21"/>
      <c r="K724" s="21"/>
      <c r="L724" s="21"/>
    </row>
    <row r="725">
      <c r="B725" s="20"/>
      <c r="C725" s="21"/>
      <c r="D725" s="21"/>
      <c r="E725" s="21"/>
      <c r="F725" s="21"/>
      <c r="G725" s="21"/>
      <c r="H725" s="21"/>
      <c r="I725" s="21"/>
      <c r="J725" s="21"/>
      <c r="K725" s="21"/>
      <c r="L725" s="21"/>
    </row>
    <row r="726">
      <c r="B726" s="20"/>
      <c r="C726" s="21"/>
      <c r="D726" s="21"/>
      <c r="E726" s="21"/>
      <c r="F726" s="21"/>
      <c r="G726" s="21"/>
      <c r="H726" s="21"/>
      <c r="I726" s="21"/>
      <c r="J726" s="21"/>
      <c r="K726" s="21"/>
      <c r="L726" s="21"/>
    </row>
    <row r="727">
      <c r="B727" s="20"/>
      <c r="C727" s="21"/>
      <c r="D727" s="21"/>
      <c r="E727" s="21"/>
      <c r="F727" s="21"/>
      <c r="G727" s="21"/>
      <c r="H727" s="21"/>
      <c r="I727" s="21"/>
      <c r="J727" s="21"/>
      <c r="K727" s="21"/>
      <c r="L727" s="21"/>
    </row>
    <row r="728">
      <c r="B728" s="20"/>
      <c r="C728" s="21"/>
      <c r="D728" s="21"/>
      <c r="E728" s="21"/>
      <c r="F728" s="21"/>
      <c r="G728" s="21"/>
      <c r="H728" s="21"/>
      <c r="I728" s="21"/>
      <c r="J728" s="21"/>
      <c r="K728" s="21"/>
      <c r="L728" s="21"/>
    </row>
    <row r="729">
      <c r="B729" s="20"/>
      <c r="C729" s="21"/>
      <c r="D729" s="21"/>
      <c r="E729" s="21"/>
      <c r="F729" s="21"/>
      <c r="G729" s="21"/>
      <c r="H729" s="21"/>
      <c r="I729" s="21"/>
      <c r="J729" s="21"/>
      <c r="K729" s="21"/>
      <c r="L729" s="21"/>
    </row>
    <row r="730">
      <c r="B730" s="20"/>
      <c r="C730" s="21"/>
      <c r="D730" s="21"/>
      <c r="E730" s="21"/>
      <c r="F730" s="21"/>
      <c r="G730" s="21"/>
      <c r="H730" s="21"/>
      <c r="I730" s="21"/>
      <c r="J730" s="21"/>
      <c r="K730" s="21"/>
      <c r="L730" s="21"/>
    </row>
    <row r="731">
      <c r="B731" s="20"/>
      <c r="C731" s="21"/>
      <c r="D731" s="21"/>
      <c r="E731" s="21"/>
      <c r="F731" s="21"/>
      <c r="G731" s="21"/>
      <c r="H731" s="21"/>
      <c r="I731" s="21"/>
      <c r="J731" s="21"/>
      <c r="K731" s="21"/>
      <c r="L731" s="21"/>
    </row>
    <row r="732">
      <c r="B732" s="20"/>
      <c r="C732" s="21"/>
      <c r="D732" s="21"/>
      <c r="E732" s="21"/>
      <c r="F732" s="21"/>
      <c r="G732" s="21"/>
      <c r="H732" s="21"/>
      <c r="I732" s="21"/>
      <c r="J732" s="21"/>
      <c r="K732" s="21"/>
      <c r="L732" s="21"/>
    </row>
    <row r="733">
      <c r="B733" s="20"/>
      <c r="C733" s="21"/>
      <c r="D733" s="21"/>
      <c r="E733" s="21"/>
      <c r="F733" s="21"/>
      <c r="G733" s="21"/>
      <c r="H733" s="21"/>
      <c r="I733" s="21"/>
      <c r="J733" s="21"/>
      <c r="K733" s="21"/>
      <c r="L733" s="21"/>
    </row>
    <row r="734">
      <c r="B734" s="20"/>
      <c r="C734" s="21"/>
      <c r="D734" s="21"/>
      <c r="E734" s="21"/>
      <c r="F734" s="21"/>
      <c r="G734" s="21"/>
      <c r="H734" s="21"/>
      <c r="I734" s="21"/>
      <c r="J734" s="21"/>
      <c r="K734" s="21"/>
      <c r="L734" s="21"/>
    </row>
    <row r="735">
      <c r="B735" s="20"/>
      <c r="C735" s="21"/>
      <c r="D735" s="21"/>
      <c r="E735" s="21"/>
      <c r="F735" s="21"/>
      <c r="G735" s="21"/>
      <c r="H735" s="21"/>
      <c r="I735" s="21"/>
      <c r="J735" s="21"/>
      <c r="K735" s="21"/>
      <c r="L735" s="21"/>
    </row>
    <row r="736">
      <c r="B736" s="20"/>
      <c r="C736" s="21"/>
      <c r="D736" s="21"/>
      <c r="E736" s="21"/>
      <c r="F736" s="21"/>
      <c r="G736" s="21"/>
      <c r="H736" s="21"/>
      <c r="I736" s="21"/>
      <c r="J736" s="21"/>
      <c r="K736" s="21"/>
      <c r="L736" s="21"/>
    </row>
    <row r="737">
      <c r="B737" s="20"/>
      <c r="C737" s="21"/>
      <c r="D737" s="21"/>
      <c r="E737" s="21"/>
      <c r="F737" s="21"/>
      <c r="G737" s="21"/>
      <c r="H737" s="21"/>
      <c r="I737" s="21"/>
      <c r="J737" s="21"/>
      <c r="K737" s="21"/>
      <c r="L737" s="21"/>
    </row>
    <row r="738">
      <c r="B738" s="20"/>
      <c r="C738" s="21"/>
      <c r="D738" s="21"/>
      <c r="E738" s="21"/>
      <c r="F738" s="21"/>
      <c r="G738" s="21"/>
      <c r="H738" s="21"/>
      <c r="I738" s="21"/>
      <c r="J738" s="21"/>
      <c r="K738" s="21"/>
      <c r="L738" s="21"/>
    </row>
    <row r="739">
      <c r="B739" s="20"/>
      <c r="C739" s="21"/>
      <c r="D739" s="21"/>
      <c r="E739" s="21"/>
      <c r="F739" s="21"/>
      <c r="G739" s="21"/>
      <c r="H739" s="21"/>
      <c r="I739" s="21"/>
      <c r="J739" s="21"/>
      <c r="K739" s="21"/>
      <c r="L739" s="21"/>
    </row>
    <row r="740">
      <c r="B740" s="20"/>
      <c r="C740" s="21"/>
      <c r="D740" s="21"/>
      <c r="E740" s="21"/>
      <c r="F740" s="21"/>
      <c r="G740" s="21"/>
      <c r="H740" s="21"/>
      <c r="I740" s="21"/>
      <c r="J740" s="21"/>
      <c r="K740" s="21"/>
      <c r="L740" s="21"/>
    </row>
    <row r="741">
      <c r="B741" s="20"/>
      <c r="C741" s="21"/>
      <c r="D741" s="21"/>
      <c r="E741" s="21"/>
      <c r="F741" s="21"/>
      <c r="G741" s="21"/>
      <c r="H741" s="21"/>
      <c r="I741" s="21"/>
      <c r="J741" s="21"/>
      <c r="K741" s="21"/>
      <c r="L741" s="21"/>
    </row>
    <row r="742">
      <c r="B742" s="20"/>
      <c r="C742" s="21"/>
      <c r="D742" s="21"/>
      <c r="E742" s="21"/>
      <c r="F742" s="21"/>
      <c r="G742" s="21"/>
      <c r="H742" s="21"/>
      <c r="I742" s="21"/>
      <c r="J742" s="21"/>
      <c r="K742" s="21"/>
      <c r="L742" s="21"/>
    </row>
    <row r="743">
      <c r="B743" s="20"/>
      <c r="C743" s="21"/>
      <c r="D743" s="21"/>
      <c r="E743" s="21"/>
      <c r="F743" s="21"/>
      <c r="G743" s="21"/>
      <c r="H743" s="21"/>
      <c r="I743" s="21"/>
      <c r="J743" s="21"/>
      <c r="K743" s="21"/>
      <c r="L743" s="21"/>
    </row>
    <row r="744">
      <c r="B744" s="20"/>
      <c r="C744" s="21"/>
      <c r="D744" s="21"/>
      <c r="E744" s="21"/>
      <c r="F744" s="21"/>
      <c r="G744" s="21"/>
      <c r="H744" s="21"/>
      <c r="I744" s="21"/>
      <c r="J744" s="21"/>
      <c r="K744" s="21"/>
      <c r="L744" s="21"/>
    </row>
    <row r="745">
      <c r="B745" s="20"/>
      <c r="C745" s="21"/>
      <c r="D745" s="21"/>
      <c r="E745" s="21"/>
      <c r="F745" s="21"/>
      <c r="G745" s="21"/>
      <c r="H745" s="21"/>
      <c r="I745" s="21"/>
      <c r="J745" s="21"/>
      <c r="K745" s="21"/>
      <c r="L745" s="21"/>
    </row>
    <row r="746">
      <c r="B746" s="20"/>
      <c r="C746" s="21"/>
      <c r="D746" s="21"/>
      <c r="E746" s="21"/>
      <c r="F746" s="21"/>
      <c r="G746" s="21"/>
      <c r="H746" s="21"/>
      <c r="I746" s="21"/>
      <c r="J746" s="21"/>
      <c r="K746" s="21"/>
      <c r="L746" s="21"/>
    </row>
    <row r="747">
      <c r="B747" s="20"/>
      <c r="C747" s="21"/>
      <c r="D747" s="21"/>
      <c r="E747" s="21"/>
      <c r="F747" s="21"/>
      <c r="G747" s="21"/>
      <c r="H747" s="21"/>
      <c r="I747" s="21"/>
      <c r="J747" s="21"/>
      <c r="K747" s="21"/>
      <c r="L747" s="21"/>
    </row>
    <row r="748">
      <c r="B748" s="20"/>
      <c r="C748" s="21"/>
      <c r="D748" s="21"/>
      <c r="E748" s="21"/>
      <c r="F748" s="21"/>
      <c r="G748" s="21"/>
      <c r="H748" s="21"/>
      <c r="I748" s="21"/>
      <c r="J748" s="21"/>
      <c r="K748" s="21"/>
      <c r="L748" s="21"/>
    </row>
    <row r="749">
      <c r="B749" s="20"/>
      <c r="C749" s="21"/>
      <c r="D749" s="21"/>
      <c r="E749" s="21"/>
      <c r="F749" s="21"/>
      <c r="G749" s="21"/>
      <c r="H749" s="21"/>
      <c r="I749" s="21"/>
      <c r="J749" s="21"/>
      <c r="K749" s="21"/>
      <c r="L749" s="21"/>
    </row>
    <row r="750">
      <c r="B750" s="20"/>
      <c r="C750" s="21"/>
      <c r="D750" s="21"/>
      <c r="E750" s="21"/>
      <c r="F750" s="21"/>
      <c r="G750" s="21"/>
      <c r="H750" s="21"/>
      <c r="I750" s="21"/>
      <c r="J750" s="21"/>
      <c r="K750" s="21"/>
      <c r="L750" s="21"/>
    </row>
    <row r="751">
      <c r="B751" s="20"/>
      <c r="C751" s="21"/>
      <c r="D751" s="21"/>
      <c r="E751" s="21"/>
      <c r="F751" s="21"/>
      <c r="G751" s="21"/>
      <c r="H751" s="21"/>
      <c r="I751" s="21"/>
      <c r="J751" s="21"/>
      <c r="K751" s="21"/>
      <c r="L751" s="21"/>
    </row>
    <row r="752">
      <c r="B752" s="20"/>
      <c r="C752" s="21"/>
      <c r="D752" s="21"/>
      <c r="E752" s="21"/>
      <c r="F752" s="21"/>
      <c r="G752" s="21"/>
      <c r="H752" s="21"/>
      <c r="I752" s="21"/>
      <c r="J752" s="21"/>
      <c r="K752" s="21"/>
      <c r="L752" s="21"/>
    </row>
    <row r="753">
      <c r="B753" s="20"/>
      <c r="C753" s="21"/>
      <c r="D753" s="21"/>
      <c r="E753" s="21"/>
      <c r="F753" s="21"/>
      <c r="G753" s="21"/>
      <c r="H753" s="21"/>
      <c r="I753" s="21"/>
      <c r="J753" s="21"/>
      <c r="K753" s="21"/>
      <c r="L753" s="21"/>
    </row>
    <row r="754">
      <c r="B754" s="20"/>
      <c r="C754" s="21"/>
      <c r="D754" s="21"/>
      <c r="E754" s="21"/>
      <c r="F754" s="21"/>
      <c r="G754" s="21"/>
      <c r="H754" s="21"/>
      <c r="I754" s="21"/>
      <c r="J754" s="21"/>
      <c r="K754" s="21"/>
      <c r="L754" s="21"/>
    </row>
    <row r="755">
      <c r="B755" s="20"/>
      <c r="C755" s="21"/>
      <c r="D755" s="21"/>
      <c r="E755" s="21"/>
      <c r="F755" s="21"/>
      <c r="G755" s="21"/>
      <c r="H755" s="21"/>
      <c r="I755" s="21"/>
      <c r="J755" s="21"/>
      <c r="K755" s="21"/>
      <c r="L755" s="21"/>
    </row>
    <row r="756">
      <c r="B756" s="20"/>
      <c r="C756" s="21"/>
      <c r="D756" s="21"/>
      <c r="E756" s="21"/>
      <c r="F756" s="21"/>
      <c r="G756" s="21"/>
      <c r="H756" s="21"/>
      <c r="I756" s="21"/>
      <c r="J756" s="21"/>
      <c r="K756" s="21"/>
      <c r="L756" s="21"/>
    </row>
    <row r="757">
      <c r="B757" s="20"/>
      <c r="C757" s="21"/>
      <c r="D757" s="21"/>
      <c r="E757" s="21"/>
      <c r="F757" s="21"/>
      <c r="G757" s="21"/>
      <c r="H757" s="21"/>
      <c r="I757" s="21"/>
      <c r="J757" s="21"/>
      <c r="K757" s="21"/>
      <c r="L757" s="21"/>
    </row>
    <row r="758">
      <c r="B758" s="20"/>
      <c r="C758" s="21"/>
      <c r="D758" s="21"/>
      <c r="E758" s="21"/>
      <c r="F758" s="21"/>
      <c r="G758" s="21"/>
      <c r="H758" s="21"/>
      <c r="I758" s="21"/>
      <c r="J758" s="21"/>
      <c r="K758" s="21"/>
      <c r="L758" s="21"/>
    </row>
    <row r="759">
      <c r="B759" s="20"/>
      <c r="C759" s="21"/>
      <c r="D759" s="21"/>
      <c r="E759" s="21"/>
      <c r="F759" s="21"/>
      <c r="G759" s="21"/>
      <c r="H759" s="21"/>
      <c r="I759" s="21"/>
      <c r="J759" s="21"/>
      <c r="K759" s="21"/>
      <c r="L759" s="21"/>
    </row>
    <row r="760">
      <c r="B760" s="20"/>
      <c r="C760" s="21"/>
      <c r="D760" s="21"/>
      <c r="E760" s="21"/>
      <c r="F760" s="21"/>
      <c r="G760" s="21"/>
      <c r="H760" s="21"/>
      <c r="I760" s="21"/>
      <c r="J760" s="21"/>
      <c r="K760" s="21"/>
      <c r="L760" s="21"/>
    </row>
    <row r="761">
      <c r="B761" s="20"/>
      <c r="C761" s="21"/>
      <c r="D761" s="21"/>
      <c r="E761" s="21"/>
      <c r="F761" s="21"/>
      <c r="G761" s="21"/>
      <c r="H761" s="21"/>
      <c r="I761" s="21"/>
      <c r="J761" s="21"/>
      <c r="K761" s="21"/>
      <c r="L761" s="21"/>
    </row>
    <row r="762">
      <c r="B762" s="20"/>
      <c r="C762" s="21"/>
      <c r="D762" s="21"/>
      <c r="E762" s="21"/>
      <c r="F762" s="21"/>
      <c r="G762" s="21"/>
      <c r="H762" s="21"/>
      <c r="I762" s="21"/>
      <c r="J762" s="21"/>
      <c r="K762" s="21"/>
      <c r="L762" s="21"/>
    </row>
    <row r="763">
      <c r="B763" s="20"/>
      <c r="C763" s="21"/>
      <c r="D763" s="21"/>
      <c r="E763" s="21"/>
      <c r="F763" s="21"/>
      <c r="G763" s="21"/>
      <c r="H763" s="21"/>
      <c r="I763" s="21"/>
      <c r="J763" s="21"/>
      <c r="K763" s="21"/>
      <c r="L763" s="21"/>
    </row>
    <row r="764">
      <c r="B764" s="20"/>
      <c r="C764" s="21"/>
      <c r="D764" s="21"/>
      <c r="E764" s="21"/>
      <c r="F764" s="21"/>
      <c r="G764" s="21"/>
      <c r="H764" s="21"/>
      <c r="I764" s="21"/>
      <c r="J764" s="21"/>
      <c r="K764" s="21"/>
      <c r="L764" s="21"/>
    </row>
    <row r="765">
      <c r="B765" s="20"/>
      <c r="C765" s="21"/>
      <c r="D765" s="21"/>
      <c r="E765" s="21"/>
      <c r="F765" s="21"/>
      <c r="G765" s="21"/>
      <c r="H765" s="21"/>
      <c r="I765" s="21"/>
      <c r="J765" s="21"/>
      <c r="K765" s="21"/>
      <c r="L765" s="21"/>
    </row>
    <row r="766">
      <c r="B766" s="20"/>
      <c r="C766" s="21"/>
      <c r="D766" s="21"/>
      <c r="E766" s="21"/>
      <c r="F766" s="21"/>
      <c r="G766" s="21"/>
      <c r="H766" s="21"/>
      <c r="I766" s="21"/>
      <c r="J766" s="21"/>
      <c r="K766" s="21"/>
      <c r="L766" s="21"/>
    </row>
    <row r="767">
      <c r="B767" s="20"/>
      <c r="C767" s="21"/>
      <c r="D767" s="21"/>
      <c r="E767" s="21"/>
      <c r="F767" s="21"/>
      <c r="G767" s="21"/>
      <c r="H767" s="21"/>
      <c r="I767" s="21"/>
      <c r="J767" s="21"/>
      <c r="K767" s="21"/>
      <c r="L767" s="21"/>
    </row>
    <row r="768">
      <c r="B768" s="20"/>
      <c r="C768" s="21"/>
      <c r="D768" s="21"/>
      <c r="E768" s="21"/>
      <c r="F768" s="21"/>
      <c r="G768" s="21"/>
      <c r="H768" s="21"/>
      <c r="I768" s="21"/>
      <c r="J768" s="21"/>
      <c r="K768" s="21"/>
      <c r="L768" s="21"/>
    </row>
    <row r="769">
      <c r="B769" s="20"/>
      <c r="C769" s="21"/>
      <c r="D769" s="21"/>
      <c r="E769" s="21"/>
      <c r="F769" s="21"/>
      <c r="G769" s="21"/>
      <c r="H769" s="21"/>
      <c r="I769" s="21"/>
      <c r="J769" s="21"/>
      <c r="K769" s="21"/>
      <c r="L769" s="21"/>
    </row>
    <row r="770">
      <c r="B770" s="20"/>
      <c r="C770" s="21"/>
      <c r="D770" s="21"/>
      <c r="E770" s="21"/>
      <c r="F770" s="21"/>
      <c r="G770" s="21"/>
      <c r="H770" s="21"/>
      <c r="I770" s="21"/>
      <c r="J770" s="21"/>
      <c r="K770" s="21"/>
      <c r="L770" s="21"/>
    </row>
    <row r="771">
      <c r="B771" s="20"/>
      <c r="C771" s="21"/>
      <c r="D771" s="21"/>
      <c r="E771" s="21"/>
      <c r="F771" s="21"/>
      <c r="G771" s="21"/>
      <c r="H771" s="21"/>
      <c r="I771" s="21"/>
      <c r="J771" s="21"/>
      <c r="K771" s="21"/>
      <c r="L771" s="21"/>
    </row>
    <row r="772">
      <c r="B772" s="20"/>
      <c r="C772" s="21"/>
      <c r="D772" s="21"/>
      <c r="E772" s="21"/>
      <c r="F772" s="21"/>
      <c r="G772" s="21"/>
      <c r="H772" s="21"/>
      <c r="I772" s="21"/>
      <c r="J772" s="21"/>
      <c r="K772" s="21"/>
      <c r="L772" s="21"/>
    </row>
    <row r="773">
      <c r="B773" s="20"/>
      <c r="C773" s="21"/>
      <c r="D773" s="21"/>
      <c r="E773" s="21"/>
      <c r="F773" s="21"/>
      <c r="G773" s="21"/>
      <c r="H773" s="21"/>
      <c r="I773" s="21"/>
      <c r="J773" s="21"/>
      <c r="K773" s="21"/>
      <c r="L773" s="21"/>
    </row>
    <row r="774">
      <c r="B774" s="20"/>
      <c r="C774" s="21"/>
      <c r="D774" s="21"/>
      <c r="E774" s="21"/>
      <c r="F774" s="21"/>
      <c r="G774" s="21"/>
      <c r="H774" s="21"/>
      <c r="I774" s="21"/>
      <c r="J774" s="21"/>
      <c r="K774" s="21"/>
      <c r="L774" s="21"/>
    </row>
    <row r="775">
      <c r="B775" s="20"/>
      <c r="C775" s="21"/>
      <c r="D775" s="21"/>
      <c r="E775" s="21"/>
      <c r="F775" s="21"/>
      <c r="G775" s="21"/>
      <c r="H775" s="21"/>
      <c r="I775" s="21"/>
      <c r="J775" s="21"/>
      <c r="K775" s="21"/>
      <c r="L775" s="21"/>
    </row>
    <row r="776">
      <c r="B776" s="20"/>
      <c r="C776" s="21"/>
      <c r="D776" s="21"/>
      <c r="E776" s="21"/>
      <c r="F776" s="21"/>
      <c r="G776" s="21"/>
      <c r="H776" s="21"/>
      <c r="I776" s="21"/>
      <c r="J776" s="21"/>
      <c r="K776" s="21"/>
      <c r="L776" s="21"/>
    </row>
    <row r="777">
      <c r="B777" s="20"/>
      <c r="C777" s="21"/>
      <c r="D777" s="21"/>
      <c r="E777" s="21"/>
      <c r="F777" s="21"/>
      <c r="G777" s="21"/>
      <c r="H777" s="21"/>
      <c r="I777" s="21"/>
      <c r="J777" s="21"/>
      <c r="K777" s="21"/>
      <c r="L777" s="21"/>
    </row>
    <row r="778">
      <c r="B778" s="20"/>
      <c r="C778" s="21"/>
      <c r="D778" s="21"/>
      <c r="E778" s="21"/>
      <c r="F778" s="21"/>
      <c r="G778" s="21"/>
      <c r="H778" s="21"/>
      <c r="I778" s="21"/>
      <c r="J778" s="21"/>
      <c r="K778" s="21"/>
      <c r="L778" s="21"/>
    </row>
    <row r="779">
      <c r="B779" s="20"/>
      <c r="C779" s="21"/>
      <c r="D779" s="21"/>
      <c r="E779" s="21"/>
      <c r="F779" s="21"/>
      <c r="G779" s="21"/>
      <c r="H779" s="21"/>
      <c r="I779" s="21"/>
      <c r="J779" s="21"/>
      <c r="K779" s="21"/>
      <c r="L779" s="21"/>
    </row>
    <row r="780">
      <c r="B780" s="20"/>
      <c r="C780" s="21"/>
      <c r="D780" s="21"/>
      <c r="E780" s="21"/>
      <c r="F780" s="21"/>
      <c r="G780" s="21"/>
      <c r="H780" s="21"/>
      <c r="I780" s="21"/>
      <c r="J780" s="21"/>
      <c r="K780" s="21"/>
      <c r="L780" s="21"/>
    </row>
    <row r="781">
      <c r="B781" s="20"/>
      <c r="C781" s="21"/>
      <c r="D781" s="21"/>
      <c r="E781" s="21"/>
      <c r="F781" s="21"/>
      <c r="G781" s="21"/>
      <c r="H781" s="21"/>
      <c r="I781" s="21"/>
      <c r="J781" s="21"/>
      <c r="K781" s="21"/>
      <c r="L781" s="21"/>
    </row>
    <row r="782">
      <c r="B782" s="20"/>
      <c r="C782" s="21"/>
      <c r="D782" s="21"/>
      <c r="E782" s="21"/>
      <c r="F782" s="21"/>
      <c r="G782" s="21"/>
      <c r="H782" s="21"/>
      <c r="I782" s="21"/>
      <c r="J782" s="21"/>
      <c r="K782" s="21"/>
      <c r="L782" s="21"/>
    </row>
    <row r="783">
      <c r="B783" s="20"/>
      <c r="C783" s="21"/>
      <c r="D783" s="21"/>
      <c r="E783" s="21"/>
      <c r="F783" s="21"/>
      <c r="G783" s="21"/>
      <c r="H783" s="21"/>
      <c r="I783" s="21"/>
      <c r="J783" s="21"/>
      <c r="K783" s="21"/>
      <c r="L783" s="21"/>
    </row>
    <row r="784">
      <c r="B784" s="20"/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>
      <c r="B785" s="20"/>
      <c r="C785" s="21"/>
      <c r="D785" s="21"/>
      <c r="E785" s="21"/>
      <c r="F785" s="21"/>
      <c r="G785" s="21"/>
      <c r="H785" s="21"/>
      <c r="I785" s="21"/>
      <c r="J785" s="21"/>
      <c r="K785" s="21"/>
      <c r="L785" s="21"/>
    </row>
    <row r="786">
      <c r="B786" s="20"/>
      <c r="C786" s="21"/>
      <c r="D786" s="21"/>
      <c r="E786" s="21"/>
      <c r="F786" s="21"/>
      <c r="G786" s="21"/>
      <c r="H786" s="21"/>
      <c r="I786" s="21"/>
      <c r="J786" s="21"/>
      <c r="K786" s="21"/>
      <c r="L786" s="21"/>
    </row>
    <row r="787">
      <c r="B787" s="20"/>
      <c r="C787" s="21"/>
      <c r="D787" s="21"/>
      <c r="E787" s="21"/>
      <c r="F787" s="21"/>
      <c r="G787" s="21"/>
      <c r="H787" s="21"/>
      <c r="I787" s="21"/>
      <c r="J787" s="21"/>
      <c r="K787" s="21"/>
      <c r="L787" s="21"/>
    </row>
    <row r="788">
      <c r="B788" s="20"/>
      <c r="C788" s="21"/>
      <c r="D788" s="21"/>
      <c r="E788" s="21"/>
      <c r="F788" s="21"/>
      <c r="G788" s="21"/>
      <c r="H788" s="21"/>
      <c r="I788" s="21"/>
      <c r="J788" s="21"/>
      <c r="K788" s="21"/>
      <c r="L788" s="21"/>
    </row>
    <row r="789">
      <c r="B789" s="20"/>
      <c r="C789" s="21"/>
      <c r="D789" s="21"/>
      <c r="E789" s="21"/>
      <c r="F789" s="21"/>
      <c r="G789" s="21"/>
      <c r="H789" s="21"/>
      <c r="I789" s="21"/>
      <c r="J789" s="21"/>
      <c r="K789" s="21"/>
      <c r="L789" s="21"/>
    </row>
    <row r="790">
      <c r="B790" s="20"/>
      <c r="C790" s="21"/>
      <c r="D790" s="21"/>
      <c r="E790" s="21"/>
      <c r="F790" s="21"/>
      <c r="G790" s="21"/>
      <c r="H790" s="21"/>
      <c r="I790" s="21"/>
      <c r="J790" s="21"/>
      <c r="K790" s="21"/>
      <c r="L790" s="21"/>
    </row>
    <row r="791">
      <c r="B791" s="20"/>
      <c r="C791" s="21"/>
      <c r="D791" s="21"/>
      <c r="E791" s="21"/>
      <c r="F791" s="21"/>
      <c r="G791" s="21"/>
      <c r="H791" s="21"/>
      <c r="I791" s="21"/>
      <c r="J791" s="21"/>
      <c r="K791" s="21"/>
      <c r="L791" s="21"/>
    </row>
    <row r="792">
      <c r="B792" s="20"/>
      <c r="C792" s="21"/>
      <c r="D792" s="21"/>
      <c r="E792" s="21"/>
      <c r="F792" s="21"/>
      <c r="G792" s="21"/>
      <c r="H792" s="21"/>
      <c r="I792" s="21"/>
      <c r="J792" s="21"/>
      <c r="K792" s="21"/>
      <c r="L792" s="21"/>
    </row>
    <row r="793">
      <c r="B793" s="20"/>
      <c r="C793" s="21"/>
      <c r="D793" s="21"/>
      <c r="E793" s="21"/>
      <c r="F793" s="21"/>
      <c r="G793" s="21"/>
      <c r="H793" s="21"/>
      <c r="I793" s="21"/>
      <c r="J793" s="21"/>
      <c r="K793" s="21"/>
      <c r="L793" s="21"/>
    </row>
    <row r="794">
      <c r="B794" s="20"/>
      <c r="C794" s="21"/>
      <c r="D794" s="21"/>
      <c r="E794" s="21"/>
      <c r="F794" s="21"/>
      <c r="G794" s="21"/>
      <c r="H794" s="21"/>
      <c r="I794" s="21"/>
      <c r="J794" s="21"/>
      <c r="K794" s="21"/>
      <c r="L794" s="21"/>
    </row>
    <row r="795">
      <c r="B795" s="20"/>
      <c r="C795" s="21"/>
      <c r="D795" s="21"/>
      <c r="E795" s="21"/>
      <c r="F795" s="21"/>
      <c r="G795" s="21"/>
      <c r="H795" s="21"/>
      <c r="I795" s="21"/>
      <c r="J795" s="21"/>
      <c r="K795" s="21"/>
      <c r="L795" s="21"/>
    </row>
    <row r="796">
      <c r="B796" s="20"/>
      <c r="C796" s="21"/>
      <c r="D796" s="21"/>
      <c r="E796" s="21"/>
      <c r="F796" s="21"/>
      <c r="G796" s="21"/>
      <c r="H796" s="21"/>
      <c r="I796" s="21"/>
      <c r="J796" s="21"/>
      <c r="K796" s="21"/>
      <c r="L796" s="21"/>
    </row>
    <row r="797">
      <c r="B797" s="20"/>
      <c r="C797" s="21"/>
      <c r="D797" s="21"/>
      <c r="E797" s="21"/>
      <c r="F797" s="21"/>
      <c r="G797" s="21"/>
      <c r="H797" s="21"/>
      <c r="I797" s="21"/>
      <c r="J797" s="21"/>
      <c r="K797" s="21"/>
      <c r="L797" s="21"/>
    </row>
    <row r="798">
      <c r="B798" s="20"/>
      <c r="C798" s="21"/>
      <c r="D798" s="21"/>
      <c r="E798" s="21"/>
      <c r="F798" s="21"/>
      <c r="G798" s="21"/>
      <c r="H798" s="21"/>
      <c r="I798" s="21"/>
      <c r="J798" s="21"/>
      <c r="K798" s="21"/>
      <c r="L798" s="21"/>
    </row>
    <row r="799">
      <c r="B799" s="20"/>
      <c r="C799" s="21"/>
      <c r="D799" s="21"/>
      <c r="E799" s="21"/>
      <c r="F799" s="21"/>
      <c r="G799" s="21"/>
      <c r="H799" s="21"/>
      <c r="I799" s="21"/>
      <c r="J799" s="21"/>
      <c r="K799" s="21"/>
      <c r="L799" s="21"/>
    </row>
    <row r="800">
      <c r="B800" s="20"/>
      <c r="C800" s="21"/>
      <c r="D800" s="21"/>
      <c r="E800" s="21"/>
      <c r="F800" s="21"/>
      <c r="G800" s="21"/>
      <c r="H800" s="21"/>
      <c r="I800" s="21"/>
      <c r="J800" s="21"/>
      <c r="K800" s="21"/>
      <c r="L800" s="21"/>
    </row>
    <row r="801">
      <c r="B801" s="20"/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>
      <c r="B802" s="20"/>
      <c r="C802" s="21"/>
      <c r="D802" s="21"/>
      <c r="E802" s="21"/>
      <c r="F802" s="21"/>
      <c r="G802" s="21"/>
      <c r="H802" s="21"/>
      <c r="I802" s="21"/>
      <c r="J802" s="21"/>
      <c r="K802" s="21"/>
      <c r="L802" s="21"/>
    </row>
    <row r="803">
      <c r="B803" s="20"/>
      <c r="C803" s="21"/>
      <c r="D803" s="21"/>
      <c r="E803" s="21"/>
      <c r="F803" s="21"/>
      <c r="G803" s="21"/>
      <c r="H803" s="21"/>
      <c r="I803" s="21"/>
      <c r="J803" s="21"/>
      <c r="K803" s="21"/>
      <c r="L803" s="21"/>
    </row>
    <row r="804">
      <c r="B804" s="20"/>
      <c r="C804" s="21"/>
      <c r="D804" s="21"/>
      <c r="E804" s="21"/>
      <c r="F804" s="21"/>
      <c r="G804" s="21"/>
      <c r="H804" s="21"/>
      <c r="I804" s="21"/>
      <c r="J804" s="21"/>
      <c r="K804" s="21"/>
      <c r="L804" s="21"/>
    </row>
    <row r="805">
      <c r="B805" s="20"/>
      <c r="C805" s="21"/>
      <c r="D805" s="21"/>
      <c r="E805" s="21"/>
      <c r="F805" s="21"/>
      <c r="G805" s="21"/>
      <c r="H805" s="21"/>
      <c r="I805" s="21"/>
      <c r="J805" s="21"/>
      <c r="K805" s="21"/>
      <c r="L805" s="21"/>
    </row>
    <row r="806">
      <c r="B806" s="20"/>
      <c r="C806" s="21"/>
      <c r="D806" s="21"/>
      <c r="E806" s="21"/>
      <c r="F806" s="21"/>
      <c r="G806" s="21"/>
      <c r="H806" s="21"/>
      <c r="I806" s="21"/>
      <c r="J806" s="21"/>
      <c r="K806" s="21"/>
      <c r="L806" s="21"/>
    </row>
    <row r="807">
      <c r="B807" s="20"/>
      <c r="C807" s="21"/>
      <c r="D807" s="21"/>
      <c r="E807" s="21"/>
      <c r="F807" s="21"/>
      <c r="G807" s="21"/>
      <c r="H807" s="21"/>
      <c r="I807" s="21"/>
      <c r="J807" s="21"/>
      <c r="K807" s="21"/>
      <c r="L807" s="21"/>
    </row>
    <row r="808">
      <c r="B808" s="20"/>
      <c r="C808" s="21"/>
      <c r="D808" s="21"/>
      <c r="E808" s="21"/>
      <c r="F808" s="21"/>
      <c r="G808" s="21"/>
      <c r="H808" s="21"/>
      <c r="I808" s="21"/>
      <c r="J808" s="21"/>
      <c r="K808" s="21"/>
      <c r="L808" s="21"/>
    </row>
    <row r="809">
      <c r="B809" s="20"/>
      <c r="C809" s="21"/>
      <c r="D809" s="21"/>
      <c r="E809" s="21"/>
      <c r="F809" s="21"/>
      <c r="G809" s="21"/>
      <c r="H809" s="21"/>
      <c r="I809" s="21"/>
      <c r="J809" s="21"/>
      <c r="K809" s="21"/>
      <c r="L809" s="21"/>
    </row>
    <row r="810">
      <c r="B810" s="20"/>
      <c r="C810" s="21"/>
      <c r="D810" s="21"/>
      <c r="E810" s="21"/>
      <c r="F810" s="21"/>
      <c r="G810" s="21"/>
      <c r="H810" s="21"/>
      <c r="I810" s="21"/>
      <c r="J810" s="21"/>
      <c r="K810" s="21"/>
      <c r="L810" s="21"/>
    </row>
    <row r="811">
      <c r="B811" s="20"/>
      <c r="C811" s="21"/>
      <c r="D811" s="21"/>
      <c r="E811" s="21"/>
      <c r="F811" s="21"/>
      <c r="G811" s="21"/>
      <c r="H811" s="21"/>
      <c r="I811" s="21"/>
      <c r="J811" s="21"/>
      <c r="K811" s="21"/>
      <c r="L811" s="21"/>
    </row>
    <row r="812">
      <c r="B812" s="20"/>
      <c r="C812" s="21"/>
      <c r="D812" s="21"/>
      <c r="E812" s="21"/>
      <c r="F812" s="21"/>
      <c r="G812" s="21"/>
      <c r="H812" s="21"/>
      <c r="I812" s="21"/>
      <c r="J812" s="21"/>
      <c r="K812" s="21"/>
      <c r="L812" s="21"/>
    </row>
    <row r="813">
      <c r="B813" s="20"/>
      <c r="C813" s="21"/>
      <c r="D813" s="21"/>
      <c r="E813" s="21"/>
      <c r="F813" s="21"/>
      <c r="G813" s="21"/>
      <c r="H813" s="21"/>
      <c r="I813" s="21"/>
      <c r="J813" s="21"/>
      <c r="K813" s="21"/>
      <c r="L813" s="21"/>
    </row>
    <row r="814">
      <c r="B814" s="20"/>
      <c r="C814" s="21"/>
      <c r="D814" s="21"/>
      <c r="E814" s="21"/>
      <c r="F814" s="21"/>
      <c r="G814" s="21"/>
      <c r="H814" s="21"/>
      <c r="I814" s="21"/>
      <c r="J814" s="21"/>
      <c r="K814" s="21"/>
      <c r="L814" s="21"/>
    </row>
    <row r="815">
      <c r="B815" s="20"/>
      <c r="C815" s="21"/>
      <c r="D815" s="21"/>
      <c r="E815" s="21"/>
      <c r="F815" s="21"/>
      <c r="G815" s="21"/>
      <c r="H815" s="21"/>
      <c r="I815" s="21"/>
      <c r="J815" s="21"/>
      <c r="K815" s="21"/>
      <c r="L815" s="21"/>
    </row>
    <row r="816">
      <c r="B816" s="20"/>
      <c r="C816" s="21"/>
      <c r="D816" s="21"/>
      <c r="E816" s="21"/>
      <c r="F816" s="21"/>
      <c r="G816" s="21"/>
      <c r="H816" s="21"/>
      <c r="I816" s="21"/>
      <c r="J816" s="21"/>
      <c r="K816" s="21"/>
      <c r="L816" s="21"/>
    </row>
    <row r="817">
      <c r="B817" s="20"/>
      <c r="C817" s="21"/>
      <c r="D817" s="21"/>
      <c r="E817" s="21"/>
      <c r="F817" s="21"/>
      <c r="G817" s="21"/>
      <c r="H817" s="21"/>
      <c r="I817" s="21"/>
      <c r="J817" s="21"/>
      <c r="K817" s="21"/>
      <c r="L817" s="21"/>
    </row>
    <row r="818">
      <c r="B818" s="20"/>
      <c r="C818" s="21"/>
      <c r="D818" s="21"/>
      <c r="E818" s="21"/>
      <c r="F818" s="21"/>
      <c r="G818" s="21"/>
      <c r="H818" s="21"/>
      <c r="I818" s="21"/>
      <c r="J818" s="21"/>
      <c r="K818" s="21"/>
      <c r="L818" s="21"/>
    </row>
    <row r="819">
      <c r="B819" s="20"/>
      <c r="C819" s="21"/>
      <c r="D819" s="21"/>
      <c r="E819" s="21"/>
      <c r="F819" s="21"/>
      <c r="G819" s="21"/>
      <c r="H819" s="21"/>
      <c r="I819" s="21"/>
      <c r="J819" s="21"/>
      <c r="K819" s="21"/>
      <c r="L819" s="21"/>
    </row>
    <row r="820">
      <c r="B820" s="20"/>
      <c r="C820" s="21"/>
      <c r="D820" s="21"/>
      <c r="E820" s="21"/>
      <c r="F820" s="21"/>
      <c r="G820" s="21"/>
      <c r="H820" s="21"/>
      <c r="I820" s="21"/>
      <c r="J820" s="21"/>
      <c r="K820" s="21"/>
      <c r="L820" s="21"/>
    </row>
    <row r="821">
      <c r="B821" s="20"/>
      <c r="C821" s="21"/>
      <c r="D821" s="21"/>
      <c r="E821" s="21"/>
      <c r="F821" s="21"/>
      <c r="G821" s="21"/>
      <c r="H821" s="21"/>
      <c r="I821" s="21"/>
      <c r="J821" s="21"/>
      <c r="K821" s="21"/>
      <c r="L821" s="21"/>
    </row>
    <row r="822">
      <c r="B822" s="20"/>
      <c r="C822" s="21"/>
      <c r="D822" s="21"/>
      <c r="E822" s="21"/>
      <c r="F822" s="21"/>
      <c r="G822" s="21"/>
      <c r="H822" s="21"/>
      <c r="I822" s="21"/>
      <c r="J822" s="21"/>
      <c r="K822" s="21"/>
      <c r="L822" s="21"/>
    </row>
    <row r="823">
      <c r="B823" s="20"/>
      <c r="C823" s="21"/>
      <c r="D823" s="21"/>
      <c r="E823" s="21"/>
      <c r="F823" s="21"/>
      <c r="G823" s="21"/>
      <c r="H823" s="21"/>
      <c r="I823" s="21"/>
      <c r="J823" s="21"/>
      <c r="K823" s="21"/>
      <c r="L823" s="21"/>
    </row>
    <row r="824">
      <c r="B824" s="20"/>
      <c r="C824" s="21"/>
      <c r="D824" s="21"/>
      <c r="E824" s="21"/>
      <c r="F824" s="21"/>
      <c r="G824" s="21"/>
      <c r="H824" s="21"/>
      <c r="I824" s="21"/>
      <c r="J824" s="21"/>
      <c r="K824" s="21"/>
      <c r="L824" s="21"/>
    </row>
    <row r="825">
      <c r="B825" s="20"/>
      <c r="C825" s="21"/>
      <c r="D825" s="21"/>
      <c r="E825" s="21"/>
      <c r="F825" s="21"/>
      <c r="G825" s="21"/>
      <c r="H825" s="21"/>
      <c r="I825" s="21"/>
      <c r="J825" s="21"/>
      <c r="K825" s="21"/>
      <c r="L825" s="21"/>
    </row>
    <row r="826">
      <c r="B826" s="20"/>
      <c r="C826" s="21"/>
      <c r="D826" s="21"/>
      <c r="E826" s="21"/>
      <c r="F826" s="21"/>
      <c r="G826" s="21"/>
      <c r="H826" s="21"/>
      <c r="I826" s="21"/>
      <c r="J826" s="21"/>
      <c r="K826" s="21"/>
      <c r="L826" s="21"/>
    </row>
    <row r="827">
      <c r="B827" s="20"/>
      <c r="C827" s="21"/>
      <c r="D827" s="21"/>
      <c r="E827" s="21"/>
      <c r="F827" s="21"/>
      <c r="G827" s="21"/>
      <c r="H827" s="21"/>
      <c r="I827" s="21"/>
      <c r="J827" s="21"/>
      <c r="K827" s="21"/>
      <c r="L827" s="21"/>
    </row>
    <row r="828">
      <c r="B828" s="20"/>
      <c r="C828" s="21"/>
      <c r="D828" s="21"/>
      <c r="E828" s="21"/>
      <c r="F828" s="21"/>
      <c r="G828" s="21"/>
      <c r="H828" s="21"/>
      <c r="I828" s="21"/>
      <c r="J828" s="21"/>
      <c r="K828" s="21"/>
      <c r="L828" s="21"/>
    </row>
    <row r="829">
      <c r="B829" s="20"/>
      <c r="C829" s="21"/>
      <c r="D829" s="21"/>
      <c r="E829" s="21"/>
      <c r="F829" s="21"/>
      <c r="G829" s="21"/>
      <c r="H829" s="21"/>
      <c r="I829" s="21"/>
      <c r="J829" s="21"/>
      <c r="K829" s="21"/>
      <c r="L829" s="21"/>
    </row>
    <row r="830">
      <c r="B830" s="20"/>
      <c r="C830" s="21"/>
      <c r="D830" s="21"/>
      <c r="E830" s="21"/>
      <c r="F830" s="21"/>
      <c r="G830" s="21"/>
      <c r="H830" s="21"/>
      <c r="I830" s="21"/>
      <c r="J830" s="21"/>
      <c r="K830" s="21"/>
      <c r="L830" s="21"/>
    </row>
    <row r="831">
      <c r="B831" s="20"/>
      <c r="C831" s="21"/>
      <c r="D831" s="21"/>
      <c r="E831" s="21"/>
      <c r="F831" s="21"/>
      <c r="G831" s="21"/>
      <c r="H831" s="21"/>
      <c r="I831" s="21"/>
      <c r="J831" s="21"/>
      <c r="K831" s="21"/>
      <c r="L831" s="21"/>
    </row>
    <row r="832">
      <c r="B832" s="20"/>
      <c r="C832" s="21"/>
      <c r="D832" s="21"/>
      <c r="E832" s="21"/>
      <c r="F832" s="21"/>
      <c r="G832" s="21"/>
      <c r="H832" s="21"/>
      <c r="I832" s="21"/>
      <c r="J832" s="21"/>
      <c r="K832" s="21"/>
      <c r="L832" s="21"/>
    </row>
    <row r="833">
      <c r="B833" s="20"/>
      <c r="C833" s="21"/>
      <c r="D833" s="21"/>
      <c r="E833" s="21"/>
      <c r="F833" s="21"/>
      <c r="G833" s="21"/>
      <c r="H833" s="21"/>
      <c r="I833" s="21"/>
      <c r="J833" s="21"/>
      <c r="K833" s="21"/>
      <c r="L833" s="21"/>
    </row>
    <row r="834">
      <c r="B834" s="20"/>
      <c r="C834" s="21"/>
      <c r="D834" s="21"/>
      <c r="E834" s="21"/>
      <c r="F834" s="21"/>
      <c r="G834" s="21"/>
      <c r="H834" s="21"/>
      <c r="I834" s="21"/>
      <c r="J834" s="21"/>
      <c r="K834" s="21"/>
      <c r="L834" s="21"/>
    </row>
    <row r="835">
      <c r="B835" s="20"/>
      <c r="C835" s="21"/>
      <c r="D835" s="21"/>
      <c r="E835" s="21"/>
      <c r="F835" s="21"/>
      <c r="G835" s="21"/>
      <c r="H835" s="21"/>
      <c r="I835" s="21"/>
      <c r="J835" s="21"/>
      <c r="K835" s="21"/>
      <c r="L835" s="21"/>
    </row>
    <row r="836">
      <c r="B836" s="20"/>
      <c r="C836" s="21"/>
      <c r="D836" s="21"/>
      <c r="E836" s="21"/>
      <c r="F836" s="21"/>
      <c r="G836" s="21"/>
      <c r="H836" s="21"/>
      <c r="I836" s="21"/>
      <c r="J836" s="21"/>
      <c r="K836" s="21"/>
      <c r="L836" s="21"/>
    </row>
    <row r="837">
      <c r="B837" s="20"/>
      <c r="C837" s="21"/>
      <c r="D837" s="21"/>
      <c r="E837" s="21"/>
      <c r="F837" s="21"/>
      <c r="G837" s="21"/>
      <c r="H837" s="21"/>
      <c r="I837" s="21"/>
      <c r="J837" s="21"/>
      <c r="K837" s="21"/>
      <c r="L837" s="21"/>
    </row>
    <row r="838">
      <c r="B838" s="20"/>
      <c r="C838" s="21"/>
      <c r="D838" s="21"/>
      <c r="E838" s="21"/>
      <c r="F838" s="21"/>
      <c r="G838" s="21"/>
      <c r="H838" s="21"/>
      <c r="I838" s="21"/>
      <c r="J838" s="21"/>
      <c r="K838" s="21"/>
      <c r="L838" s="21"/>
    </row>
    <row r="839">
      <c r="B839" s="20"/>
      <c r="C839" s="21"/>
      <c r="D839" s="21"/>
      <c r="E839" s="21"/>
      <c r="F839" s="21"/>
      <c r="G839" s="21"/>
      <c r="H839" s="21"/>
      <c r="I839" s="21"/>
      <c r="J839" s="21"/>
      <c r="K839" s="21"/>
      <c r="L839" s="21"/>
    </row>
    <row r="840">
      <c r="B840" s="20"/>
      <c r="C840" s="21"/>
      <c r="D840" s="21"/>
      <c r="E840" s="21"/>
      <c r="F840" s="21"/>
      <c r="G840" s="21"/>
      <c r="H840" s="21"/>
      <c r="I840" s="21"/>
      <c r="J840" s="21"/>
      <c r="K840" s="21"/>
      <c r="L840" s="21"/>
    </row>
    <row r="841">
      <c r="B841" s="20"/>
      <c r="C841" s="21"/>
      <c r="D841" s="21"/>
      <c r="E841" s="21"/>
      <c r="F841" s="21"/>
      <c r="G841" s="21"/>
      <c r="H841" s="21"/>
      <c r="I841" s="21"/>
      <c r="J841" s="21"/>
      <c r="K841" s="21"/>
      <c r="L841" s="21"/>
    </row>
    <row r="842">
      <c r="B842" s="20"/>
      <c r="C842" s="21"/>
      <c r="D842" s="21"/>
      <c r="E842" s="21"/>
      <c r="F842" s="21"/>
      <c r="G842" s="21"/>
      <c r="H842" s="21"/>
      <c r="I842" s="21"/>
      <c r="J842" s="21"/>
      <c r="K842" s="21"/>
      <c r="L842" s="21"/>
    </row>
    <row r="843">
      <c r="B843" s="20"/>
      <c r="C843" s="21"/>
      <c r="D843" s="21"/>
      <c r="E843" s="21"/>
      <c r="F843" s="21"/>
      <c r="G843" s="21"/>
      <c r="H843" s="21"/>
      <c r="I843" s="21"/>
      <c r="J843" s="21"/>
      <c r="K843" s="21"/>
      <c r="L843" s="21"/>
    </row>
    <row r="844">
      <c r="B844" s="20"/>
      <c r="C844" s="21"/>
      <c r="D844" s="21"/>
      <c r="E844" s="21"/>
      <c r="F844" s="21"/>
      <c r="G844" s="21"/>
      <c r="H844" s="21"/>
      <c r="I844" s="21"/>
      <c r="J844" s="21"/>
      <c r="K844" s="21"/>
      <c r="L844" s="21"/>
    </row>
    <row r="845">
      <c r="B845" s="20"/>
      <c r="C845" s="21"/>
      <c r="D845" s="21"/>
      <c r="E845" s="21"/>
      <c r="F845" s="21"/>
      <c r="G845" s="21"/>
      <c r="H845" s="21"/>
      <c r="I845" s="21"/>
      <c r="J845" s="21"/>
      <c r="K845" s="21"/>
      <c r="L845" s="21"/>
    </row>
    <row r="846">
      <c r="B846" s="20"/>
      <c r="C846" s="21"/>
      <c r="D846" s="21"/>
      <c r="E846" s="21"/>
      <c r="F846" s="21"/>
      <c r="G846" s="21"/>
      <c r="H846" s="21"/>
      <c r="I846" s="21"/>
      <c r="J846" s="21"/>
      <c r="K846" s="21"/>
      <c r="L846" s="21"/>
    </row>
    <row r="847">
      <c r="B847" s="20"/>
      <c r="C847" s="21"/>
      <c r="D847" s="21"/>
      <c r="E847" s="21"/>
      <c r="F847" s="21"/>
      <c r="G847" s="21"/>
      <c r="H847" s="21"/>
      <c r="I847" s="21"/>
      <c r="J847" s="21"/>
      <c r="K847" s="21"/>
      <c r="L847" s="21"/>
    </row>
    <row r="848">
      <c r="B848" s="20"/>
      <c r="C848" s="21"/>
      <c r="D848" s="21"/>
      <c r="E848" s="21"/>
      <c r="F848" s="21"/>
      <c r="G848" s="21"/>
      <c r="H848" s="21"/>
      <c r="I848" s="21"/>
      <c r="J848" s="21"/>
      <c r="K848" s="21"/>
      <c r="L848" s="21"/>
    </row>
    <row r="849">
      <c r="B849" s="20"/>
      <c r="C849" s="21"/>
      <c r="D849" s="21"/>
      <c r="E849" s="21"/>
      <c r="F849" s="21"/>
      <c r="G849" s="21"/>
      <c r="H849" s="21"/>
      <c r="I849" s="21"/>
      <c r="J849" s="21"/>
      <c r="K849" s="21"/>
      <c r="L849" s="21"/>
    </row>
    <row r="850">
      <c r="B850" s="20"/>
      <c r="C850" s="21"/>
      <c r="D850" s="21"/>
      <c r="E850" s="21"/>
      <c r="F850" s="21"/>
      <c r="G850" s="21"/>
      <c r="H850" s="21"/>
      <c r="I850" s="21"/>
      <c r="J850" s="21"/>
      <c r="K850" s="21"/>
      <c r="L850" s="21"/>
    </row>
    <row r="851">
      <c r="B851" s="20"/>
      <c r="C851" s="21"/>
      <c r="D851" s="21"/>
      <c r="E851" s="21"/>
      <c r="F851" s="21"/>
      <c r="G851" s="21"/>
      <c r="H851" s="21"/>
      <c r="I851" s="21"/>
      <c r="J851" s="21"/>
      <c r="K851" s="21"/>
      <c r="L851" s="21"/>
    </row>
    <row r="852">
      <c r="B852" s="20"/>
      <c r="C852" s="21"/>
      <c r="D852" s="21"/>
      <c r="E852" s="21"/>
      <c r="F852" s="21"/>
      <c r="G852" s="21"/>
      <c r="H852" s="21"/>
      <c r="I852" s="21"/>
      <c r="J852" s="21"/>
      <c r="K852" s="21"/>
      <c r="L852" s="21"/>
    </row>
    <row r="853">
      <c r="B853" s="20"/>
      <c r="C853" s="21"/>
      <c r="D853" s="21"/>
      <c r="E853" s="21"/>
      <c r="F853" s="21"/>
      <c r="G853" s="21"/>
      <c r="H853" s="21"/>
      <c r="I853" s="21"/>
      <c r="J853" s="21"/>
      <c r="K853" s="21"/>
      <c r="L853" s="21"/>
    </row>
    <row r="854">
      <c r="B854" s="20"/>
      <c r="C854" s="21"/>
      <c r="D854" s="21"/>
      <c r="E854" s="21"/>
      <c r="F854" s="21"/>
      <c r="G854" s="21"/>
      <c r="H854" s="21"/>
      <c r="I854" s="21"/>
      <c r="J854" s="21"/>
      <c r="K854" s="21"/>
      <c r="L854" s="21"/>
    </row>
    <row r="855">
      <c r="B855" s="20"/>
      <c r="C855" s="21"/>
      <c r="D855" s="21"/>
      <c r="E855" s="21"/>
      <c r="F855" s="21"/>
      <c r="G855" s="21"/>
      <c r="H855" s="21"/>
      <c r="I855" s="21"/>
      <c r="J855" s="21"/>
      <c r="K855" s="21"/>
      <c r="L855" s="21"/>
    </row>
    <row r="856">
      <c r="B856" s="20"/>
      <c r="C856" s="21"/>
      <c r="D856" s="21"/>
      <c r="E856" s="21"/>
      <c r="F856" s="21"/>
      <c r="G856" s="21"/>
      <c r="H856" s="21"/>
      <c r="I856" s="21"/>
      <c r="J856" s="21"/>
      <c r="K856" s="21"/>
      <c r="L856" s="21"/>
    </row>
    <row r="857">
      <c r="B857" s="20"/>
      <c r="C857" s="21"/>
      <c r="D857" s="21"/>
      <c r="E857" s="21"/>
      <c r="F857" s="21"/>
      <c r="G857" s="21"/>
      <c r="H857" s="21"/>
      <c r="I857" s="21"/>
      <c r="J857" s="21"/>
      <c r="K857" s="21"/>
      <c r="L857" s="21"/>
    </row>
    <row r="858">
      <c r="B858" s="20"/>
      <c r="C858" s="21"/>
      <c r="D858" s="21"/>
      <c r="E858" s="21"/>
      <c r="F858" s="21"/>
      <c r="G858" s="21"/>
      <c r="H858" s="21"/>
      <c r="I858" s="21"/>
      <c r="J858" s="21"/>
      <c r="K858" s="21"/>
      <c r="L858" s="21"/>
    </row>
    <row r="859">
      <c r="B859" s="20"/>
      <c r="C859" s="21"/>
      <c r="D859" s="21"/>
      <c r="E859" s="21"/>
      <c r="F859" s="21"/>
      <c r="G859" s="21"/>
      <c r="H859" s="21"/>
      <c r="I859" s="21"/>
      <c r="J859" s="21"/>
      <c r="K859" s="21"/>
      <c r="L859" s="21"/>
    </row>
    <row r="860">
      <c r="B860" s="20"/>
      <c r="C860" s="21"/>
      <c r="D860" s="21"/>
      <c r="E860" s="21"/>
      <c r="F860" s="21"/>
      <c r="G860" s="21"/>
      <c r="H860" s="21"/>
      <c r="I860" s="21"/>
      <c r="J860" s="21"/>
      <c r="K860" s="21"/>
      <c r="L860" s="21"/>
    </row>
    <row r="861">
      <c r="B861" s="20"/>
      <c r="C861" s="21"/>
      <c r="D861" s="21"/>
      <c r="E861" s="21"/>
      <c r="F861" s="21"/>
      <c r="G861" s="21"/>
      <c r="H861" s="21"/>
      <c r="I861" s="21"/>
      <c r="J861" s="21"/>
      <c r="K861" s="21"/>
      <c r="L861" s="21"/>
    </row>
    <row r="862">
      <c r="B862" s="20"/>
      <c r="C862" s="21"/>
      <c r="D862" s="21"/>
      <c r="E862" s="21"/>
      <c r="F862" s="21"/>
      <c r="G862" s="21"/>
      <c r="H862" s="21"/>
      <c r="I862" s="21"/>
      <c r="J862" s="21"/>
      <c r="K862" s="21"/>
      <c r="L862" s="21"/>
    </row>
    <row r="863">
      <c r="B863" s="20"/>
      <c r="C863" s="21"/>
      <c r="D863" s="21"/>
      <c r="E863" s="21"/>
      <c r="F863" s="21"/>
      <c r="G863" s="21"/>
      <c r="H863" s="21"/>
      <c r="I863" s="21"/>
      <c r="J863" s="21"/>
      <c r="K863" s="21"/>
      <c r="L863" s="21"/>
    </row>
    <row r="864">
      <c r="B864" s="20"/>
      <c r="C864" s="21"/>
      <c r="D864" s="21"/>
      <c r="E864" s="21"/>
      <c r="F864" s="21"/>
      <c r="G864" s="21"/>
      <c r="H864" s="21"/>
      <c r="I864" s="21"/>
      <c r="J864" s="21"/>
      <c r="K864" s="21"/>
      <c r="L864" s="21"/>
    </row>
    <row r="865">
      <c r="B865" s="20"/>
      <c r="C865" s="21"/>
      <c r="D865" s="21"/>
      <c r="E865" s="21"/>
      <c r="F865" s="21"/>
      <c r="G865" s="21"/>
      <c r="H865" s="21"/>
      <c r="I865" s="21"/>
      <c r="J865" s="21"/>
      <c r="K865" s="21"/>
      <c r="L865" s="21"/>
    </row>
    <row r="866">
      <c r="B866" s="20"/>
      <c r="C866" s="21"/>
      <c r="D866" s="21"/>
      <c r="E866" s="21"/>
      <c r="F866" s="21"/>
      <c r="G866" s="21"/>
      <c r="H866" s="21"/>
      <c r="I866" s="21"/>
      <c r="J866" s="21"/>
      <c r="K866" s="21"/>
      <c r="L866" s="21"/>
    </row>
    <row r="867">
      <c r="B867" s="20"/>
      <c r="C867" s="21"/>
      <c r="D867" s="21"/>
      <c r="E867" s="21"/>
      <c r="F867" s="21"/>
      <c r="G867" s="21"/>
      <c r="H867" s="21"/>
      <c r="I867" s="21"/>
      <c r="J867" s="21"/>
      <c r="K867" s="21"/>
      <c r="L867" s="21"/>
    </row>
    <row r="868">
      <c r="B868" s="20"/>
      <c r="C868" s="21"/>
      <c r="D868" s="21"/>
      <c r="E868" s="21"/>
      <c r="F868" s="21"/>
      <c r="G868" s="21"/>
      <c r="H868" s="21"/>
      <c r="I868" s="21"/>
      <c r="J868" s="21"/>
      <c r="K868" s="21"/>
      <c r="L868" s="21"/>
    </row>
    <row r="869">
      <c r="B869" s="20"/>
      <c r="C869" s="21"/>
      <c r="D869" s="21"/>
      <c r="E869" s="21"/>
      <c r="F869" s="21"/>
      <c r="G869" s="21"/>
      <c r="H869" s="21"/>
      <c r="I869" s="21"/>
      <c r="J869" s="21"/>
      <c r="K869" s="21"/>
      <c r="L869" s="21"/>
    </row>
    <row r="870">
      <c r="B870" s="20"/>
      <c r="C870" s="21"/>
      <c r="D870" s="21"/>
      <c r="E870" s="21"/>
      <c r="F870" s="21"/>
      <c r="G870" s="21"/>
      <c r="H870" s="21"/>
      <c r="I870" s="21"/>
      <c r="J870" s="21"/>
      <c r="K870" s="21"/>
      <c r="L870" s="21"/>
    </row>
    <row r="871">
      <c r="B871" s="20"/>
      <c r="C871" s="21"/>
      <c r="D871" s="21"/>
      <c r="E871" s="21"/>
      <c r="F871" s="21"/>
      <c r="G871" s="21"/>
      <c r="H871" s="21"/>
      <c r="I871" s="21"/>
      <c r="J871" s="21"/>
      <c r="K871" s="21"/>
      <c r="L871" s="21"/>
    </row>
    <row r="872">
      <c r="B872" s="20"/>
      <c r="C872" s="21"/>
      <c r="D872" s="21"/>
      <c r="E872" s="21"/>
      <c r="F872" s="21"/>
      <c r="G872" s="21"/>
      <c r="H872" s="21"/>
      <c r="I872" s="21"/>
      <c r="J872" s="21"/>
      <c r="K872" s="21"/>
      <c r="L872" s="21"/>
    </row>
    <row r="873">
      <c r="B873" s="20"/>
      <c r="C873" s="21"/>
      <c r="D873" s="21"/>
      <c r="E873" s="21"/>
      <c r="F873" s="21"/>
      <c r="G873" s="21"/>
      <c r="H873" s="21"/>
      <c r="I873" s="21"/>
      <c r="J873" s="21"/>
      <c r="K873" s="21"/>
      <c r="L873" s="21"/>
    </row>
    <row r="874">
      <c r="B874" s="20"/>
      <c r="C874" s="21"/>
      <c r="D874" s="21"/>
      <c r="E874" s="21"/>
      <c r="F874" s="21"/>
      <c r="G874" s="21"/>
      <c r="H874" s="21"/>
      <c r="I874" s="21"/>
      <c r="J874" s="21"/>
      <c r="K874" s="21"/>
      <c r="L874" s="21"/>
    </row>
    <row r="875">
      <c r="B875" s="20"/>
      <c r="C875" s="21"/>
      <c r="D875" s="21"/>
      <c r="E875" s="21"/>
      <c r="F875" s="21"/>
      <c r="G875" s="21"/>
      <c r="H875" s="21"/>
      <c r="I875" s="21"/>
      <c r="J875" s="21"/>
      <c r="K875" s="21"/>
      <c r="L875" s="21"/>
    </row>
    <row r="876">
      <c r="B876" s="20"/>
      <c r="C876" s="21"/>
      <c r="D876" s="21"/>
      <c r="E876" s="21"/>
      <c r="F876" s="21"/>
      <c r="G876" s="21"/>
      <c r="H876" s="21"/>
      <c r="I876" s="21"/>
      <c r="J876" s="21"/>
      <c r="K876" s="21"/>
      <c r="L876" s="21"/>
    </row>
    <row r="877">
      <c r="B877" s="20"/>
      <c r="C877" s="21"/>
      <c r="D877" s="21"/>
      <c r="E877" s="21"/>
      <c r="F877" s="21"/>
      <c r="G877" s="21"/>
      <c r="H877" s="21"/>
      <c r="I877" s="21"/>
      <c r="J877" s="21"/>
      <c r="K877" s="21"/>
      <c r="L877" s="21"/>
    </row>
    <row r="878">
      <c r="B878" s="20"/>
      <c r="C878" s="21"/>
      <c r="D878" s="21"/>
      <c r="E878" s="21"/>
      <c r="F878" s="21"/>
      <c r="G878" s="21"/>
      <c r="H878" s="21"/>
      <c r="I878" s="21"/>
      <c r="J878" s="21"/>
      <c r="K878" s="21"/>
      <c r="L878" s="21"/>
    </row>
    <row r="879">
      <c r="B879" s="20"/>
      <c r="C879" s="21"/>
      <c r="D879" s="21"/>
      <c r="E879" s="21"/>
      <c r="F879" s="21"/>
      <c r="G879" s="21"/>
      <c r="H879" s="21"/>
      <c r="I879" s="21"/>
      <c r="J879" s="21"/>
      <c r="K879" s="21"/>
      <c r="L879" s="21"/>
    </row>
    <row r="880">
      <c r="B880" s="20"/>
      <c r="C880" s="21"/>
      <c r="D880" s="21"/>
      <c r="E880" s="21"/>
      <c r="F880" s="21"/>
      <c r="G880" s="21"/>
      <c r="H880" s="21"/>
      <c r="I880" s="21"/>
      <c r="J880" s="21"/>
      <c r="K880" s="21"/>
      <c r="L880" s="21"/>
    </row>
    <row r="881">
      <c r="B881" s="20"/>
      <c r="C881" s="21"/>
      <c r="D881" s="21"/>
      <c r="E881" s="21"/>
      <c r="F881" s="21"/>
      <c r="G881" s="21"/>
      <c r="H881" s="21"/>
      <c r="I881" s="21"/>
      <c r="J881" s="21"/>
      <c r="K881" s="21"/>
      <c r="L881" s="21"/>
    </row>
    <row r="882">
      <c r="B882" s="20"/>
      <c r="C882" s="21"/>
      <c r="D882" s="21"/>
      <c r="E882" s="21"/>
      <c r="F882" s="21"/>
      <c r="G882" s="21"/>
      <c r="H882" s="21"/>
      <c r="I882" s="21"/>
      <c r="J882" s="21"/>
      <c r="K882" s="21"/>
      <c r="L882" s="21"/>
    </row>
    <row r="883">
      <c r="B883" s="20"/>
      <c r="C883" s="21"/>
      <c r="D883" s="21"/>
      <c r="E883" s="21"/>
      <c r="F883" s="21"/>
      <c r="G883" s="21"/>
      <c r="H883" s="21"/>
      <c r="I883" s="21"/>
      <c r="J883" s="21"/>
      <c r="K883" s="21"/>
      <c r="L883" s="21"/>
    </row>
    <row r="884">
      <c r="B884" s="20"/>
      <c r="C884" s="21"/>
      <c r="D884" s="21"/>
      <c r="E884" s="21"/>
      <c r="F884" s="21"/>
      <c r="G884" s="21"/>
      <c r="H884" s="21"/>
      <c r="I884" s="21"/>
      <c r="J884" s="21"/>
      <c r="K884" s="21"/>
      <c r="L884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0"/>
    <col customWidth="1" min="9" max="9" width="15.5"/>
    <col customWidth="1" min="12" max="12" width="18.5"/>
    <col customWidth="1" min="14" max="14" width="17.0"/>
  </cols>
  <sheetData>
    <row r="1">
      <c r="B1" s="27" t="s">
        <v>12</v>
      </c>
      <c r="C1" s="27" t="s">
        <v>51</v>
      </c>
      <c r="D1" s="27" t="s">
        <v>8</v>
      </c>
      <c r="E1" s="27" t="s">
        <v>15</v>
      </c>
      <c r="F1" s="27" t="s">
        <v>52</v>
      </c>
      <c r="G1" s="27" t="s">
        <v>53</v>
      </c>
      <c r="H1" s="27" t="s">
        <v>21</v>
      </c>
      <c r="I1" s="27" t="s">
        <v>54</v>
      </c>
      <c r="J1" s="27" t="s">
        <v>11</v>
      </c>
      <c r="K1" s="27" t="s">
        <v>30</v>
      </c>
      <c r="L1" s="27" t="s">
        <v>55</v>
      </c>
      <c r="M1" s="27" t="s">
        <v>50</v>
      </c>
      <c r="N1" s="27" t="s">
        <v>56</v>
      </c>
      <c r="O1" s="27" t="s">
        <v>14</v>
      </c>
      <c r="P1" s="27" t="s">
        <v>22</v>
      </c>
      <c r="Q1" s="27" t="s">
        <v>57</v>
      </c>
    </row>
    <row r="2">
      <c r="B2" s="20">
        <v>46204.0</v>
      </c>
      <c r="C2" s="21">
        <v>100.0</v>
      </c>
      <c r="D2" s="28">
        <f>40</f>
        <v>40</v>
      </c>
      <c r="E2" s="28">
        <f>20</f>
        <v>20</v>
      </c>
      <c r="F2" s="28">
        <f t="shared" ref="F2:G2" si="1">0</f>
        <v>0</v>
      </c>
      <c r="G2" s="28">
        <f t="shared" si="1"/>
        <v>0</v>
      </c>
      <c r="H2" s="28">
        <f>10</f>
        <v>10</v>
      </c>
      <c r="I2" s="28">
        <f t="shared" ref="I2:N2" si="2">0</f>
        <v>0</v>
      </c>
      <c r="J2" s="28">
        <f t="shared" si="2"/>
        <v>0</v>
      </c>
      <c r="K2" s="28">
        <f t="shared" si="2"/>
        <v>0</v>
      </c>
      <c r="L2" s="28">
        <f t="shared" si="2"/>
        <v>0</v>
      </c>
      <c r="M2" s="28">
        <f t="shared" si="2"/>
        <v>0</v>
      </c>
      <c r="N2" s="28">
        <f t="shared" si="2"/>
        <v>0</v>
      </c>
      <c r="O2" s="28">
        <f>10</f>
        <v>10</v>
      </c>
      <c r="P2" s="28">
        <f>0</f>
        <v>0</v>
      </c>
      <c r="Q2" s="28">
        <f>20</f>
        <v>20</v>
      </c>
    </row>
    <row r="3">
      <c r="B3" s="20">
        <v>46204.0</v>
      </c>
      <c r="C3" s="21">
        <v>660.0</v>
      </c>
      <c r="D3" s="28">
        <f t="shared" ref="D3:E3" si="3">0</f>
        <v>0</v>
      </c>
      <c r="E3" s="28">
        <f t="shared" si="3"/>
        <v>0</v>
      </c>
      <c r="F3" s="28">
        <f>660</f>
        <v>660</v>
      </c>
      <c r="G3" s="28">
        <f t="shared" ref="G3:Q3" si="4">0</f>
        <v>0</v>
      </c>
      <c r="H3" s="28">
        <f t="shared" si="4"/>
        <v>0</v>
      </c>
      <c r="I3" s="28">
        <f t="shared" si="4"/>
        <v>0</v>
      </c>
      <c r="J3" s="28">
        <f t="shared" si="4"/>
        <v>0</v>
      </c>
      <c r="K3" s="28">
        <f t="shared" si="4"/>
        <v>0</v>
      </c>
      <c r="L3" s="28">
        <f t="shared" si="4"/>
        <v>0</v>
      </c>
      <c r="M3" s="28">
        <f t="shared" si="4"/>
        <v>0</v>
      </c>
      <c r="N3" s="28">
        <f t="shared" si="4"/>
        <v>0</v>
      </c>
      <c r="O3" s="28">
        <f t="shared" si="4"/>
        <v>0</v>
      </c>
      <c r="P3" s="28">
        <f t="shared" si="4"/>
        <v>0</v>
      </c>
      <c r="Q3" s="28">
        <f t="shared" si="4"/>
        <v>0</v>
      </c>
    </row>
    <row r="4">
      <c r="B4" s="20">
        <v>46204.0</v>
      </c>
      <c r="C4" s="21">
        <v>60.0</v>
      </c>
      <c r="D4" s="28">
        <f>12</f>
        <v>12</v>
      </c>
      <c r="E4" s="28">
        <f t="shared" ref="E4:G4" si="5">0</f>
        <v>0</v>
      </c>
      <c r="F4" s="28">
        <f t="shared" si="5"/>
        <v>0</v>
      </c>
      <c r="G4" s="28">
        <f t="shared" si="5"/>
        <v>0</v>
      </c>
      <c r="H4" s="28">
        <f>48</f>
        <v>48</v>
      </c>
      <c r="I4" s="28">
        <f t="shared" ref="I4:Q4" si="6">0</f>
        <v>0</v>
      </c>
      <c r="J4" s="28">
        <f t="shared" si="6"/>
        <v>0</v>
      </c>
      <c r="K4" s="28">
        <f t="shared" si="6"/>
        <v>0</v>
      </c>
      <c r="L4" s="28">
        <f t="shared" si="6"/>
        <v>0</v>
      </c>
      <c r="M4" s="28">
        <f t="shared" si="6"/>
        <v>0</v>
      </c>
      <c r="N4" s="28">
        <f t="shared" si="6"/>
        <v>0</v>
      </c>
      <c r="O4" s="28">
        <f t="shared" si="6"/>
        <v>0</v>
      </c>
      <c r="P4" s="28">
        <f t="shared" si="6"/>
        <v>0</v>
      </c>
      <c r="Q4" s="28">
        <f t="shared" si="6"/>
        <v>0</v>
      </c>
    </row>
    <row r="5">
      <c r="B5" s="20">
        <v>46204.0</v>
      </c>
      <c r="C5" s="21">
        <v>120.0</v>
      </c>
      <c r="D5" s="28">
        <f t="shared" ref="D5:G5" si="7">0</f>
        <v>0</v>
      </c>
      <c r="E5" s="28">
        <f t="shared" si="7"/>
        <v>0</v>
      </c>
      <c r="F5" s="28">
        <f t="shared" si="7"/>
        <v>0</v>
      </c>
      <c r="G5" s="28">
        <f t="shared" si="7"/>
        <v>0</v>
      </c>
      <c r="H5" s="28">
        <f>12</f>
        <v>12</v>
      </c>
      <c r="I5" s="28">
        <f>0</f>
        <v>0</v>
      </c>
      <c r="J5" s="28">
        <f>48</f>
        <v>48</v>
      </c>
      <c r="K5" s="28">
        <f>60</f>
        <v>60</v>
      </c>
      <c r="L5" s="28">
        <f t="shared" ref="L5:Q5" si="8">0</f>
        <v>0</v>
      </c>
      <c r="M5" s="28">
        <f t="shared" si="8"/>
        <v>0</v>
      </c>
      <c r="N5" s="28">
        <f t="shared" si="8"/>
        <v>0</v>
      </c>
      <c r="O5" s="28">
        <f t="shared" si="8"/>
        <v>0</v>
      </c>
      <c r="P5" s="28">
        <f t="shared" si="8"/>
        <v>0</v>
      </c>
      <c r="Q5" s="28">
        <f t="shared" si="8"/>
        <v>0</v>
      </c>
    </row>
    <row r="6">
      <c r="B6" s="20">
        <v>46204.0</v>
      </c>
      <c r="C6" s="21">
        <v>100.0</v>
      </c>
      <c r="D6" s="28">
        <f t="shared" ref="D6:H6" si="9">0</f>
        <v>0</v>
      </c>
      <c r="E6" s="28">
        <f t="shared" si="9"/>
        <v>0</v>
      </c>
      <c r="F6" s="28">
        <f t="shared" si="9"/>
        <v>0</v>
      </c>
      <c r="G6" s="28">
        <f t="shared" si="9"/>
        <v>0</v>
      </c>
      <c r="H6" s="28">
        <f t="shared" si="9"/>
        <v>0</v>
      </c>
      <c r="I6" s="28">
        <f>100</f>
        <v>100</v>
      </c>
      <c r="J6" s="28">
        <f t="shared" ref="J6:Q6" si="10">0</f>
        <v>0</v>
      </c>
      <c r="K6" s="28">
        <f t="shared" si="10"/>
        <v>0</v>
      </c>
      <c r="L6" s="28">
        <f t="shared" si="10"/>
        <v>0</v>
      </c>
      <c r="M6" s="28">
        <f t="shared" si="10"/>
        <v>0</v>
      </c>
      <c r="N6" s="28">
        <f t="shared" si="10"/>
        <v>0</v>
      </c>
      <c r="O6" s="28">
        <f t="shared" si="10"/>
        <v>0</v>
      </c>
      <c r="P6" s="28">
        <f t="shared" si="10"/>
        <v>0</v>
      </c>
      <c r="Q6" s="28">
        <f t="shared" si="10"/>
        <v>0</v>
      </c>
    </row>
    <row r="7">
      <c r="B7" s="20">
        <v>46204.0</v>
      </c>
      <c r="C7" s="21">
        <v>80.0</v>
      </c>
      <c r="D7" s="28">
        <f t="shared" ref="D7:I7" si="11">0</f>
        <v>0</v>
      </c>
      <c r="E7" s="28">
        <f t="shared" si="11"/>
        <v>0</v>
      </c>
      <c r="F7" s="28">
        <f t="shared" si="11"/>
        <v>0</v>
      </c>
      <c r="G7" s="28">
        <f t="shared" si="11"/>
        <v>0</v>
      </c>
      <c r="H7" s="28">
        <f t="shared" si="11"/>
        <v>0</v>
      </c>
      <c r="I7" s="28">
        <f t="shared" si="11"/>
        <v>0</v>
      </c>
      <c r="J7" s="28">
        <f>80</f>
        <v>80</v>
      </c>
      <c r="K7" s="28">
        <f t="shared" ref="K7:Q7" si="12">0</f>
        <v>0</v>
      </c>
      <c r="L7" s="28">
        <f t="shared" si="12"/>
        <v>0</v>
      </c>
      <c r="M7" s="28">
        <f t="shared" si="12"/>
        <v>0</v>
      </c>
      <c r="N7" s="28">
        <f t="shared" si="12"/>
        <v>0</v>
      </c>
      <c r="O7" s="28">
        <f t="shared" si="12"/>
        <v>0</v>
      </c>
      <c r="P7" s="28">
        <f t="shared" si="12"/>
        <v>0</v>
      </c>
      <c r="Q7" s="28">
        <f t="shared" si="12"/>
        <v>0</v>
      </c>
    </row>
    <row r="8">
      <c r="B8" s="20">
        <v>46205.0</v>
      </c>
      <c r="C8" s="21">
        <v>180.0</v>
      </c>
      <c r="D8" s="28">
        <f t="shared" ref="D8:E8" si="13">0</f>
        <v>0</v>
      </c>
      <c r="E8" s="28">
        <f t="shared" si="13"/>
        <v>0</v>
      </c>
      <c r="F8" s="28">
        <f>36</f>
        <v>36</v>
      </c>
      <c r="G8" s="28">
        <f>0</f>
        <v>0</v>
      </c>
      <c r="H8" s="28">
        <f>36</f>
        <v>36</v>
      </c>
      <c r="I8" s="28">
        <f t="shared" ref="I8:N8" si="14">0</f>
        <v>0</v>
      </c>
      <c r="J8" s="28">
        <f t="shared" si="14"/>
        <v>0</v>
      </c>
      <c r="K8" s="28">
        <f t="shared" si="14"/>
        <v>0</v>
      </c>
      <c r="L8" s="28">
        <f t="shared" si="14"/>
        <v>0</v>
      </c>
      <c r="M8" s="28">
        <f t="shared" si="14"/>
        <v>0</v>
      </c>
      <c r="N8" s="28">
        <f t="shared" si="14"/>
        <v>0</v>
      </c>
      <c r="O8" s="28">
        <f>36</f>
        <v>36</v>
      </c>
      <c r="P8" s="28">
        <f>0</f>
        <v>0</v>
      </c>
      <c r="Q8" s="28">
        <f>72</f>
        <v>72</v>
      </c>
    </row>
    <row r="9">
      <c r="B9" s="20">
        <v>46205.0</v>
      </c>
      <c r="C9" s="21">
        <v>80.0</v>
      </c>
      <c r="D9" s="28">
        <f t="shared" ref="D9:H9" si="15">0</f>
        <v>0</v>
      </c>
      <c r="E9" s="28">
        <f t="shared" si="15"/>
        <v>0</v>
      </c>
      <c r="F9" s="28">
        <f t="shared" si="15"/>
        <v>0</v>
      </c>
      <c r="G9" s="28">
        <f t="shared" si="15"/>
        <v>0</v>
      </c>
      <c r="H9" s="28">
        <f t="shared" si="15"/>
        <v>0</v>
      </c>
      <c r="I9" s="28">
        <f>64</f>
        <v>64</v>
      </c>
      <c r="J9" s="28">
        <f t="shared" ref="J9:P9" si="16">0</f>
        <v>0</v>
      </c>
      <c r="K9" s="28">
        <f t="shared" si="16"/>
        <v>0</v>
      </c>
      <c r="L9" s="28">
        <f t="shared" si="16"/>
        <v>0</v>
      </c>
      <c r="M9" s="28">
        <f t="shared" si="16"/>
        <v>0</v>
      </c>
      <c r="N9" s="28">
        <f t="shared" si="16"/>
        <v>0</v>
      </c>
      <c r="O9" s="28">
        <f t="shared" si="16"/>
        <v>0</v>
      </c>
      <c r="P9" s="28">
        <f t="shared" si="16"/>
        <v>0</v>
      </c>
      <c r="Q9" s="28">
        <f>16</f>
        <v>16</v>
      </c>
    </row>
    <row r="10">
      <c r="B10" s="20">
        <v>46205.0</v>
      </c>
      <c r="C10" s="21">
        <v>100.0</v>
      </c>
      <c r="D10" s="28">
        <f t="shared" ref="D10:G10" si="17">0</f>
        <v>0</v>
      </c>
      <c r="E10" s="28">
        <f t="shared" si="17"/>
        <v>0</v>
      </c>
      <c r="F10" s="28">
        <f t="shared" si="17"/>
        <v>0</v>
      </c>
      <c r="G10" s="28">
        <f t="shared" si="17"/>
        <v>0</v>
      </c>
      <c r="H10" s="28">
        <f>100</f>
        <v>100</v>
      </c>
      <c r="I10" s="28">
        <f t="shared" ref="I10:Q10" si="18">0</f>
        <v>0</v>
      </c>
      <c r="J10" s="28">
        <f t="shared" si="18"/>
        <v>0</v>
      </c>
      <c r="K10" s="28">
        <f t="shared" si="18"/>
        <v>0</v>
      </c>
      <c r="L10" s="28">
        <f t="shared" si="18"/>
        <v>0</v>
      </c>
      <c r="M10" s="28">
        <f t="shared" si="18"/>
        <v>0</v>
      </c>
      <c r="N10" s="28">
        <f t="shared" si="18"/>
        <v>0</v>
      </c>
      <c r="O10" s="28">
        <f t="shared" si="18"/>
        <v>0</v>
      </c>
      <c r="P10" s="28">
        <f t="shared" si="18"/>
        <v>0</v>
      </c>
      <c r="Q10" s="28">
        <f t="shared" si="18"/>
        <v>0</v>
      </c>
    </row>
    <row r="11">
      <c r="B11" s="20">
        <v>46205.0</v>
      </c>
      <c r="C11" s="21">
        <v>580.0</v>
      </c>
      <c r="D11" s="28">
        <f t="shared" ref="D11:I11" si="19">0</f>
        <v>0</v>
      </c>
      <c r="E11" s="28">
        <f t="shared" si="19"/>
        <v>0</v>
      </c>
      <c r="F11" s="28">
        <f t="shared" si="19"/>
        <v>0</v>
      </c>
      <c r="G11" s="28">
        <f t="shared" si="19"/>
        <v>0</v>
      </c>
      <c r="H11" s="28">
        <f t="shared" si="19"/>
        <v>0</v>
      </c>
      <c r="I11" s="28">
        <f t="shared" si="19"/>
        <v>0</v>
      </c>
      <c r="J11" s="28">
        <f>580</f>
        <v>580</v>
      </c>
      <c r="K11" s="28">
        <f t="shared" ref="K11:Q11" si="20">0</f>
        <v>0</v>
      </c>
      <c r="L11" s="28">
        <f t="shared" si="20"/>
        <v>0</v>
      </c>
      <c r="M11" s="28">
        <f t="shared" si="20"/>
        <v>0</v>
      </c>
      <c r="N11" s="28">
        <f t="shared" si="20"/>
        <v>0</v>
      </c>
      <c r="O11" s="28">
        <f t="shared" si="20"/>
        <v>0</v>
      </c>
      <c r="P11" s="28">
        <f t="shared" si="20"/>
        <v>0</v>
      </c>
      <c r="Q11" s="28">
        <f t="shared" si="20"/>
        <v>0</v>
      </c>
    </row>
    <row r="12">
      <c r="B12" s="20">
        <v>46206.0</v>
      </c>
      <c r="C12" s="21">
        <v>20.0</v>
      </c>
      <c r="D12" s="28">
        <f>20</f>
        <v>20</v>
      </c>
      <c r="E12" s="28">
        <f t="shared" ref="E12:Q12" si="21">0</f>
        <v>0</v>
      </c>
      <c r="F12" s="28">
        <f t="shared" si="21"/>
        <v>0</v>
      </c>
      <c r="G12" s="28">
        <f t="shared" si="21"/>
        <v>0</v>
      </c>
      <c r="H12" s="28">
        <f t="shared" si="21"/>
        <v>0</v>
      </c>
      <c r="I12" s="28">
        <f t="shared" si="21"/>
        <v>0</v>
      </c>
      <c r="J12" s="28">
        <f t="shared" si="21"/>
        <v>0</v>
      </c>
      <c r="K12" s="28">
        <f t="shared" si="21"/>
        <v>0</v>
      </c>
      <c r="L12" s="28">
        <f t="shared" si="21"/>
        <v>0</v>
      </c>
      <c r="M12" s="28">
        <f t="shared" si="21"/>
        <v>0</v>
      </c>
      <c r="N12" s="28">
        <f t="shared" si="21"/>
        <v>0</v>
      </c>
      <c r="O12" s="28">
        <f t="shared" si="21"/>
        <v>0</v>
      </c>
      <c r="P12" s="28">
        <f t="shared" si="21"/>
        <v>0</v>
      </c>
      <c r="Q12" s="28">
        <f t="shared" si="21"/>
        <v>0</v>
      </c>
    </row>
    <row r="13">
      <c r="B13" s="20">
        <v>46206.0</v>
      </c>
      <c r="C13" s="21">
        <v>20.0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1">
        <v>0.0</v>
      </c>
      <c r="P13" s="21">
        <v>0.0</v>
      </c>
      <c r="Q13" s="21">
        <v>20.0</v>
      </c>
    </row>
    <row r="14">
      <c r="B14" s="20">
        <v>46206.0</v>
      </c>
      <c r="C14" s="21">
        <v>100.0</v>
      </c>
      <c r="D14" s="28">
        <f t="shared" ref="D14:I14" si="22">0</f>
        <v>0</v>
      </c>
      <c r="E14" s="28">
        <f t="shared" si="22"/>
        <v>0</v>
      </c>
      <c r="F14" s="28">
        <f t="shared" si="22"/>
        <v>0</v>
      </c>
      <c r="G14" s="28">
        <f t="shared" si="22"/>
        <v>0</v>
      </c>
      <c r="H14" s="28">
        <f t="shared" si="22"/>
        <v>0</v>
      </c>
      <c r="I14" s="28">
        <f t="shared" si="22"/>
        <v>0</v>
      </c>
      <c r="J14" s="28">
        <f>10</f>
        <v>10</v>
      </c>
      <c r="K14" s="28">
        <f>90</f>
        <v>90</v>
      </c>
      <c r="L14" s="28">
        <f t="shared" ref="L14:Q14" si="23">0</f>
        <v>0</v>
      </c>
      <c r="M14" s="28">
        <f t="shared" si="23"/>
        <v>0</v>
      </c>
      <c r="N14" s="28">
        <f t="shared" si="23"/>
        <v>0</v>
      </c>
      <c r="O14" s="28">
        <f t="shared" si="23"/>
        <v>0</v>
      </c>
      <c r="P14" s="28">
        <f t="shared" si="23"/>
        <v>0</v>
      </c>
      <c r="Q14" s="28">
        <f t="shared" si="23"/>
        <v>0</v>
      </c>
    </row>
    <row r="15">
      <c r="B15" s="20">
        <v>46206.0</v>
      </c>
      <c r="C15" s="21">
        <v>100.0</v>
      </c>
      <c r="D15" s="28">
        <f>10</f>
        <v>10</v>
      </c>
      <c r="E15" s="28">
        <f t="shared" ref="E15:I15" si="24">0</f>
        <v>0</v>
      </c>
      <c r="F15" s="28">
        <f t="shared" si="24"/>
        <v>0</v>
      </c>
      <c r="G15" s="28">
        <f t="shared" si="24"/>
        <v>0</v>
      </c>
      <c r="H15" s="28">
        <f t="shared" si="24"/>
        <v>0</v>
      </c>
      <c r="I15" s="28">
        <f t="shared" si="24"/>
        <v>0</v>
      </c>
      <c r="J15" s="28">
        <f>90</f>
        <v>90</v>
      </c>
      <c r="K15" s="28">
        <f t="shared" ref="K15:Q15" si="25">0</f>
        <v>0</v>
      </c>
      <c r="L15" s="28">
        <f t="shared" si="25"/>
        <v>0</v>
      </c>
      <c r="M15" s="28">
        <f t="shared" si="25"/>
        <v>0</v>
      </c>
      <c r="N15" s="28">
        <f t="shared" si="25"/>
        <v>0</v>
      </c>
      <c r="O15" s="28">
        <f t="shared" si="25"/>
        <v>0</v>
      </c>
      <c r="P15" s="28">
        <f t="shared" si="25"/>
        <v>0</v>
      </c>
      <c r="Q15" s="28">
        <f t="shared" si="25"/>
        <v>0</v>
      </c>
    </row>
    <row r="16">
      <c r="B16" s="20">
        <v>46206.0</v>
      </c>
      <c r="C16" s="21">
        <v>160.0</v>
      </c>
      <c r="D16" s="28">
        <f>64</f>
        <v>64</v>
      </c>
      <c r="E16" s="28">
        <f t="shared" ref="E16:H16" si="26">0</f>
        <v>0</v>
      </c>
      <c r="F16" s="28">
        <f t="shared" si="26"/>
        <v>0</v>
      </c>
      <c r="G16" s="28">
        <f t="shared" si="26"/>
        <v>0</v>
      </c>
      <c r="H16" s="28">
        <f t="shared" si="26"/>
        <v>0</v>
      </c>
      <c r="I16" s="28">
        <f>96</f>
        <v>96</v>
      </c>
      <c r="J16" s="28">
        <f t="shared" ref="J16:Q16" si="27">0</f>
        <v>0</v>
      </c>
      <c r="K16" s="28">
        <f t="shared" si="27"/>
        <v>0</v>
      </c>
      <c r="L16" s="28">
        <f t="shared" si="27"/>
        <v>0</v>
      </c>
      <c r="M16" s="28">
        <f t="shared" si="27"/>
        <v>0</v>
      </c>
      <c r="N16" s="28">
        <f t="shared" si="27"/>
        <v>0</v>
      </c>
      <c r="O16" s="28">
        <f t="shared" si="27"/>
        <v>0</v>
      </c>
      <c r="P16" s="28">
        <f t="shared" si="27"/>
        <v>0</v>
      </c>
      <c r="Q16" s="28">
        <f t="shared" si="27"/>
        <v>0</v>
      </c>
    </row>
    <row r="17">
      <c r="B17" s="20">
        <v>46206.0</v>
      </c>
      <c r="C17" s="21">
        <v>280.0</v>
      </c>
      <c r="D17" s="28">
        <f>84</f>
        <v>84</v>
      </c>
      <c r="E17" s="28">
        <f t="shared" ref="E17:J17" si="28">0</f>
        <v>0</v>
      </c>
      <c r="F17" s="28">
        <f t="shared" si="28"/>
        <v>0</v>
      </c>
      <c r="G17" s="28">
        <f t="shared" si="28"/>
        <v>0</v>
      </c>
      <c r="H17" s="28">
        <f t="shared" si="28"/>
        <v>0</v>
      </c>
      <c r="I17" s="28">
        <f t="shared" si="28"/>
        <v>0</v>
      </c>
      <c r="J17" s="28">
        <f t="shared" si="28"/>
        <v>0</v>
      </c>
      <c r="K17" s="28">
        <f>168</f>
        <v>168</v>
      </c>
      <c r="L17" s="28">
        <f>28</f>
        <v>28</v>
      </c>
      <c r="M17" s="28">
        <f t="shared" ref="M17:Q17" si="29">0</f>
        <v>0</v>
      </c>
      <c r="N17" s="28">
        <f t="shared" si="29"/>
        <v>0</v>
      </c>
      <c r="O17" s="28">
        <f t="shared" si="29"/>
        <v>0</v>
      </c>
      <c r="P17" s="28">
        <f t="shared" si="29"/>
        <v>0</v>
      </c>
      <c r="Q17" s="28">
        <f t="shared" si="29"/>
        <v>0</v>
      </c>
    </row>
    <row r="18">
      <c r="B18" s="20">
        <v>46207.0</v>
      </c>
      <c r="C18" s="21">
        <v>20.0</v>
      </c>
      <c r="D18" s="28">
        <f>6</f>
        <v>6</v>
      </c>
      <c r="E18" s="28">
        <f t="shared" ref="E18:I18" si="30">0</f>
        <v>0</v>
      </c>
      <c r="F18" s="28">
        <f t="shared" si="30"/>
        <v>0</v>
      </c>
      <c r="G18" s="28">
        <f t="shared" si="30"/>
        <v>0</v>
      </c>
      <c r="H18" s="28">
        <f t="shared" si="30"/>
        <v>0</v>
      </c>
      <c r="I18" s="28">
        <f t="shared" si="30"/>
        <v>0</v>
      </c>
      <c r="J18" s="28">
        <f>6</f>
        <v>6</v>
      </c>
      <c r="K18" s="28">
        <f t="shared" ref="K18:N18" si="31">0</f>
        <v>0</v>
      </c>
      <c r="L18" s="28">
        <f t="shared" si="31"/>
        <v>0</v>
      </c>
      <c r="M18" s="28">
        <f t="shared" si="31"/>
        <v>0</v>
      </c>
      <c r="N18" s="28">
        <f t="shared" si="31"/>
        <v>0</v>
      </c>
      <c r="O18" s="28">
        <f>6</f>
        <v>6</v>
      </c>
      <c r="P18" s="28">
        <f>0</f>
        <v>0</v>
      </c>
      <c r="Q18" s="28">
        <f>2</f>
        <v>2</v>
      </c>
    </row>
    <row r="19">
      <c r="B19" s="20">
        <v>46207.0</v>
      </c>
      <c r="C19" s="21">
        <v>100.0</v>
      </c>
      <c r="D19" s="28">
        <f>50</f>
        <v>50</v>
      </c>
      <c r="E19" s="28">
        <f t="shared" ref="E19:H19" si="32">0</f>
        <v>0</v>
      </c>
      <c r="F19" s="28">
        <f t="shared" si="32"/>
        <v>0</v>
      </c>
      <c r="G19" s="28">
        <f t="shared" si="32"/>
        <v>0</v>
      </c>
      <c r="H19" s="28">
        <f t="shared" si="32"/>
        <v>0</v>
      </c>
      <c r="I19" s="28">
        <f>10</f>
        <v>10</v>
      </c>
      <c r="J19" s="28">
        <f t="shared" ref="J19:P19" si="33">0</f>
        <v>0</v>
      </c>
      <c r="K19" s="28">
        <f t="shared" si="33"/>
        <v>0</v>
      </c>
      <c r="L19" s="28">
        <f t="shared" si="33"/>
        <v>0</v>
      </c>
      <c r="M19" s="28">
        <f t="shared" si="33"/>
        <v>0</v>
      </c>
      <c r="N19" s="28">
        <f t="shared" si="33"/>
        <v>0</v>
      </c>
      <c r="O19" s="28">
        <f t="shared" si="33"/>
        <v>0</v>
      </c>
      <c r="P19" s="28">
        <f t="shared" si="33"/>
        <v>0</v>
      </c>
      <c r="Q19" s="28">
        <f>40</f>
        <v>40</v>
      </c>
    </row>
    <row r="20">
      <c r="B20" s="20">
        <v>46208.0</v>
      </c>
      <c r="C20" s="21">
        <v>120.0</v>
      </c>
      <c r="D20" s="28">
        <f>24</f>
        <v>24</v>
      </c>
      <c r="E20" s="28">
        <f t="shared" ref="E20:G20" si="34">0</f>
        <v>0</v>
      </c>
      <c r="F20" s="28">
        <f t="shared" si="34"/>
        <v>0</v>
      </c>
      <c r="G20" s="28">
        <f t="shared" si="34"/>
        <v>0</v>
      </c>
      <c r="H20" s="28">
        <f>84</f>
        <v>84</v>
      </c>
      <c r="I20" s="28">
        <f t="shared" ref="I20:P20" si="35">0</f>
        <v>0</v>
      </c>
      <c r="J20" s="28">
        <f t="shared" si="35"/>
        <v>0</v>
      </c>
      <c r="K20" s="28">
        <f t="shared" si="35"/>
        <v>0</v>
      </c>
      <c r="L20" s="28">
        <f t="shared" si="35"/>
        <v>0</v>
      </c>
      <c r="M20" s="28">
        <f t="shared" si="35"/>
        <v>0</v>
      </c>
      <c r="N20" s="28">
        <f t="shared" si="35"/>
        <v>0</v>
      </c>
      <c r="O20" s="28">
        <f t="shared" si="35"/>
        <v>0</v>
      </c>
      <c r="P20" s="28">
        <f t="shared" si="35"/>
        <v>0</v>
      </c>
      <c r="Q20" s="28">
        <f>12</f>
        <v>12</v>
      </c>
    </row>
    <row r="21">
      <c r="B21" s="20">
        <v>46209.0</v>
      </c>
      <c r="C21" s="21">
        <v>100.0</v>
      </c>
      <c r="D21" s="28">
        <f>30</f>
        <v>30</v>
      </c>
      <c r="E21" s="28">
        <f t="shared" ref="E21:G21" si="36">0</f>
        <v>0</v>
      </c>
      <c r="F21" s="28">
        <f t="shared" si="36"/>
        <v>0</v>
      </c>
      <c r="G21" s="28">
        <f t="shared" si="36"/>
        <v>0</v>
      </c>
      <c r="H21" s="28">
        <f>10</f>
        <v>10</v>
      </c>
      <c r="I21" s="28">
        <f>0</f>
        <v>0</v>
      </c>
      <c r="J21" s="28">
        <f>50</f>
        <v>50</v>
      </c>
      <c r="K21" s="28">
        <f t="shared" ref="K21:N21" si="37">0</f>
        <v>0</v>
      </c>
      <c r="L21" s="28">
        <f t="shared" si="37"/>
        <v>0</v>
      </c>
      <c r="M21" s="28">
        <f t="shared" si="37"/>
        <v>0</v>
      </c>
      <c r="N21" s="28">
        <f t="shared" si="37"/>
        <v>0</v>
      </c>
      <c r="O21" s="28">
        <f>10</f>
        <v>10</v>
      </c>
      <c r="P21" s="28">
        <f t="shared" ref="P21:Q21" si="38">0</f>
        <v>0</v>
      </c>
      <c r="Q21" s="28">
        <f t="shared" si="38"/>
        <v>0</v>
      </c>
    </row>
    <row r="22">
      <c r="B22" s="20">
        <v>46209.0</v>
      </c>
      <c r="C22" s="21">
        <v>60.0</v>
      </c>
      <c r="D22" s="21">
        <v>0.0</v>
      </c>
      <c r="E22" s="21">
        <v>0.0</v>
      </c>
      <c r="F22" s="21">
        <v>0.0</v>
      </c>
      <c r="G22" s="21">
        <v>0.0</v>
      </c>
      <c r="H22" s="21">
        <v>0.0</v>
      </c>
      <c r="I22" s="21">
        <v>0.0</v>
      </c>
      <c r="J22" s="21">
        <v>0.0</v>
      </c>
      <c r="K22" s="21">
        <v>0.0</v>
      </c>
      <c r="L22" s="21">
        <v>0.0</v>
      </c>
      <c r="M22" s="21">
        <v>0.0</v>
      </c>
      <c r="N22" s="21">
        <v>0.0</v>
      </c>
      <c r="O22" s="21">
        <v>0.0</v>
      </c>
      <c r="P22" s="21">
        <v>0.0</v>
      </c>
      <c r="Q22" s="21">
        <v>60.0</v>
      </c>
    </row>
    <row r="23">
      <c r="B23" s="20">
        <v>46209.0</v>
      </c>
      <c r="C23" s="21">
        <v>80.0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  <c r="J23" s="21">
        <v>0.0</v>
      </c>
      <c r="K23" s="21">
        <v>0.0</v>
      </c>
      <c r="L23" s="21">
        <v>0.0</v>
      </c>
      <c r="M23" s="21">
        <v>0.0</v>
      </c>
      <c r="N23" s="21">
        <v>0.0</v>
      </c>
      <c r="O23" s="21">
        <v>0.0</v>
      </c>
      <c r="P23" s="21">
        <v>0.0</v>
      </c>
      <c r="Q23" s="21">
        <v>80.0</v>
      </c>
    </row>
    <row r="24">
      <c r="B24" s="20">
        <v>46209.0</v>
      </c>
      <c r="C24" s="21">
        <v>120.0</v>
      </c>
      <c r="D24" s="28">
        <f>60</f>
        <v>60</v>
      </c>
      <c r="E24" s="28">
        <f t="shared" ref="E24:I24" si="39">0</f>
        <v>0</v>
      </c>
      <c r="F24" s="28">
        <f t="shared" si="39"/>
        <v>0</v>
      </c>
      <c r="G24" s="28">
        <f t="shared" si="39"/>
        <v>0</v>
      </c>
      <c r="H24" s="28">
        <f t="shared" si="39"/>
        <v>0</v>
      </c>
      <c r="I24" s="28">
        <f t="shared" si="39"/>
        <v>0</v>
      </c>
      <c r="J24" s="28">
        <f>60</f>
        <v>60</v>
      </c>
      <c r="K24" s="28">
        <f t="shared" ref="K24:Q24" si="40">0</f>
        <v>0</v>
      </c>
      <c r="L24" s="28">
        <f t="shared" si="40"/>
        <v>0</v>
      </c>
      <c r="M24" s="28">
        <f t="shared" si="40"/>
        <v>0</v>
      </c>
      <c r="N24" s="28">
        <f t="shared" si="40"/>
        <v>0</v>
      </c>
      <c r="O24" s="28">
        <f t="shared" si="40"/>
        <v>0</v>
      </c>
      <c r="P24" s="28">
        <f t="shared" si="40"/>
        <v>0</v>
      </c>
      <c r="Q24" s="28">
        <f t="shared" si="40"/>
        <v>0</v>
      </c>
    </row>
    <row r="25">
      <c r="B25" s="20">
        <v>46209.0</v>
      </c>
      <c r="C25" s="21">
        <v>60.0</v>
      </c>
      <c r="D25" s="21">
        <v>0.0</v>
      </c>
      <c r="E25" s="21">
        <v>0.0</v>
      </c>
      <c r="F25" s="21">
        <v>0.0</v>
      </c>
      <c r="G25" s="21">
        <v>0.0</v>
      </c>
      <c r="H25" s="21">
        <v>0.0</v>
      </c>
      <c r="I25" s="21">
        <v>0.0</v>
      </c>
      <c r="J25" s="21">
        <v>0.0</v>
      </c>
      <c r="K25" s="21">
        <v>0.0</v>
      </c>
      <c r="L25" s="21">
        <v>0.0</v>
      </c>
      <c r="M25" s="21">
        <v>0.0</v>
      </c>
      <c r="N25" s="21">
        <v>0.0</v>
      </c>
      <c r="O25" s="21">
        <v>0.0</v>
      </c>
      <c r="P25" s="21">
        <v>0.0</v>
      </c>
      <c r="Q25" s="21">
        <v>60.0</v>
      </c>
    </row>
    <row r="26">
      <c r="B26" s="20">
        <v>46210.0</v>
      </c>
      <c r="C26" s="21">
        <v>100.0</v>
      </c>
      <c r="D26" s="28">
        <f t="shared" ref="D26:F26" si="41">0</f>
        <v>0</v>
      </c>
      <c r="E26" s="28">
        <f t="shared" si="41"/>
        <v>0</v>
      </c>
      <c r="F26" s="28">
        <f t="shared" si="41"/>
        <v>0</v>
      </c>
      <c r="G26" s="28">
        <f>90</f>
        <v>90</v>
      </c>
      <c r="H26" s="28">
        <f>0</f>
        <v>0</v>
      </c>
      <c r="I26" s="28">
        <f>10</f>
        <v>10</v>
      </c>
      <c r="J26" s="28">
        <f t="shared" ref="J26:Q26" si="42">0</f>
        <v>0</v>
      </c>
      <c r="K26" s="28">
        <f t="shared" si="42"/>
        <v>0</v>
      </c>
      <c r="L26" s="28">
        <f t="shared" si="42"/>
        <v>0</v>
      </c>
      <c r="M26" s="28">
        <f t="shared" si="42"/>
        <v>0</v>
      </c>
      <c r="N26" s="28">
        <f t="shared" si="42"/>
        <v>0</v>
      </c>
      <c r="O26" s="28">
        <f t="shared" si="42"/>
        <v>0</v>
      </c>
      <c r="P26" s="28">
        <f t="shared" si="42"/>
        <v>0</v>
      </c>
      <c r="Q26" s="28">
        <f t="shared" si="42"/>
        <v>0</v>
      </c>
    </row>
    <row r="27">
      <c r="B27" s="20">
        <v>46210.0</v>
      </c>
      <c r="C27" s="21">
        <v>40.0</v>
      </c>
      <c r="D27" s="21">
        <v>0.0</v>
      </c>
      <c r="E27" s="21">
        <v>0.0</v>
      </c>
      <c r="F27" s="21">
        <v>0.0</v>
      </c>
      <c r="G27" s="21">
        <v>0.0</v>
      </c>
      <c r="H27" s="21">
        <v>0.0</v>
      </c>
      <c r="I27" s="21">
        <v>0.0</v>
      </c>
      <c r="J27" s="21">
        <v>0.0</v>
      </c>
      <c r="K27" s="21">
        <v>0.0</v>
      </c>
      <c r="L27" s="21">
        <v>0.0</v>
      </c>
      <c r="M27" s="21">
        <v>0.0</v>
      </c>
      <c r="N27" s="21">
        <v>0.0</v>
      </c>
      <c r="O27" s="21">
        <v>0.0</v>
      </c>
      <c r="P27" s="21">
        <v>0.0</v>
      </c>
      <c r="Q27" s="21">
        <v>40.0</v>
      </c>
    </row>
    <row r="28">
      <c r="B28" s="20">
        <v>46210.0</v>
      </c>
      <c r="C28" s="21">
        <v>40.0</v>
      </c>
      <c r="D28" s="21">
        <v>0.0</v>
      </c>
      <c r="E28" s="21">
        <v>0.0</v>
      </c>
      <c r="F28" s="21">
        <v>0.0</v>
      </c>
      <c r="G28" s="21">
        <v>0.0</v>
      </c>
      <c r="H28" s="21">
        <v>0.0</v>
      </c>
      <c r="I28" s="21">
        <v>0.0</v>
      </c>
      <c r="J28" s="21">
        <v>0.0</v>
      </c>
      <c r="K28" s="21">
        <v>0.0</v>
      </c>
      <c r="L28" s="21">
        <v>0.0</v>
      </c>
      <c r="M28" s="21">
        <v>0.0</v>
      </c>
      <c r="N28" s="21">
        <v>0.0</v>
      </c>
      <c r="O28" s="21">
        <v>0.0</v>
      </c>
      <c r="P28" s="21">
        <v>0.0</v>
      </c>
      <c r="Q28" s="21">
        <v>40.0</v>
      </c>
    </row>
    <row r="29">
      <c r="B29" s="20">
        <v>46210.0</v>
      </c>
      <c r="C29" s="21">
        <v>120.0</v>
      </c>
      <c r="D29" s="28">
        <f t="shared" ref="D29:E29" si="43">0</f>
        <v>0</v>
      </c>
      <c r="E29" s="28">
        <f t="shared" si="43"/>
        <v>0</v>
      </c>
      <c r="F29" s="28">
        <f>24</f>
        <v>24</v>
      </c>
      <c r="G29" s="28">
        <f t="shared" ref="G29:I29" si="44">0</f>
        <v>0</v>
      </c>
      <c r="H29" s="28">
        <f t="shared" si="44"/>
        <v>0</v>
      </c>
      <c r="I29" s="28">
        <f t="shared" si="44"/>
        <v>0</v>
      </c>
      <c r="J29" s="28">
        <f>12</f>
        <v>12</v>
      </c>
      <c r="K29" s="28">
        <f>84</f>
        <v>84</v>
      </c>
      <c r="L29" s="28">
        <f t="shared" ref="L29:Q29" si="45">0</f>
        <v>0</v>
      </c>
      <c r="M29" s="28">
        <f t="shared" si="45"/>
        <v>0</v>
      </c>
      <c r="N29" s="28">
        <f t="shared" si="45"/>
        <v>0</v>
      </c>
      <c r="O29" s="28">
        <f t="shared" si="45"/>
        <v>0</v>
      </c>
      <c r="P29" s="28">
        <f t="shared" si="45"/>
        <v>0</v>
      </c>
      <c r="Q29" s="28">
        <f t="shared" si="45"/>
        <v>0</v>
      </c>
    </row>
    <row r="30">
      <c r="B30" s="20">
        <v>46210.0</v>
      </c>
      <c r="C30" s="21">
        <v>100.0</v>
      </c>
      <c r="D30" s="28">
        <f t="shared" ref="D30:G30" si="46">0</f>
        <v>0</v>
      </c>
      <c r="E30" s="28">
        <f t="shared" si="46"/>
        <v>0</v>
      </c>
      <c r="F30" s="28">
        <f t="shared" si="46"/>
        <v>0</v>
      </c>
      <c r="G30" s="28">
        <f t="shared" si="46"/>
        <v>0</v>
      </c>
      <c r="H30" s="28">
        <f>50</f>
        <v>50</v>
      </c>
      <c r="I30" s="28">
        <f t="shared" ref="I30:K30" si="47">0</f>
        <v>0</v>
      </c>
      <c r="J30" s="28">
        <f t="shared" si="47"/>
        <v>0</v>
      </c>
      <c r="K30" s="28">
        <f t="shared" si="47"/>
        <v>0</v>
      </c>
      <c r="L30" s="28">
        <f>50</f>
        <v>50</v>
      </c>
      <c r="M30" s="28">
        <f t="shared" ref="M30:Q30" si="48">0</f>
        <v>0</v>
      </c>
      <c r="N30" s="28">
        <f t="shared" si="48"/>
        <v>0</v>
      </c>
      <c r="O30" s="28">
        <f t="shared" si="48"/>
        <v>0</v>
      </c>
      <c r="P30" s="28">
        <f t="shared" si="48"/>
        <v>0</v>
      </c>
      <c r="Q30" s="28">
        <f t="shared" si="48"/>
        <v>0</v>
      </c>
    </row>
    <row r="31">
      <c r="B31" s="20">
        <v>46211.0</v>
      </c>
      <c r="C31" s="21">
        <v>380.0</v>
      </c>
      <c r="D31" s="28">
        <f>76</f>
        <v>76</v>
      </c>
      <c r="E31" s="28">
        <f>304</f>
        <v>304</v>
      </c>
      <c r="F31" s="28">
        <f t="shared" ref="F31:Q31" si="49">0</f>
        <v>0</v>
      </c>
      <c r="G31" s="28">
        <f t="shared" si="49"/>
        <v>0</v>
      </c>
      <c r="H31" s="28">
        <f t="shared" si="49"/>
        <v>0</v>
      </c>
      <c r="I31" s="28">
        <f t="shared" si="49"/>
        <v>0</v>
      </c>
      <c r="J31" s="28">
        <f t="shared" si="49"/>
        <v>0</v>
      </c>
      <c r="K31" s="28">
        <f t="shared" si="49"/>
        <v>0</v>
      </c>
      <c r="L31" s="28">
        <f t="shared" si="49"/>
        <v>0</v>
      </c>
      <c r="M31" s="28">
        <f t="shared" si="49"/>
        <v>0</v>
      </c>
      <c r="N31" s="28">
        <f t="shared" si="49"/>
        <v>0</v>
      </c>
      <c r="O31" s="28">
        <f t="shared" si="49"/>
        <v>0</v>
      </c>
      <c r="P31" s="28">
        <f t="shared" si="49"/>
        <v>0</v>
      </c>
      <c r="Q31" s="28">
        <f t="shared" si="49"/>
        <v>0</v>
      </c>
    </row>
    <row r="32">
      <c r="B32" s="20">
        <v>46211.0</v>
      </c>
      <c r="C32" s="21">
        <v>160.0</v>
      </c>
      <c r="D32" s="28">
        <f t="shared" ref="D32:I32" si="50">0</f>
        <v>0</v>
      </c>
      <c r="E32" s="28">
        <f t="shared" si="50"/>
        <v>0</v>
      </c>
      <c r="F32" s="28">
        <f t="shared" si="50"/>
        <v>0</v>
      </c>
      <c r="G32" s="28">
        <f t="shared" si="50"/>
        <v>0</v>
      </c>
      <c r="H32" s="28">
        <f t="shared" si="50"/>
        <v>0</v>
      </c>
      <c r="I32" s="28">
        <f t="shared" si="50"/>
        <v>0</v>
      </c>
      <c r="J32" s="28">
        <f t="shared" ref="J32:J33" si="53">160</f>
        <v>160</v>
      </c>
      <c r="K32" s="28">
        <f t="shared" ref="K32:Q32" si="51">0</f>
        <v>0</v>
      </c>
      <c r="L32" s="28">
        <f t="shared" si="51"/>
        <v>0</v>
      </c>
      <c r="M32" s="28">
        <f t="shared" si="51"/>
        <v>0</v>
      </c>
      <c r="N32" s="28">
        <f t="shared" si="51"/>
        <v>0</v>
      </c>
      <c r="O32" s="28">
        <f t="shared" si="51"/>
        <v>0</v>
      </c>
      <c r="P32" s="28">
        <f t="shared" si="51"/>
        <v>0</v>
      </c>
      <c r="Q32" s="28">
        <f t="shared" si="51"/>
        <v>0</v>
      </c>
    </row>
    <row r="33">
      <c r="B33" s="20">
        <v>46211.0</v>
      </c>
      <c r="C33" s="21">
        <v>160.0</v>
      </c>
      <c r="D33" s="28">
        <f t="shared" ref="D33:I33" si="52">0</f>
        <v>0</v>
      </c>
      <c r="E33" s="28">
        <f t="shared" si="52"/>
        <v>0</v>
      </c>
      <c r="F33" s="28">
        <f t="shared" si="52"/>
        <v>0</v>
      </c>
      <c r="G33" s="28">
        <f t="shared" si="52"/>
        <v>0</v>
      </c>
      <c r="H33" s="28">
        <f t="shared" si="52"/>
        <v>0</v>
      </c>
      <c r="I33" s="28">
        <f t="shared" si="52"/>
        <v>0</v>
      </c>
      <c r="J33" s="28">
        <f t="shared" si="53"/>
        <v>160</v>
      </c>
      <c r="K33" s="28">
        <f t="shared" ref="K33:Q33" si="54">0</f>
        <v>0</v>
      </c>
      <c r="L33" s="28">
        <f t="shared" si="54"/>
        <v>0</v>
      </c>
      <c r="M33" s="28">
        <f t="shared" si="54"/>
        <v>0</v>
      </c>
      <c r="N33" s="28">
        <f t="shared" si="54"/>
        <v>0</v>
      </c>
      <c r="O33" s="28">
        <f t="shared" si="54"/>
        <v>0</v>
      </c>
      <c r="P33" s="28">
        <f t="shared" si="54"/>
        <v>0</v>
      </c>
      <c r="Q33" s="28">
        <f t="shared" si="54"/>
        <v>0</v>
      </c>
    </row>
    <row r="34">
      <c r="B34" s="20">
        <v>46211.0</v>
      </c>
      <c r="C34" s="21">
        <v>240.0</v>
      </c>
      <c r="D34" s="28">
        <f>216</f>
        <v>216</v>
      </c>
      <c r="E34" s="28">
        <f>24</f>
        <v>24</v>
      </c>
      <c r="F34" s="28">
        <f t="shared" ref="F34:Q34" si="55">0</f>
        <v>0</v>
      </c>
      <c r="G34" s="28">
        <f t="shared" si="55"/>
        <v>0</v>
      </c>
      <c r="H34" s="28">
        <f t="shared" si="55"/>
        <v>0</v>
      </c>
      <c r="I34" s="28">
        <f t="shared" si="55"/>
        <v>0</v>
      </c>
      <c r="J34" s="28">
        <f t="shared" si="55"/>
        <v>0</v>
      </c>
      <c r="K34" s="28">
        <f t="shared" si="55"/>
        <v>0</v>
      </c>
      <c r="L34" s="28">
        <f t="shared" si="55"/>
        <v>0</v>
      </c>
      <c r="M34" s="28">
        <f t="shared" si="55"/>
        <v>0</v>
      </c>
      <c r="N34" s="28">
        <f t="shared" si="55"/>
        <v>0</v>
      </c>
      <c r="O34" s="28">
        <f t="shared" si="55"/>
        <v>0</v>
      </c>
      <c r="P34" s="28">
        <f t="shared" si="55"/>
        <v>0</v>
      </c>
      <c r="Q34" s="28">
        <f t="shared" si="55"/>
        <v>0</v>
      </c>
    </row>
    <row r="35">
      <c r="B35" s="20">
        <v>46212.0</v>
      </c>
      <c r="C35" s="21">
        <v>120.0</v>
      </c>
      <c r="D35" s="28">
        <f t="shared" ref="D35:H35" si="56">0</f>
        <v>0</v>
      </c>
      <c r="E35" s="28">
        <f t="shared" si="56"/>
        <v>0</v>
      </c>
      <c r="F35" s="28">
        <f t="shared" si="56"/>
        <v>0</v>
      </c>
      <c r="G35" s="28">
        <f t="shared" si="56"/>
        <v>0</v>
      </c>
      <c r="H35" s="28">
        <f t="shared" si="56"/>
        <v>0</v>
      </c>
      <c r="I35" s="28">
        <f>24</f>
        <v>24</v>
      </c>
      <c r="J35" s="28">
        <f t="shared" ref="J35:P35" si="57">0</f>
        <v>0</v>
      </c>
      <c r="K35" s="28">
        <f t="shared" si="57"/>
        <v>0</v>
      </c>
      <c r="L35" s="28">
        <f t="shared" si="57"/>
        <v>0</v>
      </c>
      <c r="M35" s="28">
        <f t="shared" si="57"/>
        <v>0</v>
      </c>
      <c r="N35" s="28">
        <f t="shared" si="57"/>
        <v>0</v>
      </c>
      <c r="O35" s="28">
        <f t="shared" si="57"/>
        <v>0</v>
      </c>
      <c r="P35" s="28">
        <f t="shared" si="57"/>
        <v>0</v>
      </c>
      <c r="Q35" s="28">
        <f>96</f>
        <v>96</v>
      </c>
    </row>
    <row r="36">
      <c r="B36" s="20">
        <v>46212.0</v>
      </c>
      <c r="C36" s="21">
        <v>100.0</v>
      </c>
      <c r="D36" s="28">
        <f>30</f>
        <v>30</v>
      </c>
      <c r="E36" s="28">
        <f t="shared" ref="E36:P36" si="58">0</f>
        <v>0</v>
      </c>
      <c r="F36" s="28">
        <f t="shared" si="58"/>
        <v>0</v>
      </c>
      <c r="G36" s="28">
        <f t="shared" si="58"/>
        <v>0</v>
      </c>
      <c r="H36" s="28">
        <f t="shared" si="58"/>
        <v>0</v>
      </c>
      <c r="I36" s="28">
        <f t="shared" si="58"/>
        <v>0</v>
      </c>
      <c r="J36" s="28">
        <f t="shared" si="58"/>
        <v>0</v>
      </c>
      <c r="K36" s="28">
        <f t="shared" si="58"/>
        <v>0</v>
      </c>
      <c r="L36" s="28">
        <f t="shared" si="58"/>
        <v>0</v>
      </c>
      <c r="M36" s="28">
        <f t="shared" si="58"/>
        <v>0</v>
      </c>
      <c r="N36" s="28">
        <f t="shared" si="58"/>
        <v>0</v>
      </c>
      <c r="O36" s="28">
        <f t="shared" si="58"/>
        <v>0</v>
      </c>
      <c r="P36" s="28">
        <f t="shared" si="58"/>
        <v>0</v>
      </c>
      <c r="Q36" s="28">
        <f>70</f>
        <v>70</v>
      </c>
    </row>
    <row r="37">
      <c r="B37" s="20">
        <v>46212.0</v>
      </c>
      <c r="C37" s="21">
        <v>200.0</v>
      </c>
      <c r="D37" s="28">
        <f>200</f>
        <v>200</v>
      </c>
      <c r="E37" s="28">
        <f t="shared" ref="E37:Q37" si="59">0</f>
        <v>0</v>
      </c>
      <c r="F37" s="28">
        <f t="shared" si="59"/>
        <v>0</v>
      </c>
      <c r="G37" s="28">
        <f t="shared" si="59"/>
        <v>0</v>
      </c>
      <c r="H37" s="28">
        <f t="shared" si="59"/>
        <v>0</v>
      </c>
      <c r="I37" s="28">
        <f t="shared" si="59"/>
        <v>0</v>
      </c>
      <c r="J37" s="28">
        <f t="shared" si="59"/>
        <v>0</v>
      </c>
      <c r="K37" s="28">
        <f t="shared" si="59"/>
        <v>0</v>
      </c>
      <c r="L37" s="28">
        <f t="shared" si="59"/>
        <v>0</v>
      </c>
      <c r="M37" s="28">
        <f t="shared" si="59"/>
        <v>0</v>
      </c>
      <c r="N37" s="28">
        <f t="shared" si="59"/>
        <v>0</v>
      </c>
      <c r="O37" s="28">
        <f t="shared" si="59"/>
        <v>0</v>
      </c>
      <c r="P37" s="28">
        <f t="shared" si="59"/>
        <v>0</v>
      </c>
      <c r="Q37" s="28">
        <f t="shared" si="59"/>
        <v>0</v>
      </c>
    </row>
    <row r="38">
      <c r="B38" s="20">
        <v>46212.0</v>
      </c>
      <c r="C38" s="21">
        <v>100.0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21">
        <v>0.0</v>
      </c>
      <c r="O38" s="21">
        <v>0.0</v>
      </c>
      <c r="P38" s="21">
        <v>0.0</v>
      </c>
      <c r="Q38" s="21">
        <v>100.0</v>
      </c>
    </row>
    <row r="39">
      <c r="B39" s="20">
        <v>46212.0</v>
      </c>
      <c r="C39" s="21">
        <v>40.0</v>
      </c>
      <c r="D39" s="28">
        <f t="shared" ref="D39:G39" si="60">0</f>
        <v>0</v>
      </c>
      <c r="E39" s="28">
        <f t="shared" si="60"/>
        <v>0</v>
      </c>
      <c r="F39" s="28">
        <f t="shared" si="60"/>
        <v>0</v>
      </c>
      <c r="G39" s="28">
        <f t="shared" si="60"/>
        <v>0</v>
      </c>
      <c r="H39" s="28">
        <f>40</f>
        <v>40</v>
      </c>
      <c r="I39" s="28">
        <f t="shared" ref="I39:Q39" si="61">0</f>
        <v>0</v>
      </c>
      <c r="J39" s="28">
        <f t="shared" si="61"/>
        <v>0</v>
      </c>
      <c r="K39" s="28">
        <f t="shared" si="61"/>
        <v>0</v>
      </c>
      <c r="L39" s="28">
        <f t="shared" si="61"/>
        <v>0</v>
      </c>
      <c r="M39" s="28">
        <f t="shared" si="61"/>
        <v>0</v>
      </c>
      <c r="N39" s="28">
        <f t="shared" si="61"/>
        <v>0</v>
      </c>
      <c r="O39" s="28">
        <f t="shared" si="61"/>
        <v>0</v>
      </c>
      <c r="P39" s="28">
        <f t="shared" si="61"/>
        <v>0</v>
      </c>
      <c r="Q39" s="28">
        <f t="shared" si="61"/>
        <v>0</v>
      </c>
    </row>
    <row r="40">
      <c r="B40" s="20">
        <v>46213.0</v>
      </c>
      <c r="C40" s="21">
        <v>460.0</v>
      </c>
      <c r="D40" s="28">
        <f>0</f>
        <v>0</v>
      </c>
      <c r="E40" s="28">
        <f>46</f>
        <v>46</v>
      </c>
      <c r="F40" s="28">
        <f>0</f>
        <v>0</v>
      </c>
      <c r="G40" s="28">
        <f>138</f>
        <v>138</v>
      </c>
      <c r="H40" s="28">
        <f t="shared" ref="H40:I40" si="62">0</f>
        <v>0</v>
      </c>
      <c r="I40" s="28">
        <f t="shared" si="62"/>
        <v>0</v>
      </c>
      <c r="J40" s="28">
        <f>276</f>
        <v>276</v>
      </c>
      <c r="K40" s="28">
        <f t="shared" ref="K40:Q40" si="63">0</f>
        <v>0</v>
      </c>
      <c r="L40" s="28">
        <f t="shared" si="63"/>
        <v>0</v>
      </c>
      <c r="M40" s="28">
        <f t="shared" si="63"/>
        <v>0</v>
      </c>
      <c r="N40" s="28">
        <f t="shared" si="63"/>
        <v>0</v>
      </c>
      <c r="O40" s="28">
        <f t="shared" si="63"/>
        <v>0</v>
      </c>
      <c r="P40" s="28">
        <f t="shared" si="63"/>
        <v>0</v>
      </c>
      <c r="Q40" s="28">
        <f t="shared" si="63"/>
        <v>0</v>
      </c>
    </row>
    <row r="41">
      <c r="B41" s="20">
        <v>46213.0</v>
      </c>
      <c r="C41" s="21">
        <v>160.0</v>
      </c>
      <c r="D41" s="28">
        <f>64</f>
        <v>64</v>
      </c>
      <c r="E41" s="28">
        <f t="shared" ref="E41:G41" si="64">0</f>
        <v>0</v>
      </c>
      <c r="F41" s="28">
        <f t="shared" si="64"/>
        <v>0</v>
      </c>
      <c r="G41" s="28">
        <f t="shared" si="64"/>
        <v>0</v>
      </c>
      <c r="H41" s="28">
        <f t="shared" ref="H41:I41" si="65">16</f>
        <v>16</v>
      </c>
      <c r="I41" s="28">
        <f t="shared" si="65"/>
        <v>16</v>
      </c>
      <c r="J41" s="28">
        <f>64</f>
        <v>64</v>
      </c>
      <c r="K41" s="28">
        <f t="shared" ref="K41:Q41" si="66">0</f>
        <v>0</v>
      </c>
      <c r="L41" s="28">
        <f t="shared" si="66"/>
        <v>0</v>
      </c>
      <c r="M41" s="28">
        <f t="shared" si="66"/>
        <v>0</v>
      </c>
      <c r="N41" s="28">
        <f t="shared" si="66"/>
        <v>0</v>
      </c>
      <c r="O41" s="28">
        <f t="shared" si="66"/>
        <v>0</v>
      </c>
      <c r="P41" s="28">
        <f t="shared" si="66"/>
        <v>0</v>
      </c>
      <c r="Q41" s="28">
        <f t="shared" si="66"/>
        <v>0</v>
      </c>
    </row>
    <row r="42">
      <c r="B42" s="20">
        <v>46213.0</v>
      </c>
      <c r="C42" s="21">
        <v>280.0</v>
      </c>
      <c r="D42" s="28">
        <f t="shared" ref="D42:I42" si="67">0</f>
        <v>0</v>
      </c>
      <c r="E42" s="28">
        <f t="shared" si="67"/>
        <v>0</v>
      </c>
      <c r="F42" s="28">
        <f t="shared" si="67"/>
        <v>0</v>
      </c>
      <c r="G42" s="28">
        <f t="shared" si="67"/>
        <v>0</v>
      </c>
      <c r="H42" s="28">
        <f t="shared" si="67"/>
        <v>0</v>
      </c>
      <c r="I42" s="28">
        <f t="shared" si="67"/>
        <v>0</v>
      </c>
      <c r="J42" s="28">
        <f>252</f>
        <v>252</v>
      </c>
      <c r="K42" s="28">
        <f t="shared" ref="K42:N42" si="68">0</f>
        <v>0</v>
      </c>
      <c r="L42" s="28">
        <f t="shared" si="68"/>
        <v>0</v>
      </c>
      <c r="M42" s="28">
        <f t="shared" si="68"/>
        <v>0</v>
      </c>
      <c r="N42" s="28">
        <f t="shared" si="68"/>
        <v>0</v>
      </c>
      <c r="O42" s="28">
        <f>28</f>
        <v>28</v>
      </c>
      <c r="P42" s="28">
        <f t="shared" ref="P42:Q42" si="69">0</f>
        <v>0</v>
      </c>
      <c r="Q42" s="28">
        <f t="shared" si="69"/>
        <v>0</v>
      </c>
    </row>
    <row r="43">
      <c r="B43" s="20">
        <v>46213.0</v>
      </c>
      <c r="C43" s="21">
        <v>80.0</v>
      </c>
      <c r="D43" s="28">
        <f>16</f>
        <v>16</v>
      </c>
      <c r="E43" s="28">
        <f>0</f>
        <v>0</v>
      </c>
      <c r="F43" s="28">
        <f>16</f>
        <v>16</v>
      </c>
      <c r="G43" s="28">
        <f t="shared" ref="G43:I43" si="70">0</f>
        <v>0</v>
      </c>
      <c r="H43" s="28">
        <f t="shared" si="70"/>
        <v>0</v>
      </c>
      <c r="I43" s="28">
        <f t="shared" si="70"/>
        <v>0</v>
      </c>
      <c r="J43" s="28">
        <f>32</f>
        <v>32</v>
      </c>
      <c r="K43" s="28">
        <f t="shared" ref="K43:P43" si="71">0</f>
        <v>0</v>
      </c>
      <c r="L43" s="28">
        <f t="shared" si="71"/>
        <v>0</v>
      </c>
      <c r="M43" s="28">
        <f t="shared" si="71"/>
        <v>0</v>
      </c>
      <c r="N43" s="28">
        <f t="shared" si="71"/>
        <v>0</v>
      </c>
      <c r="O43" s="28">
        <f t="shared" si="71"/>
        <v>0</v>
      </c>
      <c r="P43" s="28">
        <f t="shared" si="71"/>
        <v>0</v>
      </c>
      <c r="Q43" s="28">
        <f t="shared" ref="Q43:Q44" si="74">16</f>
        <v>16</v>
      </c>
    </row>
    <row r="44">
      <c r="B44" s="20">
        <v>46214.0</v>
      </c>
      <c r="C44" s="21">
        <v>80.0</v>
      </c>
      <c r="D44" s="28">
        <f t="shared" ref="D44:H44" si="72">0</f>
        <v>0</v>
      </c>
      <c r="E44" s="28">
        <f t="shared" si="72"/>
        <v>0</v>
      </c>
      <c r="F44" s="28">
        <f t="shared" si="72"/>
        <v>0</v>
      </c>
      <c r="G44" s="28">
        <f t="shared" si="72"/>
        <v>0</v>
      </c>
      <c r="H44" s="28">
        <f t="shared" si="72"/>
        <v>0</v>
      </c>
      <c r="I44" s="28">
        <f>64</f>
        <v>64</v>
      </c>
      <c r="J44" s="28">
        <f t="shared" ref="J44:P44" si="73">0</f>
        <v>0</v>
      </c>
      <c r="K44" s="28">
        <f t="shared" si="73"/>
        <v>0</v>
      </c>
      <c r="L44" s="28">
        <f t="shared" si="73"/>
        <v>0</v>
      </c>
      <c r="M44" s="28">
        <f t="shared" si="73"/>
        <v>0</v>
      </c>
      <c r="N44" s="28">
        <f t="shared" si="73"/>
        <v>0</v>
      </c>
      <c r="O44" s="28">
        <f t="shared" si="73"/>
        <v>0</v>
      </c>
      <c r="P44" s="28">
        <f t="shared" si="73"/>
        <v>0</v>
      </c>
      <c r="Q44" s="28">
        <f t="shared" si="74"/>
        <v>16</v>
      </c>
    </row>
    <row r="45">
      <c r="B45" s="20">
        <v>46214.0</v>
      </c>
      <c r="C45" s="21">
        <v>100.0</v>
      </c>
      <c r="D45" s="28">
        <f t="shared" ref="D45:F45" si="75">0</f>
        <v>0</v>
      </c>
      <c r="E45" s="28">
        <f t="shared" si="75"/>
        <v>0</v>
      </c>
      <c r="F45" s="28">
        <f t="shared" si="75"/>
        <v>0</v>
      </c>
      <c r="G45" s="28">
        <f>40</f>
        <v>40</v>
      </c>
      <c r="H45" s="28">
        <f t="shared" ref="H45:I45" si="76">0</f>
        <v>0</v>
      </c>
      <c r="I45" s="28">
        <f t="shared" si="76"/>
        <v>0</v>
      </c>
      <c r="J45" s="28">
        <f>30</f>
        <v>30</v>
      </c>
      <c r="K45" s="28">
        <f t="shared" ref="K45:P45" si="77">0</f>
        <v>0</v>
      </c>
      <c r="L45" s="28">
        <f t="shared" si="77"/>
        <v>0</v>
      </c>
      <c r="M45" s="28">
        <f t="shared" si="77"/>
        <v>0</v>
      </c>
      <c r="N45" s="28">
        <f t="shared" si="77"/>
        <v>0</v>
      </c>
      <c r="O45" s="28">
        <f t="shared" si="77"/>
        <v>0</v>
      </c>
      <c r="P45" s="28">
        <f t="shared" si="77"/>
        <v>0</v>
      </c>
      <c r="Q45" s="28">
        <f>30</f>
        <v>30</v>
      </c>
    </row>
    <row r="46">
      <c r="B46" s="20">
        <v>46214.0</v>
      </c>
      <c r="C46" s="21">
        <v>60.0</v>
      </c>
      <c r="D46" s="28">
        <f t="shared" ref="D46:E46" si="78">0</f>
        <v>0</v>
      </c>
      <c r="E46" s="28">
        <f t="shared" si="78"/>
        <v>0</v>
      </c>
      <c r="F46" s="28">
        <f>12</f>
        <v>12</v>
      </c>
      <c r="G46" s="28">
        <f t="shared" ref="G46:I46" si="79">0</f>
        <v>0</v>
      </c>
      <c r="H46" s="28">
        <f t="shared" si="79"/>
        <v>0</v>
      </c>
      <c r="I46" s="28">
        <f t="shared" si="79"/>
        <v>0</v>
      </c>
      <c r="J46" s="28">
        <f>42</f>
        <v>42</v>
      </c>
      <c r="K46" s="28">
        <f t="shared" ref="K46:P46" si="80">0</f>
        <v>0</v>
      </c>
      <c r="L46" s="28">
        <f t="shared" si="80"/>
        <v>0</v>
      </c>
      <c r="M46" s="28">
        <f t="shared" si="80"/>
        <v>0</v>
      </c>
      <c r="N46" s="28">
        <f t="shared" si="80"/>
        <v>0</v>
      </c>
      <c r="O46" s="28">
        <f t="shared" si="80"/>
        <v>0</v>
      </c>
      <c r="P46" s="28">
        <f t="shared" si="80"/>
        <v>0</v>
      </c>
      <c r="Q46" s="28">
        <f>6</f>
        <v>6</v>
      </c>
    </row>
    <row r="47">
      <c r="B47" s="20">
        <v>46215.0</v>
      </c>
      <c r="C47" s="21">
        <v>220.0</v>
      </c>
      <c r="D47" s="28">
        <f>0</f>
        <v>0</v>
      </c>
      <c r="E47" s="28">
        <f>22</f>
        <v>22</v>
      </c>
      <c r="F47" s="28">
        <f t="shared" ref="F47:I47" si="81">0</f>
        <v>0</v>
      </c>
      <c r="G47" s="28">
        <f t="shared" si="81"/>
        <v>0</v>
      </c>
      <c r="H47" s="28">
        <f t="shared" si="81"/>
        <v>0</v>
      </c>
      <c r="I47" s="28">
        <f t="shared" si="81"/>
        <v>0</v>
      </c>
      <c r="J47" s="28">
        <f>132</f>
        <v>132</v>
      </c>
      <c r="K47" s="28">
        <f t="shared" ref="K47:N47" si="82">0</f>
        <v>0</v>
      </c>
      <c r="L47" s="28">
        <f t="shared" si="82"/>
        <v>0</v>
      </c>
      <c r="M47" s="28">
        <f t="shared" si="82"/>
        <v>0</v>
      </c>
      <c r="N47" s="28">
        <f t="shared" si="82"/>
        <v>0</v>
      </c>
      <c r="O47" s="28">
        <f>66</f>
        <v>66</v>
      </c>
      <c r="P47" s="28">
        <f t="shared" ref="P47:Q47" si="83">0</f>
        <v>0</v>
      </c>
      <c r="Q47" s="28">
        <f t="shared" si="83"/>
        <v>0</v>
      </c>
    </row>
    <row r="48">
      <c r="B48" s="20">
        <v>46215.0</v>
      </c>
      <c r="C48" s="21">
        <v>60.0</v>
      </c>
      <c r="D48" s="28">
        <f>30</f>
        <v>30</v>
      </c>
      <c r="E48" s="28">
        <f t="shared" ref="E48:I48" si="84">0</f>
        <v>0</v>
      </c>
      <c r="F48" s="28">
        <f t="shared" si="84"/>
        <v>0</v>
      </c>
      <c r="G48" s="28">
        <f t="shared" si="84"/>
        <v>0</v>
      </c>
      <c r="H48" s="28">
        <f t="shared" si="84"/>
        <v>0</v>
      </c>
      <c r="I48" s="28">
        <f t="shared" si="84"/>
        <v>0</v>
      </c>
      <c r="J48" s="28">
        <f>30</f>
        <v>30</v>
      </c>
      <c r="K48" s="28">
        <f t="shared" ref="K48:Q48" si="85">0</f>
        <v>0</v>
      </c>
      <c r="L48" s="28">
        <f t="shared" si="85"/>
        <v>0</v>
      </c>
      <c r="M48" s="28">
        <f t="shared" si="85"/>
        <v>0</v>
      </c>
      <c r="N48" s="28">
        <f t="shared" si="85"/>
        <v>0</v>
      </c>
      <c r="O48" s="28">
        <f t="shared" si="85"/>
        <v>0</v>
      </c>
      <c r="P48" s="28">
        <f t="shared" si="85"/>
        <v>0</v>
      </c>
      <c r="Q48" s="28">
        <f t="shared" si="85"/>
        <v>0</v>
      </c>
    </row>
    <row r="49">
      <c r="B49" s="20">
        <v>46216.0</v>
      </c>
      <c r="C49" s="21">
        <v>60.0</v>
      </c>
      <c r="D49" s="28">
        <f>18</f>
        <v>18</v>
      </c>
      <c r="E49" s="28">
        <f t="shared" ref="E49:G49" si="86">0</f>
        <v>0</v>
      </c>
      <c r="F49" s="28">
        <f t="shared" si="86"/>
        <v>0</v>
      </c>
      <c r="G49" s="28">
        <f t="shared" si="86"/>
        <v>0</v>
      </c>
      <c r="H49" s="28">
        <f>30</f>
        <v>30</v>
      </c>
      <c r="I49" s="28">
        <f t="shared" ref="I49:I50" si="89">0</f>
        <v>0</v>
      </c>
      <c r="J49" s="28">
        <f>12</f>
        <v>12</v>
      </c>
      <c r="K49" s="28">
        <f t="shared" ref="K49:Q49" si="87">0</f>
        <v>0</v>
      </c>
      <c r="L49" s="28">
        <f t="shared" si="87"/>
        <v>0</v>
      </c>
      <c r="M49" s="28">
        <f t="shared" si="87"/>
        <v>0</v>
      </c>
      <c r="N49" s="28">
        <f t="shared" si="87"/>
        <v>0</v>
      </c>
      <c r="O49" s="28">
        <f t="shared" si="87"/>
        <v>0</v>
      </c>
      <c r="P49" s="28">
        <f t="shared" si="87"/>
        <v>0</v>
      </c>
      <c r="Q49" s="28">
        <f t="shared" si="87"/>
        <v>0</v>
      </c>
    </row>
    <row r="50">
      <c r="B50" s="20">
        <v>46216.0</v>
      </c>
      <c r="C50" s="21">
        <v>50.0</v>
      </c>
      <c r="D50" s="28">
        <f t="shared" ref="D50:G50" si="88">0</f>
        <v>0</v>
      </c>
      <c r="E50" s="28">
        <f t="shared" si="88"/>
        <v>0</v>
      </c>
      <c r="F50" s="28">
        <f t="shared" si="88"/>
        <v>0</v>
      </c>
      <c r="G50" s="28">
        <f t="shared" si="88"/>
        <v>0</v>
      </c>
      <c r="H50" s="28">
        <f>10</f>
        <v>10</v>
      </c>
      <c r="I50" s="28">
        <f t="shared" si="89"/>
        <v>0</v>
      </c>
      <c r="J50" s="28">
        <f>40</f>
        <v>40</v>
      </c>
      <c r="K50" s="28">
        <f t="shared" ref="K50:Q50" si="90">0</f>
        <v>0</v>
      </c>
      <c r="L50" s="28">
        <f t="shared" si="90"/>
        <v>0</v>
      </c>
      <c r="M50" s="28">
        <f t="shared" si="90"/>
        <v>0</v>
      </c>
      <c r="N50" s="28">
        <f t="shared" si="90"/>
        <v>0</v>
      </c>
      <c r="O50" s="28">
        <f t="shared" si="90"/>
        <v>0</v>
      </c>
      <c r="P50" s="28">
        <f t="shared" si="90"/>
        <v>0</v>
      </c>
      <c r="Q50" s="28">
        <f t="shared" si="90"/>
        <v>0</v>
      </c>
    </row>
    <row r="51">
      <c r="B51" s="20">
        <v>46216.0</v>
      </c>
      <c r="C51" s="21">
        <v>80.0</v>
      </c>
      <c r="D51" s="28">
        <f>56</f>
        <v>56</v>
      </c>
      <c r="E51" s="28">
        <f t="shared" ref="E51:F51" si="91">0</f>
        <v>0</v>
      </c>
      <c r="F51" s="28">
        <f t="shared" si="91"/>
        <v>0</v>
      </c>
      <c r="G51" s="28">
        <f>16</f>
        <v>16</v>
      </c>
      <c r="H51" s="28">
        <f t="shared" ref="H51:N51" si="92">0</f>
        <v>0</v>
      </c>
      <c r="I51" s="28">
        <f t="shared" si="92"/>
        <v>0</v>
      </c>
      <c r="J51" s="28">
        <f t="shared" si="92"/>
        <v>0</v>
      </c>
      <c r="K51" s="28">
        <f t="shared" si="92"/>
        <v>0</v>
      </c>
      <c r="L51" s="28">
        <f t="shared" si="92"/>
        <v>0</v>
      </c>
      <c r="M51" s="28">
        <f t="shared" si="92"/>
        <v>0</v>
      </c>
      <c r="N51" s="28">
        <f t="shared" si="92"/>
        <v>0</v>
      </c>
      <c r="O51" s="28">
        <f>8</f>
        <v>8</v>
      </c>
      <c r="P51" s="28">
        <f t="shared" ref="P51:Q51" si="93">0</f>
        <v>0</v>
      </c>
      <c r="Q51" s="28">
        <f t="shared" si="93"/>
        <v>0</v>
      </c>
    </row>
    <row r="52">
      <c r="B52" s="20">
        <v>46217.0</v>
      </c>
      <c r="C52" s="21">
        <v>200.0</v>
      </c>
      <c r="D52" s="28">
        <f t="shared" ref="D52:G52" si="94">0</f>
        <v>0</v>
      </c>
      <c r="E52" s="28">
        <f t="shared" si="94"/>
        <v>0</v>
      </c>
      <c r="F52" s="28">
        <f t="shared" si="94"/>
        <v>0</v>
      </c>
      <c r="G52" s="28">
        <f t="shared" si="94"/>
        <v>0</v>
      </c>
      <c r="H52" s="28">
        <f>180</f>
        <v>180</v>
      </c>
      <c r="I52" s="28">
        <f t="shared" ref="I52:P52" si="95">0</f>
        <v>0</v>
      </c>
      <c r="J52" s="28">
        <f t="shared" si="95"/>
        <v>0</v>
      </c>
      <c r="K52" s="28">
        <f t="shared" si="95"/>
        <v>0</v>
      </c>
      <c r="L52" s="28">
        <f t="shared" si="95"/>
        <v>0</v>
      </c>
      <c r="M52" s="28">
        <f t="shared" si="95"/>
        <v>0</v>
      </c>
      <c r="N52" s="28">
        <f t="shared" si="95"/>
        <v>0</v>
      </c>
      <c r="O52" s="28">
        <f t="shared" si="95"/>
        <v>0</v>
      </c>
      <c r="P52" s="28">
        <f t="shared" si="95"/>
        <v>0</v>
      </c>
      <c r="Q52" s="28">
        <f>20</f>
        <v>20</v>
      </c>
    </row>
    <row r="53">
      <c r="B53" s="20">
        <v>46217.0</v>
      </c>
      <c r="C53" s="21">
        <v>160.0</v>
      </c>
      <c r="D53" s="28">
        <f t="shared" ref="D53:F53" si="96">0</f>
        <v>0</v>
      </c>
      <c r="E53" s="28">
        <f t="shared" si="96"/>
        <v>0</v>
      </c>
      <c r="F53" s="28">
        <f t="shared" si="96"/>
        <v>0</v>
      </c>
      <c r="G53" s="28">
        <f>48</f>
        <v>48</v>
      </c>
      <c r="H53" s="28">
        <f>80</f>
        <v>80</v>
      </c>
      <c r="I53" s="28">
        <f t="shared" ref="I53:P53" si="97">0</f>
        <v>0</v>
      </c>
      <c r="J53" s="28">
        <f t="shared" si="97"/>
        <v>0</v>
      </c>
      <c r="K53" s="28">
        <f t="shared" si="97"/>
        <v>0</v>
      </c>
      <c r="L53" s="28">
        <f t="shared" si="97"/>
        <v>0</v>
      </c>
      <c r="M53" s="28">
        <f t="shared" si="97"/>
        <v>0</v>
      </c>
      <c r="N53" s="28">
        <f t="shared" si="97"/>
        <v>0</v>
      </c>
      <c r="O53" s="28">
        <f t="shared" si="97"/>
        <v>0</v>
      </c>
      <c r="P53" s="28">
        <f t="shared" si="97"/>
        <v>0</v>
      </c>
      <c r="Q53" s="28">
        <f>32</f>
        <v>32</v>
      </c>
    </row>
    <row r="54">
      <c r="B54" s="20">
        <v>46217.0</v>
      </c>
      <c r="C54" s="21">
        <v>260.0</v>
      </c>
      <c r="D54" s="28">
        <f t="shared" ref="D54:F54" si="98">0</f>
        <v>0</v>
      </c>
      <c r="E54" s="28">
        <f t="shared" si="98"/>
        <v>0</v>
      </c>
      <c r="F54" s="28">
        <f t="shared" si="98"/>
        <v>0</v>
      </c>
      <c r="G54" s="28">
        <f>78</f>
        <v>78</v>
      </c>
      <c r="H54" s="28">
        <f>26</f>
        <v>26</v>
      </c>
      <c r="I54" s="28">
        <f t="shared" ref="I54:P54" si="99">0</f>
        <v>0</v>
      </c>
      <c r="J54" s="28">
        <f t="shared" si="99"/>
        <v>0</v>
      </c>
      <c r="K54" s="28">
        <f t="shared" si="99"/>
        <v>0</v>
      </c>
      <c r="L54" s="28">
        <f t="shared" si="99"/>
        <v>0</v>
      </c>
      <c r="M54" s="28">
        <f t="shared" si="99"/>
        <v>0</v>
      </c>
      <c r="N54" s="28">
        <f t="shared" si="99"/>
        <v>0</v>
      </c>
      <c r="O54" s="28">
        <f t="shared" si="99"/>
        <v>0</v>
      </c>
      <c r="P54" s="28">
        <f t="shared" si="99"/>
        <v>0</v>
      </c>
      <c r="Q54" s="28">
        <f>156</f>
        <v>156</v>
      </c>
    </row>
    <row r="55">
      <c r="B55" s="20">
        <v>46218.0</v>
      </c>
      <c r="C55" s="21">
        <v>100.0</v>
      </c>
      <c r="D55" s="28">
        <f>100</f>
        <v>100</v>
      </c>
      <c r="E55" s="28">
        <f t="shared" ref="E55:Q55" si="100">0</f>
        <v>0</v>
      </c>
      <c r="F55" s="28">
        <f t="shared" si="100"/>
        <v>0</v>
      </c>
      <c r="G55" s="28">
        <f t="shared" si="100"/>
        <v>0</v>
      </c>
      <c r="H55" s="28">
        <f t="shared" si="100"/>
        <v>0</v>
      </c>
      <c r="I55" s="28">
        <f t="shared" si="100"/>
        <v>0</v>
      </c>
      <c r="J55" s="28">
        <f t="shared" si="100"/>
        <v>0</v>
      </c>
      <c r="K55" s="28">
        <f t="shared" si="100"/>
        <v>0</v>
      </c>
      <c r="L55" s="28">
        <f t="shared" si="100"/>
        <v>0</v>
      </c>
      <c r="M55" s="28">
        <f t="shared" si="100"/>
        <v>0</v>
      </c>
      <c r="N55" s="28">
        <f t="shared" si="100"/>
        <v>0</v>
      </c>
      <c r="O55" s="28">
        <f t="shared" si="100"/>
        <v>0</v>
      </c>
      <c r="P55" s="28">
        <f t="shared" si="100"/>
        <v>0</v>
      </c>
      <c r="Q55" s="28">
        <f t="shared" si="100"/>
        <v>0</v>
      </c>
    </row>
    <row r="56">
      <c r="B56" s="20">
        <v>46218.0</v>
      </c>
      <c r="C56" s="21">
        <v>120.0</v>
      </c>
      <c r="D56" s="28">
        <f t="shared" ref="D56:I56" si="101">0</f>
        <v>0</v>
      </c>
      <c r="E56" s="28">
        <f t="shared" si="101"/>
        <v>0</v>
      </c>
      <c r="F56" s="28">
        <f t="shared" si="101"/>
        <v>0</v>
      </c>
      <c r="G56" s="28">
        <f t="shared" si="101"/>
        <v>0</v>
      </c>
      <c r="H56" s="28">
        <f t="shared" si="101"/>
        <v>0</v>
      </c>
      <c r="I56" s="28">
        <f t="shared" si="101"/>
        <v>0</v>
      </c>
      <c r="J56" s="28">
        <f>96</f>
        <v>96</v>
      </c>
      <c r="K56" s="28">
        <f t="shared" ref="K56:P56" si="102">0</f>
        <v>0</v>
      </c>
      <c r="L56" s="28">
        <f t="shared" si="102"/>
        <v>0</v>
      </c>
      <c r="M56" s="28">
        <f t="shared" si="102"/>
        <v>0</v>
      </c>
      <c r="N56" s="28">
        <f t="shared" si="102"/>
        <v>0</v>
      </c>
      <c r="O56" s="28">
        <f t="shared" si="102"/>
        <v>0</v>
      </c>
      <c r="P56" s="28">
        <f t="shared" si="102"/>
        <v>0</v>
      </c>
      <c r="Q56" s="28">
        <f>24</f>
        <v>24</v>
      </c>
    </row>
    <row r="57">
      <c r="B57" s="20">
        <v>46218.0</v>
      </c>
      <c r="C57" s="21">
        <v>140.0</v>
      </c>
      <c r="D57" s="28">
        <f>98</f>
        <v>98</v>
      </c>
      <c r="E57" s="28">
        <f t="shared" ref="E57:G57" si="103">0</f>
        <v>0</v>
      </c>
      <c r="F57" s="28">
        <f t="shared" si="103"/>
        <v>0</v>
      </c>
      <c r="G57" s="28">
        <f t="shared" si="103"/>
        <v>0</v>
      </c>
      <c r="H57" s="28">
        <f>14</f>
        <v>14</v>
      </c>
      <c r="I57" s="28">
        <f>0</f>
        <v>0</v>
      </c>
      <c r="J57" s="28">
        <f>28</f>
        <v>28</v>
      </c>
      <c r="K57" s="28">
        <f t="shared" ref="K57:Q57" si="104">0</f>
        <v>0</v>
      </c>
      <c r="L57" s="28">
        <f t="shared" si="104"/>
        <v>0</v>
      </c>
      <c r="M57" s="28">
        <f t="shared" si="104"/>
        <v>0</v>
      </c>
      <c r="N57" s="28">
        <f t="shared" si="104"/>
        <v>0</v>
      </c>
      <c r="O57" s="28">
        <f t="shared" si="104"/>
        <v>0</v>
      </c>
      <c r="P57" s="28">
        <f t="shared" si="104"/>
        <v>0</v>
      </c>
      <c r="Q57" s="28">
        <f t="shared" si="104"/>
        <v>0</v>
      </c>
    </row>
    <row r="58">
      <c r="B58" s="20">
        <v>46219.0</v>
      </c>
      <c r="C58" s="21">
        <v>60.0</v>
      </c>
      <c r="D58" s="28">
        <f>60</f>
        <v>60</v>
      </c>
      <c r="E58" s="28">
        <f t="shared" ref="E58:Q58" si="105">0</f>
        <v>0</v>
      </c>
      <c r="F58" s="28">
        <f t="shared" si="105"/>
        <v>0</v>
      </c>
      <c r="G58" s="28">
        <f t="shared" si="105"/>
        <v>0</v>
      </c>
      <c r="H58" s="28">
        <f t="shared" si="105"/>
        <v>0</v>
      </c>
      <c r="I58" s="28">
        <f t="shared" si="105"/>
        <v>0</v>
      </c>
      <c r="J58" s="28">
        <f t="shared" si="105"/>
        <v>0</v>
      </c>
      <c r="K58" s="28">
        <f t="shared" si="105"/>
        <v>0</v>
      </c>
      <c r="L58" s="28">
        <f t="shared" si="105"/>
        <v>0</v>
      </c>
      <c r="M58" s="28">
        <f t="shared" si="105"/>
        <v>0</v>
      </c>
      <c r="N58" s="28">
        <f t="shared" si="105"/>
        <v>0</v>
      </c>
      <c r="O58" s="28">
        <f t="shared" si="105"/>
        <v>0</v>
      </c>
      <c r="P58" s="28">
        <f t="shared" si="105"/>
        <v>0</v>
      </c>
      <c r="Q58" s="28">
        <f t="shared" si="105"/>
        <v>0</v>
      </c>
    </row>
    <row r="59">
      <c r="B59" s="20">
        <v>46219.0</v>
      </c>
      <c r="C59" s="21">
        <v>80.0</v>
      </c>
      <c r="D59" s="28">
        <f t="shared" ref="D59:G59" si="106">0</f>
        <v>0</v>
      </c>
      <c r="E59" s="28">
        <f t="shared" si="106"/>
        <v>0</v>
      </c>
      <c r="F59" s="28">
        <f t="shared" si="106"/>
        <v>0</v>
      </c>
      <c r="G59" s="28">
        <f t="shared" si="106"/>
        <v>0</v>
      </c>
      <c r="H59" s="28">
        <f>80</f>
        <v>80</v>
      </c>
      <c r="I59" s="28">
        <f t="shared" ref="I59:Q59" si="107">0</f>
        <v>0</v>
      </c>
      <c r="J59" s="28">
        <f t="shared" si="107"/>
        <v>0</v>
      </c>
      <c r="K59" s="28">
        <f t="shared" si="107"/>
        <v>0</v>
      </c>
      <c r="L59" s="28">
        <f t="shared" si="107"/>
        <v>0</v>
      </c>
      <c r="M59" s="28">
        <f t="shared" si="107"/>
        <v>0</v>
      </c>
      <c r="N59" s="28">
        <f t="shared" si="107"/>
        <v>0</v>
      </c>
      <c r="O59" s="28">
        <f t="shared" si="107"/>
        <v>0</v>
      </c>
      <c r="P59" s="28">
        <f t="shared" si="107"/>
        <v>0</v>
      </c>
      <c r="Q59" s="28">
        <f t="shared" si="107"/>
        <v>0</v>
      </c>
    </row>
    <row r="60">
      <c r="B60" s="20">
        <v>46219.0</v>
      </c>
      <c r="C60" s="21">
        <v>160.0</v>
      </c>
      <c r="D60" s="28">
        <f>24</f>
        <v>24</v>
      </c>
      <c r="E60" s="28">
        <f t="shared" ref="E60:E61" si="110">0</f>
        <v>0</v>
      </c>
      <c r="F60" s="28">
        <f>8</f>
        <v>8</v>
      </c>
      <c r="G60" s="28">
        <f>0</f>
        <v>0</v>
      </c>
      <c r="H60" s="28">
        <f>32</f>
        <v>32</v>
      </c>
      <c r="I60" s="28">
        <f t="shared" ref="I60:N60" si="108">0</f>
        <v>0</v>
      </c>
      <c r="J60" s="28">
        <f t="shared" si="108"/>
        <v>0</v>
      </c>
      <c r="K60" s="28">
        <f t="shared" si="108"/>
        <v>0</v>
      </c>
      <c r="L60" s="28">
        <f t="shared" si="108"/>
        <v>0</v>
      </c>
      <c r="M60" s="28">
        <f t="shared" si="108"/>
        <v>0</v>
      </c>
      <c r="N60" s="28">
        <f t="shared" si="108"/>
        <v>0</v>
      </c>
      <c r="O60" s="28">
        <f t="shared" ref="O60:Q60" si="109">32</f>
        <v>32</v>
      </c>
      <c r="P60" s="28">
        <f t="shared" si="109"/>
        <v>32</v>
      </c>
      <c r="Q60" s="28">
        <f t="shared" si="109"/>
        <v>32</v>
      </c>
    </row>
    <row r="61">
      <c r="B61" s="20">
        <v>46219.0</v>
      </c>
      <c r="C61" s="21">
        <v>60.0</v>
      </c>
      <c r="D61" s="28">
        <f>60</f>
        <v>60</v>
      </c>
      <c r="E61" s="28">
        <f t="shared" si="110"/>
        <v>0</v>
      </c>
      <c r="F61" s="28">
        <f t="shared" ref="F61:Q61" si="111">0</f>
        <v>0</v>
      </c>
      <c r="G61" s="28">
        <f t="shared" si="111"/>
        <v>0</v>
      </c>
      <c r="H61" s="28">
        <f t="shared" si="111"/>
        <v>0</v>
      </c>
      <c r="I61" s="28">
        <f t="shared" si="111"/>
        <v>0</v>
      </c>
      <c r="J61" s="28">
        <f t="shared" si="111"/>
        <v>0</v>
      </c>
      <c r="K61" s="28">
        <f t="shared" si="111"/>
        <v>0</v>
      </c>
      <c r="L61" s="28">
        <f t="shared" si="111"/>
        <v>0</v>
      </c>
      <c r="M61" s="28">
        <f t="shared" si="111"/>
        <v>0</v>
      </c>
      <c r="N61" s="28">
        <f t="shared" si="111"/>
        <v>0</v>
      </c>
      <c r="O61" s="28">
        <f t="shared" si="111"/>
        <v>0</v>
      </c>
      <c r="P61" s="28">
        <f t="shared" si="111"/>
        <v>0</v>
      </c>
      <c r="Q61" s="28">
        <f t="shared" si="111"/>
        <v>0</v>
      </c>
    </row>
    <row r="62">
      <c r="B62" s="20">
        <v>46219.0</v>
      </c>
      <c r="C62" s="21">
        <v>60.0</v>
      </c>
      <c r="D62" s="21">
        <v>0.0</v>
      </c>
      <c r="E62" s="21">
        <v>0.0</v>
      </c>
      <c r="F62" s="21">
        <v>0.0</v>
      </c>
      <c r="G62" s="21">
        <v>0.0</v>
      </c>
      <c r="H62" s="21">
        <v>0.0</v>
      </c>
      <c r="I62" s="21">
        <v>0.0</v>
      </c>
      <c r="J62" s="21">
        <v>0.0</v>
      </c>
      <c r="K62" s="21">
        <v>0.0</v>
      </c>
      <c r="L62" s="21">
        <v>0.0</v>
      </c>
      <c r="M62" s="21">
        <v>0.0</v>
      </c>
      <c r="N62" s="21">
        <v>0.0</v>
      </c>
      <c r="O62" s="21">
        <v>0.0</v>
      </c>
      <c r="P62" s="21">
        <v>0.0</v>
      </c>
      <c r="Q62" s="21">
        <v>60.0</v>
      </c>
    </row>
    <row r="63">
      <c r="B63" s="20">
        <v>46220.0</v>
      </c>
      <c r="C63" s="21">
        <v>100.0</v>
      </c>
      <c r="D63" s="28">
        <f>80</f>
        <v>80</v>
      </c>
      <c r="E63" s="28">
        <f t="shared" ref="E63:I63" si="112">0</f>
        <v>0</v>
      </c>
      <c r="F63" s="28">
        <f t="shared" si="112"/>
        <v>0</v>
      </c>
      <c r="G63" s="28">
        <f t="shared" si="112"/>
        <v>0</v>
      </c>
      <c r="H63" s="28">
        <f t="shared" si="112"/>
        <v>0</v>
      </c>
      <c r="I63" s="28">
        <f t="shared" si="112"/>
        <v>0</v>
      </c>
      <c r="J63" s="28">
        <f>10</f>
        <v>10</v>
      </c>
      <c r="K63" s="28">
        <f t="shared" ref="K63:P63" si="113">0</f>
        <v>0</v>
      </c>
      <c r="L63" s="28">
        <f t="shared" si="113"/>
        <v>0</v>
      </c>
      <c r="M63" s="28">
        <f t="shared" si="113"/>
        <v>0</v>
      </c>
      <c r="N63" s="28">
        <f t="shared" si="113"/>
        <v>0</v>
      </c>
      <c r="O63" s="28">
        <f t="shared" si="113"/>
        <v>0</v>
      </c>
      <c r="P63" s="28">
        <f t="shared" si="113"/>
        <v>0</v>
      </c>
      <c r="Q63" s="28">
        <f t="shared" ref="Q63:Q64" si="116">10</f>
        <v>10</v>
      </c>
    </row>
    <row r="64">
      <c r="B64" s="20">
        <v>46220.0</v>
      </c>
      <c r="C64" s="21">
        <v>100.0</v>
      </c>
      <c r="D64" s="28">
        <f t="shared" ref="D64:E64" si="114">0</f>
        <v>0</v>
      </c>
      <c r="E64" s="28">
        <f t="shared" si="114"/>
        <v>0</v>
      </c>
      <c r="F64" s="28">
        <f>90</f>
        <v>90</v>
      </c>
      <c r="G64" s="28">
        <f t="shared" ref="G64:P64" si="115">0</f>
        <v>0</v>
      </c>
      <c r="H64" s="28">
        <f t="shared" si="115"/>
        <v>0</v>
      </c>
      <c r="I64" s="28">
        <f t="shared" si="115"/>
        <v>0</v>
      </c>
      <c r="J64" s="28">
        <f t="shared" si="115"/>
        <v>0</v>
      </c>
      <c r="K64" s="28">
        <f t="shared" si="115"/>
        <v>0</v>
      </c>
      <c r="L64" s="28">
        <f t="shared" si="115"/>
        <v>0</v>
      </c>
      <c r="M64" s="28">
        <f t="shared" si="115"/>
        <v>0</v>
      </c>
      <c r="N64" s="28">
        <f t="shared" si="115"/>
        <v>0</v>
      </c>
      <c r="O64" s="28">
        <f t="shared" si="115"/>
        <v>0</v>
      </c>
      <c r="P64" s="28">
        <f t="shared" si="115"/>
        <v>0</v>
      </c>
      <c r="Q64" s="28">
        <f t="shared" si="116"/>
        <v>10</v>
      </c>
    </row>
    <row r="65">
      <c r="B65" s="20">
        <v>46220.0</v>
      </c>
      <c r="C65" s="21">
        <v>80.0</v>
      </c>
      <c r="D65" s="28">
        <f>48</f>
        <v>48</v>
      </c>
      <c r="E65" s="28">
        <f t="shared" ref="E65:E66" si="119">0</f>
        <v>0</v>
      </c>
      <c r="F65" s="28">
        <f>16</f>
        <v>16</v>
      </c>
      <c r="G65" s="28">
        <f t="shared" ref="G65:I65" si="117">0</f>
        <v>0</v>
      </c>
      <c r="H65" s="28">
        <f t="shared" si="117"/>
        <v>0</v>
      </c>
      <c r="I65" s="28">
        <f t="shared" si="117"/>
        <v>0</v>
      </c>
      <c r="J65" s="28">
        <f>16</f>
        <v>16</v>
      </c>
      <c r="K65" s="28">
        <f t="shared" ref="K65:Q65" si="118">0</f>
        <v>0</v>
      </c>
      <c r="L65" s="28">
        <f t="shared" si="118"/>
        <v>0</v>
      </c>
      <c r="M65" s="28">
        <f t="shared" si="118"/>
        <v>0</v>
      </c>
      <c r="N65" s="28">
        <f t="shared" si="118"/>
        <v>0</v>
      </c>
      <c r="O65" s="28">
        <f t="shared" si="118"/>
        <v>0</v>
      </c>
      <c r="P65" s="28">
        <f t="shared" si="118"/>
        <v>0</v>
      </c>
      <c r="Q65" s="28">
        <f t="shared" si="118"/>
        <v>0</v>
      </c>
    </row>
    <row r="66">
      <c r="B66" s="20">
        <v>46220.0</v>
      </c>
      <c r="C66" s="21">
        <v>300.0</v>
      </c>
      <c r="D66" s="28">
        <f>90</f>
        <v>90</v>
      </c>
      <c r="E66" s="28">
        <f t="shared" si="119"/>
        <v>0</v>
      </c>
      <c r="F66" s="28">
        <f t="shared" ref="F66:I66" si="120">0</f>
        <v>0</v>
      </c>
      <c r="G66" s="28">
        <f t="shared" si="120"/>
        <v>0</v>
      </c>
      <c r="H66" s="28">
        <f t="shared" si="120"/>
        <v>0</v>
      </c>
      <c r="I66" s="28">
        <f t="shared" si="120"/>
        <v>0</v>
      </c>
      <c r="J66" s="28">
        <f>150</f>
        <v>150</v>
      </c>
      <c r="K66" s="28">
        <f>30</f>
        <v>30</v>
      </c>
      <c r="L66" s="28">
        <f t="shared" ref="L66:P66" si="121">0</f>
        <v>0</v>
      </c>
      <c r="M66" s="28">
        <f t="shared" si="121"/>
        <v>0</v>
      </c>
      <c r="N66" s="28">
        <f t="shared" si="121"/>
        <v>0</v>
      </c>
      <c r="O66" s="28">
        <f t="shared" si="121"/>
        <v>0</v>
      </c>
      <c r="P66" s="28">
        <f t="shared" si="121"/>
        <v>0</v>
      </c>
      <c r="Q66" s="28">
        <f>30</f>
        <v>30</v>
      </c>
    </row>
    <row r="67">
      <c r="B67" s="20">
        <v>46221.0</v>
      </c>
      <c r="C67" s="21">
        <v>200.0</v>
      </c>
      <c r="D67" s="28">
        <f t="shared" ref="D67:G67" si="122">0</f>
        <v>0</v>
      </c>
      <c r="E67" s="28">
        <f t="shared" si="122"/>
        <v>0</v>
      </c>
      <c r="F67" s="28">
        <f t="shared" si="122"/>
        <v>0</v>
      </c>
      <c r="G67" s="28">
        <f t="shared" si="122"/>
        <v>0</v>
      </c>
      <c r="H67" s="28">
        <f>100</f>
        <v>100</v>
      </c>
      <c r="I67" s="28">
        <f>0</f>
        <v>0</v>
      </c>
      <c r="J67" s="28">
        <f>100</f>
        <v>100</v>
      </c>
      <c r="K67" s="28">
        <f t="shared" ref="K67:Q67" si="123">0</f>
        <v>0</v>
      </c>
      <c r="L67" s="28">
        <f t="shared" si="123"/>
        <v>0</v>
      </c>
      <c r="M67" s="28">
        <f t="shared" si="123"/>
        <v>0</v>
      </c>
      <c r="N67" s="28">
        <f t="shared" si="123"/>
        <v>0</v>
      </c>
      <c r="O67" s="28">
        <f t="shared" si="123"/>
        <v>0</v>
      </c>
      <c r="P67" s="28">
        <f t="shared" si="123"/>
        <v>0</v>
      </c>
      <c r="Q67" s="28">
        <f t="shared" si="123"/>
        <v>0</v>
      </c>
    </row>
    <row r="68">
      <c r="B68" s="20">
        <v>46221.0</v>
      </c>
      <c r="C68" s="21">
        <v>160.0</v>
      </c>
      <c r="D68" s="28">
        <f>32</f>
        <v>32</v>
      </c>
      <c r="E68" s="28">
        <f t="shared" ref="E68:I68" si="124">0</f>
        <v>0</v>
      </c>
      <c r="F68" s="28">
        <f t="shared" si="124"/>
        <v>0</v>
      </c>
      <c r="G68" s="28">
        <f t="shared" si="124"/>
        <v>0</v>
      </c>
      <c r="H68" s="28">
        <f t="shared" si="124"/>
        <v>0</v>
      </c>
      <c r="I68" s="28">
        <f t="shared" si="124"/>
        <v>0</v>
      </c>
      <c r="J68" s="28">
        <f>80</f>
        <v>80</v>
      </c>
      <c r="K68" s="28">
        <f t="shared" ref="K68:P68" si="125">0</f>
        <v>0</v>
      </c>
      <c r="L68" s="28">
        <f t="shared" si="125"/>
        <v>0</v>
      </c>
      <c r="M68" s="28">
        <f t="shared" si="125"/>
        <v>0</v>
      </c>
      <c r="N68" s="28">
        <f t="shared" si="125"/>
        <v>0</v>
      </c>
      <c r="O68" s="28">
        <f t="shared" si="125"/>
        <v>0</v>
      </c>
      <c r="P68" s="28">
        <f t="shared" si="125"/>
        <v>0</v>
      </c>
      <c r="Q68" s="28">
        <f>48</f>
        <v>48</v>
      </c>
    </row>
    <row r="69">
      <c r="B69" s="20">
        <v>46221.0</v>
      </c>
      <c r="C69" s="21">
        <v>120.0</v>
      </c>
      <c r="D69" s="28">
        <f>60</f>
        <v>60</v>
      </c>
      <c r="E69" s="28">
        <f>36</f>
        <v>36</v>
      </c>
      <c r="F69" s="28">
        <f t="shared" ref="F69:I69" si="126">0</f>
        <v>0</v>
      </c>
      <c r="G69" s="28">
        <f t="shared" si="126"/>
        <v>0</v>
      </c>
      <c r="H69" s="28">
        <f t="shared" si="126"/>
        <v>0</v>
      </c>
      <c r="I69" s="28">
        <f t="shared" si="126"/>
        <v>0</v>
      </c>
      <c r="J69" s="28">
        <f>24</f>
        <v>24</v>
      </c>
      <c r="K69" s="28">
        <f t="shared" ref="K69:Q69" si="127">0</f>
        <v>0</v>
      </c>
      <c r="L69" s="28">
        <f t="shared" si="127"/>
        <v>0</v>
      </c>
      <c r="M69" s="28">
        <f t="shared" si="127"/>
        <v>0</v>
      </c>
      <c r="N69" s="28">
        <f t="shared" si="127"/>
        <v>0</v>
      </c>
      <c r="O69" s="28">
        <f t="shared" si="127"/>
        <v>0</v>
      </c>
      <c r="P69" s="28">
        <f t="shared" si="127"/>
        <v>0</v>
      </c>
      <c r="Q69" s="28">
        <f t="shared" si="127"/>
        <v>0</v>
      </c>
    </row>
    <row r="70">
      <c r="B70" s="20">
        <v>46222.0</v>
      </c>
      <c r="C70" s="21">
        <v>80.0</v>
      </c>
      <c r="D70" s="28">
        <f>8</f>
        <v>8</v>
      </c>
      <c r="E70" s="28">
        <f>0</f>
        <v>0</v>
      </c>
      <c r="F70" s="28">
        <f>16</f>
        <v>16</v>
      </c>
      <c r="G70" s="28">
        <f>0</f>
        <v>0</v>
      </c>
      <c r="H70" s="28">
        <f>24</f>
        <v>24</v>
      </c>
      <c r="I70" s="28">
        <f t="shared" ref="I70:N70" si="128">0</f>
        <v>0</v>
      </c>
      <c r="J70" s="28">
        <f t="shared" si="128"/>
        <v>0</v>
      </c>
      <c r="K70" s="28">
        <f t="shared" si="128"/>
        <v>0</v>
      </c>
      <c r="L70" s="28">
        <f t="shared" si="128"/>
        <v>0</v>
      </c>
      <c r="M70" s="28">
        <f t="shared" si="128"/>
        <v>0</v>
      </c>
      <c r="N70" s="28">
        <f t="shared" si="128"/>
        <v>0</v>
      </c>
      <c r="O70" s="28">
        <f>24</f>
        <v>24</v>
      </c>
      <c r="P70" s="28">
        <f>0</f>
        <v>0</v>
      </c>
      <c r="Q70" s="28">
        <f>8</f>
        <v>8</v>
      </c>
    </row>
    <row r="71">
      <c r="B71" s="20">
        <v>46222.0</v>
      </c>
      <c r="C71" s="21">
        <v>80.0</v>
      </c>
      <c r="D71" s="28">
        <f t="shared" ref="D71:E71" si="129">40</f>
        <v>40</v>
      </c>
      <c r="E71" s="28">
        <f t="shared" si="129"/>
        <v>40</v>
      </c>
      <c r="F71" s="28">
        <f t="shared" ref="F71:Q71" si="130">0</f>
        <v>0</v>
      </c>
      <c r="G71" s="28">
        <f t="shared" si="130"/>
        <v>0</v>
      </c>
      <c r="H71" s="28">
        <f t="shared" si="130"/>
        <v>0</v>
      </c>
      <c r="I71" s="28">
        <f t="shared" si="130"/>
        <v>0</v>
      </c>
      <c r="J71" s="28">
        <f t="shared" si="130"/>
        <v>0</v>
      </c>
      <c r="K71" s="28">
        <f t="shared" si="130"/>
        <v>0</v>
      </c>
      <c r="L71" s="28">
        <f t="shared" si="130"/>
        <v>0</v>
      </c>
      <c r="M71" s="28">
        <f t="shared" si="130"/>
        <v>0</v>
      </c>
      <c r="N71" s="28">
        <f t="shared" si="130"/>
        <v>0</v>
      </c>
      <c r="O71" s="28">
        <f t="shared" si="130"/>
        <v>0</v>
      </c>
      <c r="P71" s="28">
        <f t="shared" si="130"/>
        <v>0</v>
      </c>
      <c r="Q71" s="28">
        <f t="shared" si="130"/>
        <v>0</v>
      </c>
    </row>
    <row r="72">
      <c r="B72" s="20">
        <v>46222.0</v>
      </c>
      <c r="C72" s="21">
        <v>100.0</v>
      </c>
      <c r="D72" s="28">
        <f t="shared" ref="D72:F72" si="131">0</f>
        <v>0</v>
      </c>
      <c r="E72" s="28">
        <f t="shared" si="131"/>
        <v>0</v>
      </c>
      <c r="F72" s="28">
        <f t="shared" si="131"/>
        <v>0</v>
      </c>
      <c r="G72" s="28">
        <f>90</f>
        <v>90</v>
      </c>
      <c r="H72" s="28">
        <f t="shared" ref="H72:M72" si="132">0</f>
        <v>0</v>
      </c>
      <c r="I72" s="28">
        <f t="shared" si="132"/>
        <v>0</v>
      </c>
      <c r="J72" s="28">
        <f t="shared" si="132"/>
        <v>0</v>
      </c>
      <c r="K72" s="28">
        <f t="shared" si="132"/>
        <v>0</v>
      </c>
      <c r="L72" s="28">
        <f t="shared" si="132"/>
        <v>0</v>
      </c>
      <c r="M72" s="28">
        <f t="shared" si="132"/>
        <v>0</v>
      </c>
      <c r="N72" s="28">
        <f>10</f>
        <v>10</v>
      </c>
      <c r="O72" s="28">
        <f t="shared" ref="O72:Q72" si="133">0</f>
        <v>0</v>
      </c>
      <c r="P72" s="28">
        <f t="shared" si="133"/>
        <v>0</v>
      </c>
      <c r="Q72" s="28">
        <f t="shared" si="133"/>
        <v>0</v>
      </c>
    </row>
    <row r="73">
      <c r="B73" s="20">
        <v>46223.0</v>
      </c>
      <c r="C73" s="21">
        <v>60.0</v>
      </c>
      <c r="D73" s="28">
        <f t="shared" ref="D73:E73" si="134">0</f>
        <v>0</v>
      </c>
      <c r="E73" s="28">
        <f t="shared" si="134"/>
        <v>0</v>
      </c>
      <c r="F73" s="28">
        <f>60</f>
        <v>60</v>
      </c>
      <c r="G73" s="28">
        <f t="shared" ref="G73:Q73" si="135">0</f>
        <v>0</v>
      </c>
      <c r="H73" s="28">
        <f t="shared" si="135"/>
        <v>0</v>
      </c>
      <c r="I73" s="28">
        <f t="shared" si="135"/>
        <v>0</v>
      </c>
      <c r="J73" s="28">
        <f t="shared" si="135"/>
        <v>0</v>
      </c>
      <c r="K73" s="28">
        <f t="shared" si="135"/>
        <v>0</v>
      </c>
      <c r="L73" s="28">
        <f t="shared" si="135"/>
        <v>0</v>
      </c>
      <c r="M73" s="28">
        <f t="shared" si="135"/>
        <v>0</v>
      </c>
      <c r="N73" s="28">
        <f t="shared" si="135"/>
        <v>0</v>
      </c>
      <c r="O73" s="28">
        <f t="shared" si="135"/>
        <v>0</v>
      </c>
      <c r="P73" s="28">
        <f t="shared" si="135"/>
        <v>0</v>
      </c>
      <c r="Q73" s="28">
        <f t="shared" si="135"/>
        <v>0</v>
      </c>
    </row>
    <row r="74">
      <c r="B74" s="20">
        <v>46223.0</v>
      </c>
      <c r="C74" s="21">
        <v>260.0</v>
      </c>
      <c r="D74" s="28">
        <f>104</f>
        <v>104</v>
      </c>
      <c r="E74" s="28">
        <f t="shared" ref="E74:H74" si="136">0</f>
        <v>0</v>
      </c>
      <c r="F74" s="28">
        <f t="shared" si="136"/>
        <v>0</v>
      </c>
      <c r="G74" s="28">
        <f t="shared" si="136"/>
        <v>0</v>
      </c>
      <c r="H74" s="28">
        <f t="shared" si="136"/>
        <v>0</v>
      </c>
      <c r="I74" s="28">
        <f>26</f>
        <v>26</v>
      </c>
      <c r="J74" s="28">
        <f>104</f>
        <v>104</v>
      </c>
      <c r="K74" s="28">
        <f t="shared" ref="K74:N74" si="137">0</f>
        <v>0</v>
      </c>
      <c r="L74" s="28">
        <f t="shared" si="137"/>
        <v>0</v>
      </c>
      <c r="M74" s="28">
        <f t="shared" si="137"/>
        <v>0</v>
      </c>
      <c r="N74" s="28">
        <f t="shared" si="137"/>
        <v>0</v>
      </c>
      <c r="O74" s="28">
        <f>26</f>
        <v>26</v>
      </c>
      <c r="P74" s="28">
        <f t="shared" ref="P74:Q74" si="138">0</f>
        <v>0</v>
      </c>
      <c r="Q74" s="28">
        <f t="shared" si="138"/>
        <v>0</v>
      </c>
    </row>
    <row r="75">
      <c r="B75" s="20">
        <v>46223.0</v>
      </c>
      <c r="C75" s="21">
        <v>440.0</v>
      </c>
      <c r="D75" s="28">
        <f>44</f>
        <v>44</v>
      </c>
      <c r="E75" s="28">
        <f t="shared" ref="E75:I75" si="139">0</f>
        <v>0</v>
      </c>
      <c r="F75" s="28">
        <f t="shared" si="139"/>
        <v>0</v>
      </c>
      <c r="G75" s="28">
        <f t="shared" si="139"/>
        <v>0</v>
      </c>
      <c r="H75" s="28">
        <f t="shared" si="139"/>
        <v>0</v>
      </c>
      <c r="I75" s="28">
        <f t="shared" si="139"/>
        <v>0</v>
      </c>
      <c r="J75" s="28">
        <f>352</f>
        <v>352</v>
      </c>
      <c r="K75" s="28">
        <f t="shared" ref="K75:P75" si="140">0</f>
        <v>0</v>
      </c>
      <c r="L75" s="28">
        <f t="shared" si="140"/>
        <v>0</v>
      </c>
      <c r="M75" s="28">
        <f t="shared" si="140"/>
        <v>0</v>
      </c>
      <c r="N75" s="28">
        <f t="shared" si="140"/>
        <v>0</v>
      </c>
      <c r="O75" s="28">
        <f t="shared" si="140"/>
        <v>0</v>
      </c>
      <c r="P75" s="28">
        <f t="shared" si="140"/>
        <v>0</v>
      </c>
      <c r="Q75" s="28">
        <f>44</f>
        <v>44</v>
      </c>
    </row>
    <row r="76">
      <c r="B76" s="20">
        <v>46223.0</v>
      </c>
      <c r="C76" s="21">
        <v>60.0</v>
      </c>
      <c r="D76" s="28">
        <f>12</f>
        <v>12</v>
      </c>
      <c r="E76" s="28">
        <f>6</f>
        <v>6</v>
      </c>
      <c r="F76" s="28">
        <f t="shared" ref="F76:P76" si="141">0</f>
        <v>0</v>
      </c>
      <c r="G76" s="28">
        <f t="shared" si="141"/>
        <v>0</v>
      </c>
      <c r="H76" s="28">
        <f t="shared" si="141"/>
        <v>0</v>
      </c>
      <c r="I76" s="28">
        <f t="shared" si="141"/>
        <v>0</v>
      </c>
      <c r="J76" s="28">
        <f t="shared" si="141"/>
        <v>0</v>
      </c>
      <c r="K76" s="28">
        <f t="shared" si="141"/>
        <v>0</v>
      </c>
      <c r="L76" s="28">
        <f t="shared" si="141"/>
        <v>0</v>
      </c>
      <c r="M76" s="28">
        <f t="shared" si="141"/>
        <v>0</v>
      </c>
      <c r="N76" s="28">
        <f t="shared" si="141"/>
        <v>0</v>
      </c>
      <c r="O76" s="28">
        <f t="shared" si="141"/>
        <v>0</v>
      </c>
      <c r="P76" s="28">
        <f t="shared" si="141"/>
        <v>0</v>
      </c>
      <c r="Q76" s="28">
        <f>42</f>
        <v>42</v>
      </c>
    </row>
    <row r="77">
      <c r="B77" s="20">
        <v>46224.0</v>
      </c>
      <c r="C77" s="21">
        <v>200.0</v>
      </c>
      <c r="D77" s="28">
        <f>180</f>
        <v>180</v>
      </c>
      <c r="E77" s="28">
        <f t="shared" ref="E77:G77" si="142">0</f>
        <v>0</v>
      </c>
      <c r="F77" s="28">
        <f t="shared" si="142"/>
        <v>0</v>
      </c>
      <c r="G77" s="28">
        <f t="shared" si="142"/>
        <v>0</v>
      </c>
      <c r="H77" s="28">
        <f>20</f>
        <v>20</v>
      </c>
      <c r="I77" s="28">
        <f t="shared" ref="I77:Q77" si="143">0</f>
        <v>0</v>
      </c>
      <c r="J77" s="28">
        <f t="shared" si="143"/>
        <v>0</v>
      </c>
      <c r="K77" s="28">
        <f t="shared" si="143"/>
        <v>0</v>
      </c>
      <c r="L77" s="28">
        <f t="shared" si="143"/>
        <v>0</v>
      </c>
      <c r="M77" s="28">
        <f t="shared" si="143"/>
        <v>0</v>
      </c>
      <c r="N77" s="28">
        <f t="shared" si="143"/>
        <v>0</v>
      </c>
      <c r="O77" s="28">
        <f t="shared" si="143"/>
        <v>0</v>
      </c>
      <c r="P77" s="28">
        <f t="shared" si="143"/>
        <v>0</v>
      </c>
      <c r="Q77" s="28">
        <f t="shared" si="143"/>
        <v>0</v>
      </c>
    </row>
    <row r="78">
      <c r="B78" s="20">
        <v>46224.0</v>
      </c>
      <c r="C78" s="21">
        <v>140.0</v>
      </c>
      <c r="D78" s="28">
        <f>56</f>
        <v>56</v>
      </c>
      <c r="E78" s="28">
        <f t="shared" ref="E78:G78" si="144">0</f>
        <v>0</v>
      </c>
      <c r="F78" s="28">
        <f t="shared" si="144"/>
        <v>0</v>
      </c>
      <c r="G78" s="28">
        <f t="shared" si="144"/>
        <v>0</v>
      </c>
      <c r="H78" s="28">
        <f>56</f>
        <v>56</v>
      </c>
      <c r="I78" s="28">
        <f>0</f>
        <v>0</v>
      </c>
      <c r="J78" s="28">
        <f>28</f>
        <v>28</v>
      </c>
      <c r="K78" s="28">
        <f t="shared" ref="K78:Q78" si="145">0</f>
        <v>0</v>
      </c>
      <c r="L78" s="28">
        <f t="shared" si="145"/>
        <v>0</v>
      </c>
      <c r="M78" s="28">
        <f t="shared" si="145"/>
        <v>0</v>
      </c>
      <c r="N78" s="28">
        <f t="shared" si="145"/>
        <v>0</v>
      </c>
      <c r="O78" s="28">
        <f t="shared" si="145"/>
        <v>0</v>
      </c>
      <c r="P78" s="28">
        <f t="shared" si="145"/>
        <v>0</v>
      </c>
      <c r="Q78" s="28">
        <f t="shared" si="145"/>
        <v>0</v>
      </c>
    </row>
    <row r="79">
      <c r="B79" s="20">
        <v>46225.0</v>
      </c>
      <c r="C79" s="21">
        <v>120.0</v>
      </c>
      <c r="D79" s="28">
        <f t="shared" ref="D79:F79" si="146">0</f>
        <v>0</v>
      </c>
      <c r="E79" s="28">
        <f t="shared" si="146"/>
        <v>0</v>
      </c>
      <c r="F79" s="28">
        <f t="shared" si="146"/>
        <v>0</v>
      </c>
      <c r="G79" s="28">
        <f>24</f>
        <v>24</v>
      </c>
      <c r="H79" s="28">
        <f t="shared" ref="H79:H81" si="148">0</f>
        <v>0</v>
      </c>
      <c r="I79" s="28">
        <f>72</f>
        <v>72</v>
      </c>
      <c r="J79" s="28">
        <f t="shared" ref="J79:P79" si="147">0</f>
        <v>0</v>
      </c>
      <c r="K79" s="28">
        <f t="shared" si="147"/>
        <v>0</v>
      </c>
      <c r="L79" s="28">
        <f t="shared" si="147"/>
        <v>0</v>
      </c>
      <c r="M79" s="28">
        <f t="shared" si="147"/>
        <v>0</v>
      </c>
      <c r="N79" s="28">
        <f t="shared" si="147"/>
        <v>0</v>
      </c>
      <c r="O79" s="28">
        <f t="shared" si="147"/>
        <v>0</v>
      </c>
      <c r="P79" s="28">
        <f t="shared" si="147"/>
        <v>0</v>
      </c>
      <c r="Q79" s="28">
        <f>24</f>
        <v>24</v>
      </c>
    </row>
    <row r="80">
      <c r="B80" s="20">
        <v>46225.0</v>
      </c>
      <c r="C80" s="21">
        <v>140.0</v>
      </c>
      <c r="D80" s="28">
        <f t="shared" ref="D80:D81" si="150">0</f>
        <v>0</v>
      </c>
      <c r="E80" s="28">
        <f>56</f>
        <v>56</v>
      </c>
      <c r="F80" s="28">
        <f>0</f>
        <v>0</v>
      </c>
      <c r="G80" s="28">
        <f>42</f>
        <v>42</v>
      </c>
      <c r="H80" s="28">
        <f t="shared" si="148"/>
        <v>0</v>
      </c>
      <c r="I80" s="28">
        <f t="shared" ref="I80:I81" si="152">0</f>
        <v>0</v>
      </c>
      <c r="J80" s="28">
        <f>42</f>
        <v>42</v>
      </c>
      <c r="K80" s="28">
        <f t="shared" ref="K80:Q80" si="149">0</f>
        <v>0</v>
      </c>
      <c r="L80" s="28">
        <f t="shared" si="149"/>
        <v>0</v>
      </c>
      <c r="M80" s="28">
        <f t="shared" si="149"/>
        <v>0</v>
      </c>
      <c r="N80" s="28">
        <f t="shared" si="149"/>
        <v>0</v>
      </c>
      <c r="O80" s="28">
        <f t="shared" si="149"/>
        <v>0</v>
      </c>
      <c r="P80" s="28">
        <f t="shared" si="149"/>
        <v>0</v>
      </c>
      <c r="Q80" s="28">
        <f t="shared" si="149"/>
        <v>0</v>
      </c>
    </row>
    <row r="81">
      <c r="B81" s="20">
        <v>46225.0</v>
      </c>
      <c r="C81" s="21">
        <v>60.0</v>
      </c>
      <c r="D81" s="28">
        <f t="shared" si="150"/>
        <v>0</v>
      </c>
      <c r="E81" s="28">
        <f t="shared" ref="E81:F81" si="151">0</f>
        <v>0</v>
      </c>
      <c r="F81" s="28">
        <f t="shared" si="151"/>
        <v>0</v>
      </c>
      <c r="G81" s="28">
        <f>12</f>
        <v>12</v>
      </c>
      <c r="H81" s="28">
        <f t="shared" si="148"/>
        <v>0</v>
      </c>
      <c r="I81" s="28">
        <f t="shared" si="152"/>
        <v>0</v>
      </c>
      <c r="J81" s="28">
        <f t="shared" ref="J81:P81" si="153">0</f>
        <v>0</v>
      </c>
      <c r="K81" s="28">
        <f t="shared" si="153"/>
        <v>0</v>
      </c>
      <c r="L81" s="28">
        <f t="shared" si="153"/>
        <v>0</v>
      </c>
      <c r="M81" s="28">
        <f t="shared" si="153"/>
        <v>0</v>
      </c>
      <c r="N81" s="28">
        <f t="shared" si="153"/>
        <v>0</v>
      </c>
      <c r="O81" s="28">
        <f t="shared" si="153"/>
        <v>0</v>
      </c>
      <c r="P81" s="28">
        <f t="shared" si="153"/>
        <v>0</v>
      </c>
      <c r="Q81" s="28">
        <f>48</f>
        <v>48</v>
      </c>
    </row>
    <row r="82">
      <c r="B82" s="20">
        <v>46226.0</v>
      </c>
      <c r="C82" s="21">
        <v>140.0</v>
      </c>
      <c r="D82" s="28">
        <f>70</f>
        <v>70</v>
      </c>
      <c r="E82" s="28">
        <f t="shared" ref="E82:G82" si="154">0</f>
        <v>0</v>
      </c>
      <c r="F82" s="28">
        <f t="shared" si="154"/>
        <v>0</v>
      </c>
      <c r="G82" s="28">
        <f t="shared" si="154"/>
        <v>0</v>
      </c>
      <c r="H82" s="28">
        <f>14</f>
        <v>14</v>
      </c>
      <c r="I82" s="28">
        <f>56</f>
        <v>56</v>
      </c>
      <c r="J82" s="28">
        <f t="shared" ref="J82:Q82" si="155">0</f>
        <v>0</v>
      </c>
      <c r="K82" s="28">
        <f t="shared" si="155"/>
        <v>0</v>
      </c>
      <c r="L82" s="28">
        <f t="shared" si="155"/>
        <v>0</v>
      </c>
      <c r="M82" s="28">
        <f t="shared" si="155"/>
        <v>0</v>
      </c>
      <c r="N82" s="28">
        <f t="shared" si="155"/>
        <v>0</v>
      </c>
      <c r="O82" s="28">
        <f t="shared" si="155"/>
        <v>0</v>
      </c>
      <c r="P82" s="28">
        <f t="shared" si="155"/>
        <v>0</v>
      </c>
      <c r="Q82" s="28">
        <f t="shared" si="155"/>
        <v>0</v>
      </c>
    </row>
    <row r="83">
      <c r="B83" s="20">
        <v>46226.0</v>
      </c>
      <c r="C83" s="21">
        <v>160.0</v>
      </c>
      <c r="D83" s="28">
        <f>48</f>
        <v>48</v>
      </c>
      <c r="E83" s="28">
        <f t="shared" ref="E83:F83" si="156">0</f>
        <v>0</v>
      </c>
      <c r="F83" s="28">
        <f t="shared" si="156"/>
        <v>0</v>
      </c>
      <c r="G83" s="28">
        <f>16</f>
        <v>16</v>
      </c>
      <c r="H83" s="28">
        <f>0</f>
        <v>0</v>
      </c>
      <c r="I83" s="28">
        <f>48</f>
        <v>48</v>
      </c>
      <c r="J83" s="28">
        <f t="shared" ref="J83:N83" si="157">0</f>
        <v>0</v>
      </c>
      <c r="K83" s="28">
        <f t="shared" si="157"/>
        <v>0</v>
      </c>
      <c r="L83" s="28">
        <f t="shared" si="157"/>
        <v>0</v>
      </c>
      <c r="M83" s="28">
        <f t="shared" si="157"/>
        <v>0</v>
      </c>
      <c r="N83" s="28">
        <f t="shared" si="157"/>
        <v>0</v>
      </c>
      <c r="O83" s="28">
        <f>16</f>
        <v>16</v>
      </c>
      <c r="P83" s="28">
        <f t="shared" ref="P83:P84" si="160">0</f>
        <v>0</v>
      </c>
      <c r="Q83" s="28">
        <f>32</f>
        <v>32</v>
      </c>
    </row>
    <row r="84">
      <c r="B84" s="20">
        <v>46226.0</v>
      </c>
      <c r="C84" s="21">
        <v>60.0</v>
      </c>
      <c r="D84" s="28">
        <f t="shared" ref="D84:I84" si="158">0</f>
        <v>0</v>
      </c>
      <c r="E84" s="28">
        <f t="shared" si="158"/>
        <v>0</v>
      </c>
      <c r="F84" s="28">
        <f t="shared" si="158"/>
        <v>0</v>
      </c>
      <c r="G84" s="28">
        <f t="shared" si="158"/>
        <v>0</v>
      </c>
      <c r="H84" s="28">
        <f t="shared" si="158"/>
        <v>0</v>
      </c>
      <c r="I84" s="28">
        <f t="shared" si="158"/>
        <v>0</v>
      </c>
      <c r="J84" s="28">
        <f>30</f>
        <v>30</v>
      </c>
      <c r="K84" s="28">
        <f t="shared" ref="K84:N84" si="159">0</f>
        <v>0</v>
      </c>
      <c r="L84" s="28">
        <f t="shared" si="159"/>
        <v>0</v>
      </c>
      <c r="M84" s="28">
        <f t="shared" si="159"/>
        <v>0</v>
      </c>
      <c r="N84" s="28">
        <f t="shared" si="159"/>
        <v>0</v>
      </c>
      <c r="O84" s="28">
        <f>30</f>
        <v>30</v>
      </c>
      <c r="P84" s="28">
        <f t="shared" si="160"/>
        <v>0</v>
      </c>
      <c r="Q84" s="28">
        <f>0</f>
        <v>0</v>
      </c>
    </row>
    <row r="85">
      <c r="B85" s="20">
        <v>46227.0</v>
      </c>
      <c r="C85" s="21">
        <v>100.0</v>
      </c>
      <c r="D85" s="28">
        <f t="shared" ref="D85:H85" si="161">0</f>
        <v>0</v>
      </c>
      <c r="E85" s="28">
        <f t="shared" si="161"/>
        <v>0</v>
      </c>
      <c r="F85" s="28">
        <f t="shared" si="161"/>
        <v>0</v>
      </c>
      <c r="G85" s="28">
        <f t="shared" si="161"/>
        <v>0</v>
      </c>
      <c r="H85" s="28">
        <f t="shared" si="161"/>
        <v>0</v>
      </c>
      <c r="I85" s="28">
        <f>20</f>
        <v>20</v>
      </c>
      <c r="J85" s="28">
        <f t="shared" ref="J85:P85" si="162">0</f>
        <v>0</v>
      </c>
      <c r="K85" s="28">
        <f t="shared" si="162"/>
        <v>0</v>
      </c>
      <c r="L85" s="28">
        <f t="shared" si="162"/>
        <v>0</v>
      </c>
      <c r="M85" s="28">
        <f t="shared" si="162"/>
        <v>0</v>
      </c>
      <c r="N85" s="28">
        <f t="shared" si="162"/>
        <v>0</v>
      </c>
      <c r="O85" s="28">
        <f t="shared" si="162"/>
        <v>0</v>
      </c>
      <c r="P85" s="28">
        <f t="shared" si="162"/>
        <v>0</v>
      </c>
      <c r="Q85" s="28">
        <f>80</f>
        <v>80</v>
      </c>
    </row>
    <row r="86">
      <c r="B86" s="20">
        <v>46227.0</v>
      </c>
      <c r="C86" s="21">
        <v>60.0</v>
      </c>
      <c r="D86" s="28">
        <f t="shared" ref="D86:P86" si="163">0</f>
        <v>0</v>
      </c>
      <c r="E86" s="28">
        <f t="shared" si="163"/>
        <v>0</v>
      </c>
      <c r="F86" s="28">
        <f t="shared" si="163"/>
        <v>0</v>
      </c>
      <c r="G86" s="28">
        <f t="shared" si="163"/>
        <v>0</v>
      </c>
      <c r="H86" s="28">
        <f t="shared" si="163"/>
        <v>0</v>
      </c>
      <c r="I86" s="28">
        <f t="shared" si="163"/>
        <v>0</v>
      </c>
      <c r="J86" s="28">
        <f t="shared" si="163"/>
        <v>0</v>
      </c>
      <c r="K86" s="28">
        <f t="shared" si="163"/>
        <v>0</v>
      </c>
      <c r="L86" s="28">
        <f t="shared" si="163"/>
        <v>0</v>
      </c>
      <c r="M86" s="28">
        <f t="shared" si="163"/>
        <v>0</v>
      </c>
      <c r="N86" s="28">
        <f t="shared" si="163"/>
        <v>0</v>
      </c>
      <c r="O86" s="28">
        <f t="shared" si="163"/>
        <v>0</v>
      </c>
      <c r="P86" s="28">
        <f t="shared" si="163"/>
        <v>0</v>
      </c>
      <c r="Q86" s="28">
        <f>60</f>
        <v>60</v>
      </c>
    </row>
    <row r="87">
      <c r="B87" s="20">
        <v>46227.0</v>
      </c>
      <c r="C87" s="21">
        <v>300.0</v>
      </c>
      <c r="D87" s="28">
        <f>60</f>
        <v>60</v>
      </c>
      <c r="E87" s="28">
        <f t="shared" ref="E87:I87" si="164">0</f>
        <v>0</v>
      </c>
      <c r="F87" s="28">
        <f t="shared" si="164"/>
        <v>0</v>
      </c>
      <c r="G87" s="28">
        <f t="shared" si="164"/>
        <v>0</v>
      </c>
      <c r="H87" s="28">
        <f t="shared" si="164"/>
        <v>0</v>
      </c>
      <c r="I87" s="28">
        <f t="shared" si="164"/>
        <v>0</v>
      </c>
      <c r="J87" s="28">
        <f>210</f>
        <v>210</v>
      </c>
      <c r="K87" s="28">
        <f t="shared" ref="K87:P87" si="165">0</f>
        <v>0</v>
      </c>
      <c r="L87" s="28">
        <f t="shared" si="165"/>
        <v>0</v>
      </c>
      <c r="M87" s="28">
        <f t="shared" si="165"/>
        <v>0</v>
      </c>
      <c r="N87" s="28">
        <f t="shared" si="165"/>
        <v>0</v>
      </c>
      <c r="O87" s="28">
        <f t="shared" si="165"/>
        <v>0</v>
      </c>
      <c r="P87" s="28">
        <f t="shared" si="165"/>
        <v>0</v>
      </c>
      <c r="Q87" s="28">
        <f>30</f>
        <v>30</v>
      </c>
    </row>
    <row r="88">
      <c r="B88" s="20">
        <v>46227.0</v>
      </c>
      <c r="C88" s="21">
        <v>160.0</v>
      </c>
      <c r="D88" s="28">
        <f>32</f>
        <v>32</v>
      </c>
      <c r="E88" s="28">
        <f t="shared" ref="E88:N88" si="166">0</f>
        <v>0</v>
      </c>
      <c r="F88" s="28">
        <f t="shared" si="166"/>
        <v>0</v>
      </c>
      <c r="G88" s="28">
        <f t="shared" si="166"/>
        <v>0</v>
      </c>
      <c r="H88" s="28">
        <f t="shared" si="166"/>
        <v>0</v>
      </c>
      <c r="I88" s="28">
        <f t="shared" si="166"/>
        <v>0</v>
      </c>
      <c r="J88" s="28">
        <f t="shared" si="166"/>
        <v>0</v>
      </c>
      <c r="K88" s="28">
        <f t="shared" si="166"/>
        <v>0</v>
      </c>
      <c r="L88" s="28">
        <f t="shared" si="166"/>
        <v>0</v>
      </c>
      <c r="M88" s="28">
        <f t="shared" si="166"/>
        <v>0</v>
      </c>
      <c r="N88" s="28">
        <f t="shared" si="166"/>
        <v>0</v>
      </c>
      <c r="O88" s="28">
        <f>48</f>
        <v>48</v>
      </c>
      <c r="P88" s="28">
        <f>0</f>
        <v>0</v>
      </c>
      <c r="Q88" s="28">
        <f>80</f>
        <v>80</v>
      </c>
    </row>
    <row r="89">
      <c r="B89" s="20">
        <v>46227.0</v>
      </c>
      <c r="C89" s="21">
        <v>60.0</v>
      </c>
      <c r="D89" s="28">
        <f t="shared" ref="D89:P89" si="167">0</f>
        <v>0</v>
      </c>
      <c r="E89" s="28">
        <f t="shared" si="167"/>
        <v>0</v>
      </c>
      <c r="F89" s="28">
        <f t="shared" si="167"/>
        <v>0</v>
      </c>
      <c r="G89" s="28">
        <f t="shared" si="167"/>
        <v>0</v>
      </c>
      <c r="H89" s="28">
        <f t="shared" si="167"/>
        <v>0</v>
      </c>
      <c r="I89" s="28">
        <f t="shared" si="167"/>
        <v>0</v>
      </c>
      <c r="J89" s="28">
        <f t="shared" si="167"/>
        <v>0</v>
      </c>
      <c r="K89" s="28">
        <f t="shared" si="167"/>
        <v>0</v>
      </c>
      <c r="L89" s="28">
        <f t="shared" si="167"/>
        <v>0</v>
      </c>
      <c r="M89" s="28">
        <f t="shared" si="167"/>
        <v>0</v>
      </c>
      <c r="N89" s="28">
        <f t="shared" si="167"/>
        <v>0</v>
      </c>
      <c r="O89" s="28">
        <f t="shared" si="167"/>
        <v>0</v>
      </c>
      <c r="P89" s="28">
        <f t="shared" si="167"/>
        <v>0</v>
      </c>
      <c r="Q89" s="28">
        <f>60</f>
        <v>60</v>
      </c>
    </row>
    <row r="90">
      <c r="B90" s="20">
        <v>46228.0</v>
      </c>
      <c r="C90" s="21">
        <v>140.0</v>
      </c>
      <c r="D90" s="28">
        <f t="shared" ref="D90:E90" si="168">28</f>
        <v>28</v>
      </c>
      <c r="E90" s="28">
        <f t="shared" si="168"/>
        <v>28</v>
      </c>
      <c r="F90" s="28">
        <f t="shared" ref="F90:H90" si="169">0</f>
        <v>0</v>
      </c>
      <c r="G90" s="28">
        <f t="shared" si="169"/>
        <v>0</v>
      </c>
      <c r="H90" s="28">
        <f t="shared" si="169"/>
        <v>0</v>
      </c>
      <c r="I90" s="28">
        <f>14</f>
        <v>14</v>
      </c>
      <c r="J90" s="28">
        <f>28</f>
        <v>28</v>
      </c>
      <c r="K90" s="28">
        <f t="shared" ref="K90:N90" si="170">0</f>
        <v>0</v>
      </c>
      <c r="L90" s="28">
        <f t="shared" si="170"/>
        <v>0</v>
      </c>
      <c r="M90" s="28">
        <f t="shared" si="170"/>
        <v>0</v>
      </c>
      <c r="N90" s="28">
        <f t="shared" si="170"/>
        <v>0</v>
      </c>
      <c r="O90" s="28">
        <f>28</f>
        <v>28</v>
      </c>
      <c r="P90" s="28">
        <f>0</f>
        <v>0</v>
      </c>
      <c r="Q90" s="28">
        <f>14</f>
        <v>14</v>
      </c>
    </row>
    <row r="91">
      <c r="B91" s="20">
        <v>46228.0</v>
      </c>
      <c r="C91" s="21">
        <v>220.0</v>
      </c>
      <c r="D91" s="28">
        <f t="shared" ref="D91:I91" si="171">0</f>
        <v>0</v>
      </c>
      <c r="E91" s="28">
        <f t="shared" si="171"/>
        <v>0</v>
      </c>
      <c r="F91" s="28">
        <f t="shared" si="171"/>
        <v>0</v>
      </c>
      <c r="G91" s="28">
        <f t="shared" si="171"/>
        <v>0</v>
      </c>
      <c r="H91" s="28">
        <f t="shared" si="171"/>
        <v>0</v>
      </c>
      <c r="I91" s="28">
        <f t="shared" si="171"/>
        <v>0</v>
      </c>
      <c r="J91" s="28">
        <f>176</f>
        <v>176</v>
      </c>
      <c r="K91" s="28">
        <f t="shared" ref="K91:P91" si="172">0</f>
        <v>0</v>
      </c>
      <c r="L91" s="28">
        <f t="shared" si="172"/>
        <v>0</v>
      </c>
      <c r="M91" s="28">
        <f t="shared" si="172"/>
        <v>0</v>
      </c>
      <c r="N91" s="28">
        <f t="shared" si="172"/>
        <v>0</v>
      </c>
      <c r="O91" s="28">
        <f t="shared" si="172"/>
        <v>0</v>
      </c>
      <c r="P91" s="28">
        <f t="shared" si="172"/>
        <v>0</v>
      </c>
      <c r="Q91" s="28">
        <f>44</f>
        <v>44</v>
      </c>
    </row>
    <row r="92">
      <c r="B92" s="20">
        <v>46229.0</v>
      </c>
      <c r="C92" s="21">
        <v>140.0</v>
      </c>
      <c r="D92" s="28">
        <f t="shared" ref="D92:H92" si="173">0</f>
        <v>0</v>
      </c>
      <c r="E92" s="28">
        <f t="shared" si="173"/>
        <v>0</v>
      </c>
      <c r="F92" s="28">
        <f t="shared" si="173"/>
        <v>0</v>
      </c>
      <c r="G92" s="28">
        <f t="shared" si="173"/>
        <v>0</v>
      </c>
      <c r="H92" s="28">
        <f t="shared" si="173"/>
        <v>0</v>
      </c>
      <c r="I92" s="28">
        <f>7</f>
        <v>7</v>
      </c>
      <c r="J92" s="28">
        <f>133</f>
        <v>133</v>
      </c>
      <c r="K92" s="28">
        <f t="shared" ref="K92:Q92" si="174">0</f>
        <v>0</v>
      </c>
      <c r="L92" s="28">
        <f t="shared" si="174"/>
        <v>0</v>
      </c>
      <c r="M92" s="28">
        <f t="shared" si="174"/>
        <v>0</v>
      </c>
      <c r="N92" s="28">
        <f t="shared" si="174"/>
        <v>0</v>
      </c>
      <c r="O92" s="28">
        <f t="shared" si="174"/>
        <v>0</v>
      </c>
      <c r="P92" s="28">
        <f t="shared" si="174"/>
        <v>0</v>
      </c>
      <c r="Q92" s="28">
        <f t="shared" si="174"/>
        <v>0</v>
      </c>
    </row>
    <row r="93">
      <c r="B93" s="20">
        <v>46229.0</v>
      </c>
      <c r="C93" s="21">
        <v>100.0</v>
      </c>
      <c r="D93" s="28">
        <f t="shared" ref="D93:G93" si="175">0</f>
        <v>0</v>
      </c>
      <c r="E93" s="28">
        <f t="shared" si="175"/>
        <v>0</v>
      </c>
      <c r="F93" s="28">
        <f t="shared" si="175"/>
        <v>0</v>
      </c>
      <c r="G93" s="28">
        <f t="shared" si="175"/>
        <v>0</v>
      </c>
      <c r="H93" s="28">
        <f>10</f>
        <v>10</v>
      </c>
      <c r="I93" s="28">
        <f t="shared" ref="I93:P93" si="176">0</f>
        <v>0</v>
      </c>
      <c r="J93" s="28">
        <f t="shared" si="176"/>
        <v>0</v>
      </c>
      <c r="K93" s="28">
        <f t="shared" si="176"/>
        <v>0</v>
      </c>
      <c r="L93" s="28">
        <f t="shared" si="176"/>
        <v>0</v>
      </c>
      <c r="M93" s="28">
        <f t="shared" si="176"/>
        <v>0</v>
      </c>
      <c r="N93" s="28">
        <f t="shared" si="176"/>
        <v>0</v>
      </c>
      <c r="O93" s="28">
        <f t="shared" si="176"/>
        <v>0</v>
      </c>
      <c r="P93" s="28">
        <f t="shared" si="176"/>
        <v>0</v>
      </c>
      <c r="Q93" s="28">
        <f>90</f>
        <v>90</v>
      </c>
    </row>
    <row r="94">
      <c r="B94" s="20">
        <v>46229.0</v>
      </c>
      <c r="C94" s="21">
        <v>140.0</v>
      </c>
      <c r="D94" s="28">
        <f t="shared" ref="D94:H94" si="177">0</f>
        <v>0</v>
      </c>
      <c r="E94" s="28">
        <f t="shared" si="177"/>
        <v>0</v>
      </c>
      <c r="F94" s="28">
        <f t="shared" si="177"/>
        <v>0</v>
      </c>
      <c r="G94" s="28">
        <f t="shared" si="177"/>
        <v>0</v>
      </c>
      <c r="H94" s="28">
        <f t="shared" si="177"/>
        <v>0</v>
      </c>
      <c r="I94" s="28">
        <f>14</f>
        <v>14</v>
      </c>
      <c r="J94" s="28">
        <f t="shared" ref="J94:P94" si="178">0</f>
        <v>0</v>
      </c>
      <c r="K94" s="28">
        <f t="shared" si="178"/>
        <v>0</v>
      </c>
      <c r="L94" s="28">
        <f t="shared" si="178"/>
        <v>0</v>
      </c>
      <c r="M94" s="28">
        <f t="shared" si="178"/>
        <v>0</v>
      </c>
      <c r="N94" s="28">
        <f t="shared" si="178"/>
        <v>0</v>
      </c>
      <c r="O94" s="28">
        <f t="shared" si="178"/>
        <v>0</v>
      </c>
      <c r="P94" s="28">
        <f t="shared" si="178"/>
        <v>0</v>
      </c>
      <c r="Q94" s="28">
        <f>126</f>
        <v>126</v>
      </c>
    </row>
    <row r="95">
      <c r="B95" s="20">
        <v>46230.0</v>
      </c>
      <c r="C95" s="21">
        <v>100.0</v>
      </c>
      <c r="D95" s="28">
        <f>60</f>
        <v>60</v>
      </c>
      <c r="E95" s="28">
        <f t="shared" ref="E95:F95" si="179">10</f>
        <v>10</v>
      </c>
      <c r="F95" s="28">
        <f t="shared" si="179"/>
        <v>10</v>
      </c>
      <c r="G95" s="28">
        <f>0</f>
        <v>0</v>
      </c>
      <c r="H95" s="28">
        <f>20</f>
        <v>20</v>
      </c>
      <c r="I95" s="28">
        <f t="shared" ref="I95:Q95" si="180">0</f>
        <v>0</v>
      </c>
      <c r="J95" s="28">
        <f t="shared" si="180"/>
        <v>0</v>
      </c>
      <c r="K95" s="28">
        <f t="shared" si="180"/>
        <v>0</v>
      </c>
      <c r="L95" s="28">
        <f t="shared" si="180"/>
        <v>0</v>
      </c>
      <c r="M95" s="28">
        <f t="shared" si="180"/>
        <v>0</v>
      </c>
      <c r="N95" s="28">
        <f t="shared" si="180"/>
        <v>0</v>
      </c>
      <c r="O95" s="28">
        <f t="shared" si="180"/>
        <v>0</v>
      </c>
      <c r="P95" s="28">
        <f t="shared" si="180"/>
        <v>0</v>
      </c>
      <c r="Q95" s="28">
        <f t="shared" si="180"/>
        <v>0</v>
      </c>
    </row>
    <row r="96">
      <c r="B96" s="20">
        <v>46230.0</v>
      </c>
      <c r="C96" s="21">
        <v>120.0</v>
      </c>
      <c r="D96" s="28">
        <f t="shared" ref="D96:H96" si="181">0</f>
        <v>0</v>
      </c>
      <c r="E96" s="28">
        <f t="shared" si="181"/>
        <v>0</v>
      </c>
      <c r="F96" s="28">
        <f t="shared" si="181"/>
        <v>0</v>
      </c>
      <c r="G96" s="28">
        <f t="shared" si="181"/>
        <v>0</v>
      </c>
      <c r="H96" s="28">
        <f t="shared" si="181"/>
        <v>0</v>
      </c>
      <c r="I96" s="28">
        <f>108</f>
        <v>108</v>
      </c>
      <c r="J96" s="28">
        <f t="shared" ref="J96:P96" si="182">0</f>
        <v>0</v>
      </c>
      <c r="K96" s="28">
        <f t="shared" si="182"/>
        <v>0</v>
      </c>
      <c r="L96" s="28">
        <f t="shared" si="182"/>
        <v>0</v>
      </c>
      <c r="M96" s="28">
        <f t="shared" si="182"/>
        <v>0</v>
      </c>
      <c r="N96" s="28">
        <f t="shared" si="182"/>
        <v>0</v>
      </c>
      <c r="O96" s="28">
        <f t="shared" si="182"/>
        <v>0</v>
      </c>
      <c r="P96" s="28">
        <f t="shared" si="182"/>
        <v>0</v>
      </c>
      <c r="Q96" s="28">
        <f>12</f>
        <v>12</v>
      </c>
    </row>
    <row r="97">
      <c r="B97" s="20">
        <v>46230.0</v>
      </c>
      <c r="C97" s="21">
        <v>60.0</v>
      </c>
      <c r="D97" s="28">
        <f t="shared" ref="D97:P97" si="183">0</f>
        <v>0</v>
      </c>
      <c r="E97" s="28">
        <f t="shared" si="183"/>
        <v>0</v>
      </c>
      <c r="F97" s="28">
        <f t="shared" si="183"/>
        <v>0</v>
      </c>
      <c r="G97" s="28">
        <f t="shared" si="183"/>
        <v>0</v>
      </c>
      <c r="H97" s="28">
        <f t="shared" si="183"/>
        <v>0</v>
      </c>
      <c r="I97" s="28">
        <f t="shared" si="183"/>
        <v>0</v>
      </c>
      <c r="J97" s="28">
        <f t="shared" si="183"/>
        <v>0</v>
      </c>
      <c r="K97" s="28">
        <f t="shared" si="183"/>
        <v>0</v>
      </c>
      <c r="L97" s="28">
        <f t="shared" si="183"/>
        <v>0</v>
      </c>
      <c r="M97" s="28">
        <f t="shared" si="183"/>
        <v>0</v>
      </c>
      <c r="N97" s="28">
        <f t="shared" si="183"/>
        <v>0</v>
      </c>
      <c r="O97" s="28">
        <f t="shared" si="183"/>
        <v>0</v>
      </c>
      <c r="P97" s="28">
        <f t="shared" si="183"/>
        <v>0</v>
      </c>
      <c r="Q97" s="28">
        <f>60</f>
        <v>60</v>
      </c>
    </row>
    <row r="98">
      <c r="B98" s="20">
        <v>46230.0</v>
      </c>
      <c r="C98" s="21">
        <v>100.0</v>
      </c>
      <c r="D98" s="28">
        <f>10</f>
        <v>10</v>
      </c>
      <c r="E98" s="28">
        <f>60</f>
        <v>60</v>
      </c>
      <c r="F98" s="28">
        <f t="shared" ref="F98:P98" si="184">0</f>
        <v>0</v>
      </c>
      <c r="G98" s="28">
        <f t="shared" si="184"/>
        <v>0</v>
      </c>
      <c r="H98" s="28">
        <f t="shared" si="184"/>
        <v>0</v>
      </c>
      <c r="I98" s="28">
        <f t="shared" si="184"/>
        <v>0</v>
      </c>
      <c r="J98" s="28">
        <f t="shared" si="184"/>
        <v>0</v>
      </c>
      <c r="K98" s="28">
        <f t="shared" si="184"/>
        <v>0</v>
      </c>
      <c r="L98" s="28">
        <f t="shared" si="184"/>
        <v>0</v>
      </c>
      <c r="M98" s="28">
        <f t="shared" si="184"/>
        <v>0</v>
      </c>
      <c r="N98" s="28">
        <f t="shared" si="184"/>
        <v>0</v>
      </c>
      <c r="O98" s="28">
        <f t="shared" si="184"/>
        <v>0</v>
      </c>
      <c r="P98" s="28">
        <f t="shared" si="184"/>
        <v>0</v>
      </c>
      <c r="Q98" s="28">
        <f t="shared" ref="Q98:Q99" si="188">30</f>
        <v>30</v>
      </c>
    </row>
    <row r="99">
      <c r="B99" s="20">
        <v>46230.0</v>
      </c>
      <c r="C99" s="21">
        <v>100.0</v>
      </c>
      <c r="D99" s="28">
        <f t="shared" ref="D99:E99" si="185">20</f>
        <v>20</v>
      </c>
      <c r="E99" s="28">
        <f t="shared" si="185"/>
        <v>20</v>
      </c>
      <c r="F99" s="28">
        <f t="shared" ref="F99:G99" si="186">0</f>
        <v>0</v>
      </c>
      <c r="G99" s="28">
        <f t="shared" si="186"/>
        <v>0</v>
      </c>
      <c r="H99" s="28">
        <f>30</f>
        <v>30</v>
      </c>
      <c r="I99" s="28">
        <f t="shared" ref="I99:P99" si="187">0</f>
        <v>0</v>
      </c>
      <c r="J99" s="28">
        <f t="shared" si="187"/>
        <v>0</v>
      </c>
      <c r="K99" s="28">
        <f t="shared" si="187"/>
        <v>0</v>
      </c>
      <c r="L99" s="28">
        <f t="shared" si="187"/>
        <v>0</v>
      </c>
      <c r="M99" s="28">
        <f t="shared" si="187"/>
        <v>0</v>
      </c>
      <c r="N99" s="28">
        <f t="shared" si="187"/>
        <v>0</v>
      </c>
      <c r="O99" s="28">
        <f t="shared" si="187"/>
        <v>0</v>
      </c>
      <c r="P99" s="28">
        <f t="shared" si="187"/>
        <v>0</v>
      </c>
      <c r="Q99" s="28">
        <f t="shared" si="188"/>
        <v>30</v>
      </c>
    </row>
    <row r="100">
      <c r="B100" s="20">
        <v>46231.0</v>
      </c>
      <c r="C100" s="21">
        <v>60.0</v>
      </c>
      <c r="D100" s="28">
        <f t="shared" ref="D100:F100" si="189">0</f>
        <v>0</v>
      </c>
      <c r="E100" s="28">
        <f t="shared" si="189"/>
        <v>0</v>
      </c>
      <c r="F100" s="28">
        <f t="shared" si="189"/>
        <v>0</v>
      </c>
      <c r="G100" s="28">
        <f>36</f>
        <v>36</v>
      </c>
      <c r="H100" s="28">
        <f t="shared" ref="H100:P100" si="190">0</f>
        <v>0</v>
      </c>
      <c r="I100" s="28">
        <f t="shared" si="190"/>
        <v>0</v>
      </c>
      <c r="J100" s="28">
        <f t="shared" si="190"/>
        <v>0</v>
      </c>
      <c r="K100" s="28">
        <f t="shared" si="190"/>
        <v>0</v>
      </c>
      <c r="L100" s="28">
        <f t="shared" si="190"/>
        <v>0</v>
      </c>
      <c r="M100" s="28">
        <f t="shared" si="190"/>
        <v>0</v>
      </c>
      <c r="N100" s="28">
        <f t="shared" si="190"/>
        <v>0</v>
      </c>
      <c r="O100" s="28">
        <f t="shared" si="190"/>
        <v>0</v>
      </c>
      <c r="P100" s="28">
        <f t="shared" si="190"/>
        <v>0</v>
      </c>
      <c r="Q100" s="28">
        <f>24</f>
        <v>24</v>
      </c>
    </row>
    <row r="101">
      <c r="B101" s="20">
        <v>46231.0</v>
      </c>
      <c r="C101" s="21">
        <v>120.0</v>
      </c>
      <c r="D101" s="28">
        <f>6</f>
        <v>6</v>
      </c>
      <c r="E101" s="28">
        <f t="shared" ref="E101:I101" si="191">0</f>
        <v>0</v>
      </c>
      <c r="F101" s="28">
        <f t="shared" si="191"/>
        <v>0</v>
      </c>
      <c r="G101" s="28">
        <f t="shared" si="191"/>
        <v>0</v>
      </c>
      <c r="H101" s="28">
        <f t="shared" si="191"/>
        <v>0</v>
      </c>
      <c r="I101" s="28">
        <f t="shared" si="191"/>
        <v>0</v>
      </c>
      <c r="J101" s="28">
        <f>60</f>
        <v>60</v>
      </c>
      <c r="K101" s="28">
        <f t="shared" ref="K101:O101" si="192">0</f>
        <v>0</v>
      </c>
      <c r="L101" s="28">
        <f t="shared" si="192"/>
        <v>0</v>
      </c>
      <c r="M101" s="28">
        <f t="shared" si="192"/>
        <v>0</v>
      </c>
      <c r="N101" s="28">
        <f t="shared" si="192"/>
        <v>0</v>
      </c>
      <c r="O101" s="28">
        <f t="shared" si="192"/>
        <v>0</v>
      </c>
      <c r="P101" s="28">
        <f>6</f>
        <v>6</v>
      </c>
      <c r="Q101" s="28">
        <f>48</f>
        <v>48</v>
      </c>
    </row>
    <row r="102">
      <c r="B102" s="20">
        <v>46231.0</v>
      </c>
      <c r="C102" s="21">
        <v>160.0</v>
      </c>
      <c r="D102" s="28">
        <f t="shared" ref="D102:I102" si="193">0</f>
        <v>0</v>
      </c>
      <c r="E102" s="28">
        <f t="shared" si="193"/>
        <v>0</v>
      </c>
      <c r="F102" s="28">
        <f t="shared" si="193"/>
        <v>0</v>
      </c>
      <c r="G102" s="28">
        <f t="shared" si="193"/>
        <v>0</v>
      </c>
      <c r="H102" s="28">
        <f t="shared" si="193"/>
        <v>0</v>
      </c>
      <c r="I102" s="28">
        <f t="shared" si="193"/>
        <v>0</v>
      </c>
      <c r="J102" s="28">
        <f>80</f>
        <v>80</v>
      </c>
      <c r="K102" s="28">
        <f t="shared" ref="K102:P102" si="194">0</f>
        <v>0</v>
      </c>
      <c r="L102" s="28">
        <f t="shared" si="194"/>
        <v>0</v>
      </c>
      <c r="M102" s="28">
        <f t="shared" si="194"/>
        <v>0</v>
      </c>
      <c r="N102" s="28">
        <f t="shared" si="194"/>
        <v>0</v>
      </c>
      <c r="O102" s="28">
        <f t="shared" si="194"/>
        <v>0</v>
      </c>
      <c r="P102" s="28">
        <f t="shared" si="194"/>
        <v>0</v>
      </c>
      <c r="Q102" s="28">
        <f>80</f>
        <v>80</v>
      </c>
    </row>
    <row r="103">
      <c r="B103" s="20">
        <v>46232.0</v>
      </c>
      <c r="C103" s="21">
        <v>200.0</v>
      </c>
      <c r="D103" s="28">
        <f t="shared" ref="D103:E103" si="195">0</f>
        <v>0</v>
      </c>
      <c r="E103" s="28">
        <f t="shared" si="195"/>
        <v>0</v>
      </c>
      <c r="F103" s="28">
        <f>100</f>
        <v>100</v>
      </c>
      <c r="G103" s="28">
        <f>0</f>
        <v>0</v>
      </c>
      <c r="H103" s="28">
        <f>100</f>
        <v>100</v>
      </c>
      <c r="I103" s="28">
        <f t="shared" ref="I103:O103" si="196">0</f>
        <v>0</v>
      </c>
      <c r="J103" s="28">
        <f t="shared" si="196"/>
        <v>0</v>
      </c>
      <c r="K103" s="28">
        <f t="shared" si="196"/>
        <v>0</v>
      </c>
      <c r="L103" s="28">
        <f t="shared" si="196"/>
        <v>0</v>
      </c>
      <c r="M103" s="28">
        <f t="shared" si="196"/>
        <v>0</v>
      </c>
      <c r="N103" s="28">
        <f t="shared" si="196"/>
        <v>0</v>
      </c>
      <c r="O103" s="28">
        <f t="shared" si="196"/>
        <v>0</v>
      </c>
    </row>
    <row r="104">
      <c r="B104" s="20">
        <v>46232.0</v>
      </c>
      <c r="C104" s="21">
        <v>60.0</v>
      </c>
      <c r="D104" s="28">
        <f t="shared" ref="D104:G104" si="197">0</f>
        <v>0</v>
      </c>
      <c r="E104" s="28">
        <f t="shared" si="197"/>
        <v>0</v>
      </c>
      <c r="F104" s="28">
        <f t="shared" si="197"/>
        <v>0</v>
      </c>
      <c r="G104" s="28">
        <f t="shared" si="197"/>
        <v>0</v>
      </c>
      <c r="H104" s="28">
        <f>30</f>
        <v>30</v>
      </c>
      <c r="I104" s="28">
        <f t="shared" ref="I104:J104" si="198">0</f>
        <v>0</v>
      </c>
      <c r="J104" s="28">
        <f t="shared" si="198"/>
        <v>0</v>
      </c>
      <c r="K104" s="28">
        <f>30</f>
        <v>30</v>
      </c>
      <c r="L104" s="28">
        <f t="shared" ref="L104:Q104" si="199">0</f>
        <v>0</v>
      </c>
      <c r="M104" s="28">
        <f t="shared" si="199"/>
        <v>0</v>
      </c>
      <c r="N104" s="28">
        <f t="shared" si="199"/>
        <v>0</v>
      </c>
      <c r="O104" s="28">
        <f t="shared" si="199"/>
        <v>0</v>
      </c>
      <c r="P104" s="28">
        <f t="shared" si="199"/>
        <v>0</v>
      </c>
      <c r="Q104" s="28">
        <f t="shared" si="199"/>
        <v>0</v>
      </c>
    </row>
    <row r="105">
      <c r="B105" s="20">
        <v>46232.0</v>
      </c>
      <c r="C105" s="21">
        <v>560.0</v>
      </c>
      <c r="D105" s="28">
        <f>112</f>
        <v>112</v>
      </c>
      <c r="E105" s="28">
        <f t="shared" ref="E105:J105" si="200">0</f>
        <v>0</v>
      </c>
      <c r="F105" s="28">
        <f t="shared" si="200"/>
        <v>0</v>
      </c>
      <c r="G105" s="28">
        <f t="shared" si="200"/>
        <v>0</v>
      </c>
      <c r="H105" s="28">
        <f t="shared" si="200"/>
        <v>0</v>
      </c>
      <c r="I105" s="28">
        <f t="shared" si="200"/>
        <v>0</v>
      </c>
      <c r="J105" s="28">
        <f t="shared" si="200"/>
        <v>0</v>
      </c>
      <c r="K105" s="28">
        <f>448</f>
        <v>448</v>
      </c>
      <c r="L105" s="28">
        <f t="shared" ref="L105:Q105" si="201">0</f>
        <v>0</v>
      </c>
      <c r="M105" s="28">
        <f t="shared" si="201"/>
        <v>0</v>
      </c>
      <c r="N105" s="28">
        <f t="shared" si="201"/>
        <v>0</v>
      </c>
      <c r="O105" s="28">
        <f t="shared" si="201"/>
        <v>0</v>
      </c>
      <c r="P105" s="28">
        <f t="shared" si="201"/>
        <v>0</v>
      </c>
      <c r="Q105" s="28">
        <f t="shared" si="201"/>
        <v>0</v>
      </c>
    </row>
    <row r="106">
      <c r="B106" s="20">
        <v>46232.0</v>
      </c>
      <c r="C106" s="21">
        <v>320.0</v>
      </c>
      <c r="D106" s="28">
        <f t="shared" ref="D106:J106" si="202">0</f>
        <v>0</v>
      </c>
      <c r="E106" s="28">
        <f t="shared" si="202"/>
        <v>0</v>
      </c>
      <c r="F106" s="28">
        <f t="shared" si="202"/>
        <v>0</v>
      </c>
      <c r="G106" s="28">
        <f t="shared" si="202"/>
        <v>0</v>
      </c>
      <c r="H106" s="28">
        <f t="shared" si="202"/>
        <v>0</v>
      </c>
      <c r="I106" s="28">
        <f t="shared" si="202"/>
        <v>0</v>
      </c>
      <c r="J106" s="28">
        <f t="shared" si="202"/>
        <v>0</v>
      </c>
      <c r="K106" s="28">
        <f>288</f>
        <v>288</v>
      </c>
      <c r="L106" s="28">
        <f t="shared" ref="L106:P106" si="203">0</f>
        <v>0</v>
      </c>
      <c r="M106" s="28">
        <f t="shared" si="203"/>
        <v>0</v>
      </c>
      <c r="N106" s="28">
        <f t="shared" si="203"/>
        <v>0</v>
      </c>
      <c r="O106" s="28">
        <f t="shared" si="203"/>
        <v>0</v>
      </c>
      <c r="P106" s="28">
        <f t="shared" si="203"/>
        <v>0</v>
      </c>
      <c r="Q106" s="28">
        <f>32</f>
        <v>32</v>
      </c>
    </row>
    <row r="107">
      <c r="B107" s="20">
        <v>46233.0</v>
      </c>
      <c r="C107" s="21">
        <v>80.0</v>
      </c>
      <c r="D107" s="28">
        <f>64</f>
        <v>64</v>
      </c>
      <c r="E107" s="28">
        <f t="shared" ref="E107:I107" si="204">0</f>
        <v>0</v>
      </c>
      <c r="F107" s="28">
        <f t="shared" si="204"/>
        <v>0</v>
      </c>
      <c r="G107" s="28">
        <f t="shared" si="204"/>
        <v>0</v>
      </c>
      <c r="H107" s="28">
        <f t="shared" si="204"/>
        <v>0</v>
      </c>
      <c r="I107" s="28">
        <f t="shared" si="204"/>
        <v>0</v>
      </c>
      <c r="J107" s="28">
        <f>8</f>
        <v>8</v>
      </c>
      <c r="K107" s="28">
        <f t="shared" ref="K107:N107" si="205">0</f>
        <v>0</v>
      </c>
      <c r="L107" s="28">
        <f t="shared" si="205"/>
        <v>0</v>
      </c>
      <c r="M107" s="28">
        <f t="shared" si="205"/>
        <v>0</v>
      </c>
      <c r="N107" s="28">
        <f t="shared" si="205"/>
        <v>0</v>
      </c>
      <c r="O107" s="28">
        <f>8</f>
        <v>8</v>
      </c>
      <c r="P107" s="28">
        <f>0</f>
        <v>0</v>
      </c>
    </row>
    <row r="108">
      <c r="B108" s="20">
        <v>46233.0</v>
      </c>
      <c r="C108" s="21">
        <v>40.0</v>
      </c>
      <c r="D108" s="28">
        <f t="shared" ref="D108:G108" si="206">0</f>
        <v>0</v>
      </c>
      <c r="E108" s="28">
        <f t="shared" si="206"/>
        <v>0</v>
      </c>
      <c r="F108" s="28">
        <f t="shared" si="206"/>
        <v>0</v>
      </c>
      <c r="G108" s="28">
        <f t="shared" si="206"/>
        <v>0</v>
      </c>
      <c r="H108" s="28">
        <f>40</f>
        <v>40</v>
      </c>
      <c r="I108" s="28">
        <f t="shared" ref="I108:Q108" si="207">0</f>
        <v>0</v>
      </c>
      <c r="J108" s="28">
        <f t="shared" si="207"/>
        <v>0</v>
      </c>
      <c r="K108" s="28">
        <f t="shared" si="207"/>
        <v>0</v>
      </c>
      <c r="L108" s="28">
        <f t="shared" si="207"/>
        <v>0</v>
      </c>
      <c r="M108" s="28">
        <f t="shared" si="207"/>
        <v>0</v>
      </c>
      <c r="N108" s="28">
        <f t="shared" si="207"/>
        <v>0</v>
      </c>
      <c r="O108" s="28">
        <f t="shared" si="207"/>
        <v>0</v>
      </c>
      <c r="P108" s="28">
        <f t="shared" si="207"/>
        <v>0</v>
      </c>
      <c r="Q108" s="28">
        <f t="shared" si="207"/>
        <v>0</v>
      </c>
    </row>
    <row r="109">
      <c r="B109" s="20">
        <v>46233.0</v>
      </c>
      <c r="C109" s="21">
        <v>200.0</v>
      </c>
      <c r="D109" s="28">
        <f t="shared" ref="D109:G109" si="208">0</f>
        <v>0</v>
      </c>
      <c r="E109" s="28">
        <f t="shared" si="208"/>
        <v>0</v>
      </c>
      <c r="F109" s="28">
        <f t="shared" si="208"/>
        <v>0</v>
      </c>
      <c r="G109" s="28">
        <f t="shared" si="208"/>
        <v>0</v>
      </c>
      <c r="H109" s="28">
        <f>60</f>
        <v>60</v>
      </c>
      <c r="I109" s="28">
        <f>0</f>
        <v>0</v>
      </c>
      <c r="J109" s="28">
        <f>80</f>
        <v>80</v>
      </c>
      <c r="K109" s="28">
        <f t="shared" ref="K109:P109" si="209">0</f>
        <v>0</v>
      </c>
      <c r="L109" s="28">
        <f t="shared" si="209"/>
        <v>0</v>
      </c>
      <c r="M109" s="28">
        <f t="shared" si="209"/>
        <v>0</v>
      </c>
      <c r="N109" s="28">
        <f t="shared" si="209"/>
        <v>0</v>
      </c>
      <c r="O109" s="28">
        <f t="shared" si="209"/>
        <v>0</v>
      </c>
      <c r="P109" s="28">
        <f t="shared" si="209"/>
        <v>0</v>
      </c>
      <c r="Q109" s="28">
        <f>60</f>
        <v>60</v>
      </c>
    </row>
    <row r="110">
      <c r="B110" s="20">
        <v>46234.0</v>
      </c>
      <c r="C110" s="21">
        <v>260.0</v>
      </c>
      <c r="D110" s="28">
        <f>85.8</f>
        <v>85.8</v>
      </c>
      <c r="E110" s="28">
        <f t="shared" ref="E110:I110" si="210">0</f>
        <v>0</v>
      </c>
      <c r="F110" s="28">
        <f t="shared" si="210"/>
        <v>0</v>
      </c>
      <c r="G110" s="28">
        <f t="shared" si="210"/>
        <v>0</v>
      </c>
      <c r="H110" s="28">
        <f t="shared" si="210"/>
        <v>0</v>
      </c>
      <c r="I110" s="28">
        <f t="shared" si="210"/>
        <v>0</v>
      </c>
      <c r="J110" s="28">
        <f>85.8</f>
        <v>85.8</v>
      </c>
      <c r="K110" s="28">
        <f t="shared" ref="K110:O110" si="211">0</f>
        <v>0</v>
      </c>
      <c r="L110" s="28">
        <f t="shared" si="211"/>
        <v>0</v>
      </c>
      <c r="M110" s="28">
        <f t="shared" si="211"/>
        <v>0</v>
      </c>
      <c r="N110" s="28">
        <f t="shared" si="211"/>
        <v>0</v>
      </c>
      <c r="O110" s="28">
        <f t="shared" si="211"/>
        <v>0</v>
      </c>
      <c r="P110" s="28">
        <f>88.4</f>
        <v>88.4</v>
      </c>
      <c r="Q110" s="28">
        <f>0</f>
        <v>0</v>
      </c>
    </row>
    <row r="111">
      <c r="B111" s="20">
        <v>46234.0</v>
      </c>
      <c r="C111" s="21">
        <v>120.0</v>
      </c>
      <c r="D111" s="28">
        <f t="shared" ref="D111:G111" si="212">0</f>
        <v>0</v>
      </c>
      <c r="E111" s="28">
        <f t="shared" si="212"/>
        <v>0</v>
      </c>
      <c r="F111" s="28">
        <f t="shared" si="212"/>
        <v>0</v>
      </c>
      <c r="G111" s="28">
        <f t="shared" si="212"/>
        <v>0</v>
      </c>
      <c r="H111" s="28">
        <f>12</f>
        <v>12</v>
      </c>
      <c r="I111" s="28">
        <f>0</f>
        <v>0</v>
      </c>
      <c r="J111" s="28">
        <f>24</f>
        <v>24</v>
      </c>
      <c r="K111" s="28">
        <f t="shared" ref="K111:N111" si="213">0</f>
        <v>0</v>
      </c>
      <c r="L111" s="28">
        <f t="shared" si="213"/>
        <v>0</v>
      </c>
      <c r="M111" s="28">
        <f t="shared" si="213"/>
        <v>0</v>
      </c>
      <c r="N111" s="28">
        <f t="shared" si="213"/>
        <v>0</v>
      </c>
      <c r="O111" s="28">
        <f>48</f>
        <v>48</v>
      </c>
      <c r="P111" s="28">
        <f>0</f>
        <v>0</v>
      </c>
      <c r="Q111" s="28">
        <f>36</f>
        <v>36</v>
      </c>
    </row>
    <row r="112">
      <c r="B112" s="20">
        <v>46234.0</v>
      </c>
      <c r="C112" s="21">
        <v>40.0</v>
      </c>
      <c r="D112" s="28">
        <f>16</f>
        <v>16</v>
      </c>
      <c r="E112" s="28">
        <f t="shared" ref="E112:I112" si="214">0</f>
        <v>0</v>
      </c>
      <c r="F112" s="28">
        <f t="shared" si="214"/>
        <v>0</v>
      </c>
      <c r="G112" s="28">
        <f t="shared" si="214"/>
        <v>0</v>
      </c>
      <c r="H112" s="28">
        <f t="shared" si="214"/>
        <v>0</v>
      </c>
      <c r="I112" s="28">
        <f t="shared" si="214"/>
        <v>0</v>
      </c>
      <c r="J112" s="28">
        <f>20</f>
        <v>20</v>
      </c>
      <c r="K112" s="28">
        <f t="shared" ref="K112:P112" si="215">0</f>
        <v>0</v>
      </c>
      <c r="L112" s="28">
        <f t="shared" si="215"/>
        <v>0</v>
      </c>
      <c r="M112" s="28">
        <f t="shared" si="215"/>
        <v>0</v>
      </c>
      <c r="N112" s="28">
        <f t="shared" si="215"/>
        <v>0</v>
      </c>
      <c r="O112" s="28">
        <f t="shared" si="215"/>
        <v>0</v>
      </c>
      <c r="P112" s="28">
        <f t="shared" si="215"/>
        <v>0</v>
      </c>
      <c r="Q112" s="28">
        <f>4</f>
        <v>4</v>
      </c>
    </row>
    <row r="113">
      <c r="B113" s="20">
        <v>46234.0</v>
      </c>
      <c r="C113" s="21">
        <v>140.0</v>
      </c>
      <c r="D113" s="21">
        <v>0.0</v>
      </c>
      <c r="E113" s="21">
        <v>0.0</v>
      </c>
      <c r="F113" s="21">
        <v>0.0</v>
      </c>
      <c r="G113" s="21">
        <v>0.0</v>
      </c>
      <c r="H113" s="21">
        <v>0.0</v>
      </c>
      <c r="I113" s="21">
        <v>0.0</v>
      </c>
      <c r="J113" s="21">
        <v>0.0</v>
      </c>
      <c r="K113" s="21">
        <v>0.0</v>
      </c>
      <c r="L113" s="21">
        <v>0.0</v>
      </c>
      <c r="M113" s="21">
        <v>0.0</v>
      </c>
      <c r="N113" s="21">
        <v>0.0</v>
      </c>
      <c r="O113" s="21">
        <v>0.0</v>
      </c>
      <c r="P113" s="21">
        <v>0.0</v>
      </c>
      <c r="Q113" s="21">
        <v>140.0</v>
      </c>
    </row>
    <row r="114">
      <c r="B114" s="20">
        <v>46234.0</v>
      </c>
      <c r="C114" s="21">
        <v>160.0</v>
      </c>
      <c r="D114" s="28">
        <f>32</f>
        <v>32</v>
      </c>
      <c r="E114" s="28">
        <f t="shared" ref="E114:H114" si="216">0</f>
        <v>0</v>
      </c>
      <c r="F114" s="28">
        <f t="shared" si="216"/>
        <v>0</v>
      </c>
      <c r="G114" s="28">
        <f t="shared" si="216"/>
        <v>0</v>
      </c>
      <c r="H114" s="28">
        <f t="shared" si="216"/>
        <v>0</v>
      </c>
      <c r="I114" s="28">
        <f>8</f>
        <v>8</v>
      </c>
      <c r="J114" s="28">
        <f>48</f>
        <v>48</v>
      </c>
      <c r="K114" s="28">
        <f t="shared" ref="K114:L114" si="217">0</f>
        <v>0</v>
      </c>
      <c r="L114" s="28">
        <f t="shared" si="217"/>
        <v>0</v>
      </c>
      <c r="M114" s="28">
        <f>24</f>
        <v>24</v>
      </c>
      <c r="N114" s="28">
        <f>0</f>
        <v>0</v>
      </c>
      <c r="O114" s="28">
        <f>16</f>
        <v>16</v>
      </c>
      <c r="P114" s="28">
        <f t="shared" ref="P114:P115" si="220">0</f>
        <v>0</v>
      </c>
      <c r="Q114" s="28">
        <f>32</f>
        <v>32</v>
      </c>
    </row>
    <row r="115">
      <c r="B115" s="20">
        <v>46235.0</v>
      </c>
      <c r="C115" s="21">
        <v>80.0</v>
      </c>
      <c r="D115" s="28">
        <f>16</f>
        <v>16</v>
      </c>
      <c r="E115" s="28">
        <f>0</f>
        <v>0</v>
      </c>
      <c r="F115" s="28">
        <f>8</f>
        <v>8</v>
      </c>
      <c r="G115" s="28">
        <f t="shared" ref="G115:I115" si="218">0</f>
        <v>0</v>
      </c>
      <c r="H115" s="28">
        <f t="shared" si="218"/>
        <v>0</v>
      </c>
      <c r="I115" s="28">
        <f t="shared" si="218"/>
        <v>0</v>
      </c>
      <c r="J115" s="28">
        <f>40</f>
        <v>40</v>
      </c>
      <c r="K115" s="28">
        <f t="shared" ref="K115:N115" si="219">0</f>
        <v>0</v>
      </c>
      <c r="L115" s="28">
        <f t="shared" si="219"/>
        <v>0</v>
      </c>
      <c r="M115" s="28">
        <f t="shared" si="219"/>
        <v>0</v>
      </c>
      <c r="N115" s="28">
        <f t="shared" si="219"/>
        <v>0</v>
      </c>
      <c r="O115" s="28">
        <f>8</f>
        <v>8</v>
      </c>
      <c r="P115" s="28">
        <f t="shared" si="220"/>
        <v>0</v>
      </c>
      <c r="Q115" s="28">
        <f>8</f>
        <v>8</v>
      </c>
    </row>
    <row r="116">
      <c r="B116" s="20">
        <v>46235.0</v>
      </c>
      <c r="C116" s="21">
        <v>120.0</v>
      </c>
      <c r="D116" s="28">
        <f t="shared" ref="D116:G116" si="221">0</f>
        <v>0</v>
      </c>
      <c r="E116" s="28">
        <f t="shared" si="221"/>
        <v>0</v>
      </c>
      <c r="F116" s="28">
        <f t="shared" si="221"/>
        <v>0</v>
      </c>
      <c r="G116" s="28">
        <f t="shared" si="221"/>
        <v>0</v>
      </c>
      <c r="H116" s="28">
        <f>120</f>
        <v>120</v>
      </c>
      <c r="I116" s="28">
        <f t="shared" ref="I116:Q116" si="222">0</f>
        <v>0</v>
      </c>
      <c r="J116" s="28">
        <f t="shared" si="222"/>
        <v>0</v>
      </c>
      <c r="K116" s="28">
        <f t="shared" si="222"/>
        <v>0</v>
      </c>
      <c r="L116" s="28">
        <f t="shared" si="222"/>
        <v>0</v>
      </c>
      <c r="M116" s="28">
        <f t="shared" si="222"/>
        <v>0</v>
      </c>
      <c r="N116" s="28">
        <f t="shared" si="222"/>
        <v>0</v>
      </c>
      <c r="O116" s="28">
        <f t="shared" si="222"/>
        <v>0</v>
      </c>
      <c r="P116" s="28">
        <f t="shared" si="222"/>
        <v>0</v>
      </c>
      <c r="Q116" s="28">
        <f t="shared" si="222"/>
        <v>0</v>
      </c>
    </row>
    <row r="117">
      <c r="B117" s="20">
        <v>46235.0</v>
      </c>
      <c r="C117" s="21">
        <v>80.0</v>
      </c>
      <c r="D117" s="28">
        <f>16</f>
        <v>16</v>
      </c>
      <c r="E117" s="28">
        <f t="shared" ref="E117:I117" si="223">0</f>
        <v>0</v>
      </c>
      <c r="F117" s="28">
        <f t="shared" si="223"/>
        <v>0</v>
      </c>
      <c r="G117" s="28">
        <f t="shared" si="223"/>
        <v>0</v>
      </c>
      <c r="H117" s="28">
        <f t="shared" si="223"/>
        <v>0</v>
      </c>
      <c r="I117" s="28">
        <f t="shared" si="223"/>
        <v>0</v>
      </c>
      <c r="J117" s="28">
        <f>16</f>
        <v>16</v>
      </c>
      <c r="K117" s="28">
        <f t="shared" ref="K117:P117" si="224">0</f>
        <v>0</v>
      </c>
      <c r="L117" s="28">
        <f t="shared" si="224"/>
        <v>0</v>
      </c>
      <c r="M117" s="28">
        <f t="shared" si="224"/>
        <v>0</v>
      </c>
      <c r="N117" s="28">
        <f t="shared" si="224"/>
        <v>0</v>
      </c>
      <c r="O117" s="28">
        <f t="shared" si="224"/>
        <v>0</v>
      </c>
      <c r="P117" s="28">
        <f t="shared" si="224"/>
        <v>0</v>
      </c>
      <c r="Q117" s="28">
        <f>48</f>
        <v>48</v>
      </c>
    </row>
    <row r="118">
      <c r="B118" s="20">
        <v>46236.0</v>
      </c>
      <c r="C118" s="21">
        <v>220.0</v>
      </c>
      <c r="D118" s="28">
        <f>110</f>
        <v>110</v>
      </c>
      <c r="E118" s="28">
        <f>22</f>
        <v>22</v>
      </c>
      <c r="F118" s="28">
        <f t="shared" ref="F118:G118" si="225">0</f>
        <v>0</v>
      </c>
      <c r="G118" s="28">
        <f t="shared" si="225"/>
        <v>0</v>
      </c>
      <c r="H118" s="28">
        <f>44</f>
        <v>44</v>
      </c>
      <c r="I118" s="28">
        <f t="shared" ref="I118:N118" si="226">0</f>
        <v>0</v>
      </c>
      <c r="J118" s="28">
        <f t="shared" si="226"/>
        <v>0</v>
      </c>
      <c r="K118" s="28">
        <f t="shared" si="226"/>
        <v>0</v>
      </c>
      <c r="L118" s="28">
        <f t="shared" si="226"/>
        <v>0</v>
      </c>
      <c r="M118" s="28">
        <f t="shared" si="226"/>
        <v>0</v>
      </c>
      <c r="N118" s="28">
        <f t="shared" si="226"/>
        <v>0</v>
      </c>
      <c r="O118" s="28">
        <f>44</f>
        <v>44</v>
      </c>
      <c r="P118" s="28">
        <f t="shared" ref="P118:Q118" si="227">0</f>
        <v>0</v>
      </c>
      <c r="Q118" s="28">
        <f t="shared" si="227"/>
        <v>0</v>
      </c>
    </row>
    <row r="119">
      <c r="B119" s="20">
        <v>46236.0</v>
      </c>
      <c r="C119" s="21">
        <v>120.0</v>
      </c>
      <c r="D119" s="28">
        <f t="shared" ref="D119:F119" si="228">0</f>
        <v>0</v>
      </c>
      <c r="E119" s="28">
        <f t="shared" si="228"/>
        <v>0</v>
      </c>
      <c r="F119" s="28">
        <f t="shared" si="228"/>
        <v>0</v>
      </c>
      <c r="G119" s="28">
        <f>60</f>
        <v>60</v>
      </c>
      <c r="H119" s="28">
        <f t="shared" ref="H119:P119" si="229">0</f>
        <v>0</v>
      </c>
      <c r="I119" s="28">
        <f t="shared" si="229"/>
        <v>0</v>
      </c>
      <c r="J119" s="28">
        <f t="shared" si="229"/>
        <v>0</v>
      </c>
      <c r="K119" s="28">
        <f t="shared" si="229"/>
        <v>0</v>
      </c>
      <c r="L119" s="28">
        <f t="shared" si="229"/>
        <v>0</v>
      </c>
      <c r="M119" s="28">
        <f t="shared" si="229"/>
        <v>0</v>
      </c>
      <c r="N119" s="28">
        <f t="shared" si="229"/>
        <v>0</v>
      </c>
      <c r="O119" s="28">
        <f t="shared" si="229"/>
        <v>0</v>
      </c>
      <c r="P119" s="28">
        <f t="shared" si="229"/>
        <v>0</v>
      </c>
      <c r="Q119" s="28">
        <f>60</f>
        <v>60</v>
      </c>
    </row>
    <row r="120">
      <c r="B120" s="20">
        <v>46236.0</v>
      </c>
      <c r="C120" s="21">
        <v>400.0</v>
      </c>
      <c r="D120" s="28">
        <f>240</f>
        <v>240</v>
      </c>
      <c r="E120" s="28">
        <f t="shared" ref="E120:H120" si="230">0</f>
        <v>0</v>
      </c>
      <c r="F120" s="28">
        <f t="shared" si="230"/>
        <v>0</v>
      </c>
      <c r="G120" s="28">
        <f t="shared" si="230"/>
        <v>0</v>
      </c>
      <c r="H120" s="28">
        <f t="shared" si="230"/>
        <v>0</v>
      </c>
      <c r="I120" s="28">
        <f>80</f>
        <v>80</v>
      </c>
      <c r="J120" s="28">
        <f>40</f>
        <v>40</v>
      </c>
      <c r="K120" s="28">
        <f t="shared" ref="K120:P120" si="231">0</f>
        <v>0</v>
      </c>
      <c r="L120" s="28">
        <f t="shared" si="231"/>
        <v>0</v>
      </c>
      <c r="M120" s="28">
        <f t="shared" si="231"/>
        <v>0</v>
      </c>
      <c r="N120" s="28">
        <f t="shared" si="231"/>
        <v>0</v>
      </c>
      <c r="O120" s="28">
        <f t="shared" si="231"/>
        <v>0</v>
      </c>
      <c r="P120" s="28">
        <f t="shared" si="231"/>
        <v>0</v>
      </c>
      <c r="Q120" s="28">
        <f>40</f>
        <v>40</v>
      </c>
    </row>
    <row r="121">
      <c r="B121" s="20">
        <v>46237.0</v>
      </c>
      <c r="C121" s="21">
        <v>340.0</v>
      </c>
      <c r="D121" s="28">
        <f>170</f>
        <v>170</v>
      </c>
      <c r="E121" s="28">
        <f>102</f>
        <v>102</v>
      </c>
      <c r="F121" s="28">
        <f>34</f>
        <v>34</v>
      </c>
      <c r="G121" s="28">
        <f t="shared" ref="G121:G122" si="234">0</f>
        <v>0</v>
      </c>
      <c r="H121" s="28">
        <f>34</f>
        <v>34</v>
      </c>
      <c r="I121" s="28">
        <f t="shared" ref="I121:Q121" si="232">0</f>
        <v>0</v>
      </c>
      <c r="J121" s="28">
        <f t="shared" si="232"/>
        <v>0</v>
      </c>
      <c r="K121" s="28">
        <f t="shared" si="232"/>
        <v>0</v>
      </c>
      <c r="L121" s="28">
        <f t="shared" si="232"/>
        <v>0</v>
      </c>
      <c r="M121" s="28">
        <f t="shared" si="232"/>
        <v>0</v>
      </c>
      <c r="N121" s="28">
        <f t="shared" si="232"/>
        <v>0</v>
      </c>
      <c r="O121" s="28">
        <f t="shared" si="232"/>
        <v>0</v>
      </c>
      <c r="P121" s="28">
        <f t="shared" si="232"/>
        <v>0</v>
      </c>
      <c r="Q121" s="28">
        <f t="shared" si="232"/>
        <v>0</v>
      </c>
    </row>
    <row r="122">
      <c r="B122" s="20">
        <v>46237.0</v>
      </c>
      <c r="C122" s="21">
        <v>280.0</v>
      </c>
      <c r="D122" s="28">
        <f t="shared" ref="D122:E122" si="233">0</f>
        <v>0</v>
      </c>
      <c r="E122" s="28">
        <f t="shared" si="233"/>
        <v>0</v>
      </c>
      <c r="F122" s="28">
        <f>112</f>
        <v>112</v>
      </c>
      <c r="G122" s="28">
        <f t="shared" si="234"/>
        <v>0</v>
      </c>
      <c r="H122" s="28">
        <f t="shared" ref="H122:I122" si="235">0</f>
        <v>0</v>
      </c>
      <c r="I122" s="28">
        <f t="shared" si="235"/>
        <v>0</v>
      </c>
      <c r="J122" s="28">
        <f>112</f>
        <v>112</v>
      </c>
      <c r="K122" s="28">
        <f t="shared" ref="K122:P122" si="236">0</f>
        <v>0</v>
      </c>
      <c r="L122" s="28">
        <f t="shared" si="236"/>
        <v>0</v>
      </c>
      <c r="M122" s="28">
        <f t="shared" si="236"/>
        <v>0</v>
      </c>
      <c r="N122" s="28">
        <f t="shared" si="236"/>
        <v>0</v>
      </c>
      <c r="O122" s="28">
        <f t="shared" si="236"/>
        <v>0</v>
      </c>
      <c r="P122" s="28">
        <f t="shared" si="236"/>
        <v>0</v>
      </c>
      <c r="Q122" s="28">
        <f>56</f>
        <v>56</v>
      </c>
    </row>
    <row r="123">
      <c r="B123" s="20">
        <v>46239.0</v>
      </c>
      <c r="C123" s="21">
        <v>80.0</v>
      </c>
      <c r="D123" s="21">
        <v>0.0</v>
      </c>
      <c r="E123" s="21">
        <v>0.0</v>
      </c>
      <c r="F123" s="21">
        <v>0.0</v>
      </c>
      <c r="G123" s="21">
        <v>0.0</v>
      </c>
      <c r="H123" s="21">
        <v>0.0</v>
      </c>
      <c r="I123" s="21">
        <v>0.0</v>
      </c>
      <c r="J123" s="21">
        <v>0.0</v>
      </c>
      <c r="K123" s="21">
        <v>0.0</v>
      </c>
      <c r="L123" s="21">
        <v>0.0</v>
      </c>
      <c r="M123" s="21">
        <v>0.0</v>
      </c>
      <c r="N123" s="21">
        <v>0.0</v>
      </c>
      <c r="O123" s="21">
        <v>0.0</v>
      </c>
      <c r="P123" s="21">
        <v>0.0</v>
      </c>
      <c r="Q123" s="21">
        <v>80.0</v>
      </c>
    </row>
    <row r="124">
      <c r="B124" s="20">
        <v>46239.0</v>
      </c>
      <c r="C124" s="21">
        <v>120.0</v>
      </c>
      <c r="D124" s="28">
        <f t="shared" ref="D124:N124" si="237">0</f>
        <v>0</v>
      </c>
      <c r="E124" s="28">
        <f t="shared" si="237"/>
        <v>0</v>
      </c>
      <c r="F124" s="28">
        <f t="shared" si="237"/>
        <v>0</v>
      </c>
      <c r="G124" s="28">
        <f t="shared" si="237"/>
        <v>0</v>
      </c>
      <c r="H124" s="28">
        <f t="shared" si="237"/>
        <v>0</v>
      </c>
      <c r="I124" s="28">
        <f t="shared" si="237"/>
        <v>0</v>
      </c>
      <c r="J124" s="28">
        <f t="shared" si="237"/>
        <v>0</v>
      </c>
      <c r="K124" s="28">
        <f t="shared" si="237"/>
        <v>0</v>
      </c>
      <c r="L124" s="28">
        <f t="shared" si="237"/>
        <v>0</v>
      </c>
      <c r="M124" s="28">
        <f t="shared" si="237"/>
        <v>0</v>
      </c>
      <c r="N124" s="28">
        <f t="shared" si="237"/>
        <v>0</v>
      </c>
      <c r="O124" s="28">
        <f>108</f>
        <v>108</v>
      </c>
      <c r="P124" s="28">
        <f>0</f>
        <v>0</v>
      </c>
      <c r="Q124" s="28">
        <f>12</f>
        <v>12</v>
      </c>
    </row>
    <row r="125">
      <c r="B125" s="20">
        <v>46239.0</v>
      </c>
      <c r="C125" s="21">
        <v>60.0</v>
      </c>
      <c r="D125" s="28">
        <f>0</f>
        <v>0</v>
      </c>
      <c r="E125" s="28">
        <f>12</f>
        <v>12</v>
      </c>
      <c r="F125" s="28">
        <f t="shared" ref="F125:P125" si="238">0</f>
        <v>0</v>
      </c>
      <c r="G125" s="28">
        <f t="shared" si="238"/>
        <v>0</v>
      </c>
      <c r="H125" s="28">
        <f t="shared" si="238"/>
        <v>0</v>
      </c>
      <c r="I125" s="28">
        <f t="shared" si="238"/>
        <v>0</v>
      </c>
      <c r="J125" s="28">
        <f t="shared" si="238"/>
        <v>0</v>
      </c>
      <c r="K125" s="28">
        <f t="shared" si="238"/>
        <v>0</v>
      </c>
      <c r="L125" s="28">
        <f t="shared" si="238"/>
        <v>0</v>
      </c>
      <c r="M125" s="28">
        <f t="shared" si="238"/>
        <v>0</v>
      </c>
      <c r="N125" s="28">
        <f t="shared" si="238"/>
        <v>0</v>
      </c>
      <c r="O125" s="28">
        <f t="shared" si="238"/>
        <v>0</v>
      </c>
      <c r="P125" s="28">
        <f t="shared" si="238"/>
        <v>0</v>
      </c>
      <c r="Q125" s="28">
        <f>48</f>
        <v>48</v>
      </c>
    </row>
    <row r="126">
      <c r="B126" s="20">
        <v>46239.0</v>
      </c>
      <c r="C126" s="21">
        <v>160.0</v>
      </c>
      <c r="D126" s="28">
        <f>80</f>
        <v>80</v>
      </c>
      <c r="E126" s="28">
        <f t="shared" ref="E126:I126" si="239">0</f>
        <v>0</v>
      </c>
      <c r="F126" s="28">
        <f t="shared" si="239"/>
        <v>0</v>
      </c>
      <c r="G126" s="28">
        <f t="shared" si="239"/>
        <v>0</v>
      </c>
      <c r="H126" s="28">
        <f t="shared" si="239"/>
        <v>0</v>
      </c>
      <c r="I126" s="28">
        <f t="shared" si="239"/>
        <v>0</v>
      </c>
      <c r="J126" s="28">
        <f>80</f>
        <v>80</v>
      </c>
      <c r="K126" s="28">
        <f t="shared" ref="K126:Q126" si="240">0</f>
        <v>0</v>
      </c>
      <c r="L126" s="28">
        <f t="shared" si="240"/>
        <v>0</v>
      </c>
      <c r="M126" s="28">
        <f t="shared" si="240"/>
        <v>0</v>
      </c>
      <c r="N126" s="28">
        <f t="shared" si="240"/>
        <v>0</v>
      </c>
      <c r="O126" s="28">
        <f t="shared" si="240"/>
        <v>0</v>
      </c>
      <c r="P126" s="28">
        <f t="shared" si="240"/>
        <v>0</v>
      </c>
      <c r="Q126" s="28">
        <f t="shared" si="240"/>
        <v>0</v>
      </c>
    </row>
    <row r="127">
      <c r="B127" s="20">
        <v>46240.0</v>
      </c>
      <c r="C127" s="21">
        <v>80.0</v>
      </c>
      <c r="D127" s="28">
        <f t="shared" ref="D127:F127" si="241">0</f>
        <v>0</v>
      </c>
      <c r="E127" s="28">
        <f t="shared" si="241"/>
        <v>0</v>
      </c>
      <c r="F127" s="28">
        <f t="shared" si="241"/>
        <v>0</v>
      </c>
      <c r="G127" s="28">
        <f t="shared" ref="G127:H127" si="242">24</f>
        <v>24</v>
      </c>
      <c r="H127" s="28">
        <f t="shared" si="242"/>
        <v>24</v>
      </c>
      <c r="I127" s="28">
        <f t="shared" ref="I127:P127" si="243">0</f>
        <v>0</v>
      </c>
      <c r="J127" s="28">
        <f t="shared" si="243"/>
        <v>0</v>
      </c>
      <c r="K127" s="28">
        <f t="shared" si="243"/>
        <v>0</v>
      </c>
      <c r="L127" s="28">
        <f t="shared" si="243"/>
        <v>0</v>
      </c>
      <c r="M127" s="28">
        <f t="shared" si="243"/>
        <v>0</v>
      </c>
      <c r="N127" s="28">
        <f t="shared" si="243"/>
        <v>0</v>
      </c>
      <c r="O127" s="28">
        <f t="shared" si="243"/>
        <v>0</v>
      </c>
      <c r="P127" s="28">
        <f t="shared" si="243"/>
        <v>0</v>
      </c>
      <c r="Q127" s="28">
        <f>32</f>
        <v>32</v>
      </c>
    </row>
    <row r="128">
      <c r="B128" s="20">
        <v>46240.0</v>
      </c>
      <c r="C128" s="21">
        <v>80.0</v>
      </c>
      <c r="D128" s="28">
        <f t="shared" ref="D128:G128" si="244">0</f>
        <v>0</v>
      </c>
      <c r="E128" s="28">
        <f t="shared" si="244"/>
        <v>0</v>
      </c>
      <c r="F128" s="28">
        <f t="shared" si="244"/>
        <v>0</v>
      </c>
      <c r="G128" s="28">
        <f t="shared" si="244"/>
        <v>0</v>
      </c>
      <c r="H128" s="28">
        <f>8</f>
        <v>8</v>
      </c>
      <c r="I128" s="28">
        <f t="shared" ref="I128:I130" si="247">0</f>
        <v>0</v>
      </c>
      <c r="J128" s="28">
        <f>24</f>
        <v>24</v>
      </c>
      <c r="K128" s="28">
        <f t="shared" ref="K128:P128" si="245">0</f>
        <v>0</v>
      </c>
      <c r="L128" s="28">
        <f t="shared" si="245"/>
        <v>0</v>
      </c>
      <c r="M128" s="28">
        <f t="shared" si="245"/>
        <v>0</v>
      </c>
      <c r="N128" s="28">
        <f t="shared" si="245"/>
        <v>0</v>
      </c>
      <c r="O128" s="28">
        <f t="shared" si="245"/>
        <v>0</v>
      </c>
      <c r="P128" s="28">
        <f t="shared" si="245"/>
        <v>0</v>
      </c>
      <c r="Q128" s="28">
        <f>48</f>
        <v>48</v>
      </c>
    </row>
    <row r="129">
      <c r="B129" s="20">
        <v>46240.0</v>
      </c>
      <c r="C129" s="21">
        <v>150.0</v>
      </c>
      <c r="D129" s="28">
        <f t="shared" ref="D129:F129" si="246">0</f>
        <v>0</v>
      </c>
      <c r="E129" s="28">
        <f t="shared" si="246"/>
        <v>0</v>
      </c>
      <c r="F129" s="28">
        <f t="shared" si="246"/>
        <v>0</v>
      </c>
      <c r="G129" s="28">
        <f>45</f>
        <v>45</v>
      </c>
      <c r="H129" s="28">
        <f>15</f>
        <v>15</v>
      </c>
      <c r="I129" s="28">
        <f t="shared" si="247"/>
        <v>0</v>
      </c>
      <c r="J129" s="28">
        <f t="shared" ref="J129:N129" si="248">0</f>
        <v>0</v>
      </c>
      <c r="K129" s="28">
        <f t="shared" si="248"/>
        <v>0</v>
      </c>
      <c r="L129" s="28">
        <f t="shared" si="248"/>
        <v>0</v>
      </c>
      <c r="M129" s="28">
        <f t="shared" si="248"/>
        <v>0</v>
      </c>
      <c r="N129" s="28">
        <f t="shared" si="248"/>
        <v>0</v>
      </c>
      <c r="O129" s="28">
        <f>60</f>
        <v>60</v>
      </c>
      <c r="P129" s="28">
        <f t="shared" ref="P129:P130" si="251">0</f>
        <v>0</v>
      </c>
      <c r="Q129" s="28">
        <f>30</f>
        <v>30</v>
      </c>
    </row>
    <row r="130">
      <c r="B130" s="20">
        <v>46240.0</v>
      </c>
      <c r="C130" s="21">
        <v>240.0</v>
      </c>
      <c r="D130" s="28">
        <f t="shared" ref="D130:G130" si="249">0</f>
        <v>0</v>
      </c>
      <c r="E130" s="28">
        <f t="shared" si="249"/>
        <v>0</v>
      </c>
      <c r="F130" s="28">
        <f t="shared" si="249"/>
        <v>0</v>
      </c>
      <c r="G130" s="28">
        <f t="shared" si="249"/>
        <v>0</v>
      </c>
      <c r="H130" s="28">
        <f>120</f>
        <v>120</v>
      </c>
      <c r="I130" s="28">
        <f t="shared" si="247"/>
        <v>0</v>
      </c>
      <c r="J130" s="28">
        <f>96</f>
        <v>96</v>
      </c>
      <c r="K130" s="28">
        <f t="shared" ref="K130:N130" si="250">0</f>
        <v>0</v>
      </c>
      <c r="L130" s="28">
        <f t="shared" si="250"/>
        <v>0</v>
      </c>
      <c r="M130" s="28">
        <f t="shared" si="250"/>
        <v>0</v>
      </c>
      <c r="N130" s="28">
        <f t="shared" si="250"/>
        <v>0</v>
      </c>
      <c r="O130" s="28">
        <f>24</f>
        <v>24</v>
      </c>
      <c r="P130" s="28">
        <f t="shared" si="251"/>
        <v>0</v>
      </c>
      <c r="Q130" s="28">
        <f>0</f>
        <v>0</v>
      </c>
    </row>
    <row r="131">
      <c r="B131" s="20">
        <v>46241.0</v>
      </c>
      <c r="C131" s="21">
        <v>280.0</v>
      </c>
      <c r="D131" s="28">
        <f>280</f>
        <v>280</v>
      </c>
      <c r="E131" s="28">
        <f t="shared" ref="E131:Q131" si="252">0</f>
        <v>0</v>
      </c>
      <c r="F131" s="28">
        <f t="shared" si="252"/>
        <v>0</v>
      </c>
      <c r="G131" s="28">
        <f t="shared" si="252"/>
        <v>0</v>
      </c>
      <c r="H131" s="28">
        <f t="shared" si="252"/>
        <v>0</v>
      </c>
      <c r="I131" s="28">
        <f t="shared" si="252"/>
        <v>0</v>
      </c>
      <c r="J131" s="28">
        <f t="shared" si="252"/>
        <v>0</v>
      </c>
      <c r="K131" s="28">
        <f t="shared" si="252"/>
        <v>0</v>
      </c>
      <c r="L131" s="28">
        <f t="shared" si="252"/>
        <v>0</v>
      </c>
      <c r="M131" s="28">
        <f t="shared" si="252"/>
        <v>0</v>
      </c>
      <c r="N131" s="28">
        <f t="shared" si="252"/>
        <v>0</v>
      </c>
      <c r="O131" s="28">
        <f t="shared" si="252"/>
        <v>0</v>
      </c>
      <c r="P131" s="28">
        <f t="shared" si="252"/>
        <v>0</v>
      </c>
      <c r="Q131" s="28">
        <f t="shared" si="252"/>
        <v>0</v>
      </c>
    </row>
    <row r="132">
      <c r="B132" s="20">
        <v>46241.0</v>
      </c>
      <c r="C132" s="21">
        <v>140.0</v>
      </c>
      <c r="D132" s="28">
        <f>28</f>
        <v>28</v>
      </c>
      <c r="E132" s="28">
        <f t="shared" ref="E132:G132" si="253">0</f>
        <v>0</v>
      </c>
      <c r="F132" s="28">
        <f t="shared" si="253"/>
        <v>0</v>
      </c>
      <c r="G132" s="28">
        <f t="shared" si="253"/>
        <v>0</v>
      </c>
      <c r="H132" s="28">
        <f>14</f>
        <v>14</v>
      </c>
      <c r="I132" s="28">
        <f>56</f>
        <v>56</v>
      </c>
      <c r="J132" s="28">
        <f>28</f>
        <v>28</v>
      </c>
      <c r="K132" s="28">
        <f t="shared" ref="K132:O132" si="254">0</f>
        <v>0</v>
      </c>
      <c r="L132" s="28">
        <f t="shared" si="254"/>
        <v>0</v>
      </c>
      <c r="M132" s="28">
        <f t="shared" si="254"/>
        <v>0</v>
      </c>
      <c r="N132" s="28">
        <f t="shared" si="254"/>
        <v>0</v>
      </c>
      <c r="O132" s="28">
        <f t="shared" si="254"/>
        <v>0</v>
      </c>
      <c r="P132" s="28">
        <f>14</f>
        <v>14</v>
      </c>
      <c r="Q132" s="28">
        <f>0</f>
        <v>0</v>
      </c>
    </row>
    <row r="133">
      <c r="B133" s="20">
        <v>46241.0</v>
      </c>
      <c r="C133" s="21">
        <v>200.0</v>
      </c>
      <c r="D133" s="28">
        <f>20</f>
        <v>20</v>
      </c>
      <c r="E133" s="28">
        <f t="shared" ref="E133:I133" si="255">0</f>
        <v>0</v>
      </c>
      <c r="F133" s="28">
        <f t="shared" si="255"/>
        <v>0</v>
      </c>
      <c r="G133" s="28">
        <f t="shared" si="255"/>
        <v>0</v>
      </c>
      <c r="H133" s="28">
        <f t="shared" si="255"/>
        <v>0</v>
      </c>
      <c r="I133" s="28">
        <f t="shared" si="255"/>
        <v>0</v>
      </c>
      <c r="J133" s="28">
        <f>160</f>
        <v>160</v>
      </c>
      <c r="K133" s="28">
        <f t="shared" ref="K133:N133" si="256">0</f>
        <v>0</v>
      </c>
      <c r="L133" s="28">
        <f t="shared" si="256"/>
        <v>0</v>
      </c>
      <c r="M133" s="28">
        <f t="shared" si="256"/>
        <v>0</v>
      </c>
      <c r="N133" s="28">
        <f t="shared" si="256"/>
        <v>0</v>
      </c>
      <c r="O133" s="28">
        <f>20</f>
        <v>20</v>
      </c>
      <c r="P133" s="28">
        <f t="shared" ref="P133:Q133" si="257">0</f>
        <v>0</v>
      </c>
      <c r="Q133" s="28">
        <f t="shared" si="257"/>
        <v>0</v>
      </c>
    </row>
    <row r="134">
      <c r="B134" s="20">
        <v>46241.0</v>
      </c>
      <c r="C134" s="21">
        <v>340.0</v>
      </c>
      <c r="D134" s="28">
        <f t="shared" ref="D134:I134" si="258">0</f>
        <v>0</v>
      </c>
      <c r="E134" s="28">
        <f t="shared" si="258"/>
        <v>0</v>
      </c>
      <c r="F134" s="28">
        <f t="shared" si="258"/>
        <v>0</v>
      </c>
      <c r="G134" s="28">
        <f t="shared" si="258"/>
        <v>0</v>
      </c>
      <c r="H134" s="28">
        <f t="shared" si="258"/>
        <v>0</v>
      </c>
      <c r="I134" s="28">
        <f t="shared" si="258"/>
        <v>0</v>
      </c>
      <c r="J134" s="28">
        <f>340</f>
        <v>340</v>
      </c>
      <c r="K134" s="28">
        <f t="shared" ref="K134:Q134" si="259">0</f>
        <v>0</v>
      </c>
      <c r="L134" s="28">
        <f t="shared" si="259"/>
        <v>0</v>
      </c>
      <c r="M134" s="28">
        <f t="shared" si="259"/>
        <v>0</v>
      </c>
      <c r="N134" s="28">
        <f t="shared" si="259"/>
        <v>0</v>
      </c>
      <c r="O134" s="28">
        <f t="shared" si="259"/>
        <v>0</v>
      </c>
      <c r="P134" s="28">
        <f t="shared" si="259"/>
        <v>0</v>
      </c>
      <c r="Q134" s="28">
        <f t="shared" si="259"/>
        <v>0</v>
      </c>
    </row>
    <row r="135">
      <c r="B135" s="20">
        <v>46242.0</v>
      </c>
      <c r="C135" s="21">
        <v>80.0</v>
      </c>
      <c r="D135" s="28">
        <f t="shared" ref="D135:E135" si="260">0</f>
        <v>0</v>
      </c>
      <c r="E135" s="28">
        <f t="shared" si="260"/>
        <v>0</v>
      </c>
      <c r="F135" s="28">
        <f>24</f>
        <v>24</v>
      </c>
      <c r="G135" s="28">
        <f>0</f>
        <v>0</v>
      </c>
      <c r="H135" s="28">
        <f>40</f>
        <v>40</v>
      </c>
      <c r="I135" s="28">
        <f>16</f>
        <v>16</v>
      </c>
      <c r="J135" s="28">
        <f t="shared" ref="J135:P135" si="261">0</f>
        <v>0</v>
      </c>
      <c r="K135" s="28">
        <f t="shared" si="261"/>
        <v>0</v>
      </c>
      <c r="L135" s="28">
        <f t="shared" si="261"/>
        <v>0</v>
      </c>
      <c r="M135" s="28">
        <f t="shared" si="261"/>
        <v>0</v>
      </c>
      <c r="N135" s="28">
        <f t="shared" si="261"/>
        <v>0</v>
      </c>
      <c r="O135" s="28">
        <f t="shared" si="261"/>
        <v>0</v>
      </c>
      <c r="P135" s="28">
        <f t="shared" si="261"/>
        <v>0</v>
      </c>
    </row>
    <row r="136">
      <c r="B136" s="20">
        <v>46242.0</v>
      </c>
      <c r="C136" s="21">
        <v>60.0</v>
      </c>
      <c r="D136" s="28">
        <f t="shared" ref="D136:P136" si="262">0</f>
        <v>0</v>
      </c>
      <c r="E136" s="28">
        <f t="shared" si="262"/>
        <v>0</v>
      </c>
      <c r="F136" s="28">
        <f t="shared" si="262"/>
        <v>0</v>
      </c>
      <c r="G136" s="28">
        <f t="shared" si="262"/>
        <v>0</v>
      </c>
      <c r="H136" s="28">
        <f t="shared" si="262"/>
        <v>0</v>
      </c>
      <c r="I136" s="28">
        <f t="shared" si="262"/>
        <v>0</v>
      </c>
      <c r="J136" s="28">
        <f t="shared" si="262"/>
        <v>0</v>
      </c>
      <c r="K136" s="28">
        <f t="shared" si="262"/>
        <v>0</v>
      </c>
      <c r="L136" s="28">
        <f t="shared" si="262"/>
        <v>0</v>
      </c>
      <c r="M136" s="28">
        <f t="shared" si="262"/>
        <v>0</v>
      </c>
      <c r="N136" s="28">
        <f t="shared" si="262"/>
        <v>0</v>
      </c>
      <c r="O136" s="28">
        <f t="shared" si="262"/>
        <v>0</v>
      </c>
      <c r="P136" s="28">
        <f t="shared" si="262"/>
        <v>0</v>
      </c>
      <c r="Q136" s="28">
        <f>60</f>
        <v>60</v>
      </c>
    </row>
    <row r="137">
      <c r="B137" s="20">
        <v>46242.0</v>
      </c>
      <c r="C137" s="21">
        <v>140.0</v>
      </c>
      <c r="D137" s="28">
        <f t="shared" ref="D137:F137" si="263">0</f>
        <v>0</v>
      </c>
      <c r="E137" s="28">
        <f t="shared" si="263"/>
        <v>0</v>
      </c>
      <c r="F137" s="28">
        <f t="shared" si="263"/>
        <v>0</v>
      </c>
      <c r="G137" s="28">
        <f>70</f>
        <v>70</v>
      </c>
      <c r="H137" s="28">
        <f t="shared" ref="H137:P137" si="264">0</f>
        <v>0</v>
      </c>
      <c r="I137" s="28">
        <f t="shared" si="264"/>
        <v>0</v>
      </c>
      <c r="J137" s="28">
        <f t="shared" si="264"/>
        <v>0</v>
      </c>
      <c r="K137" s="28">
        <f t="shared" si="264"/>
        <v>0</v>
      </c>
      <c r="L137" s="28">
        <f t="shared" si="264"/>
        <v>0</v>
      </c>
      <c r="M137" s="28">
        <f t="shared" si="264"/>
        <v>0</v>
      </c>
      <c r="N137" s="28">
        <f t="shared" si="264"/>
        <v>0</v>
      </c>
      <c r="O137" s="28">
        <f t="shared" si="264"/>
        <v>0</v>
      </c>
      <c r="P137" s="28">
        <f t="shared" si="264"/>
        <v>0</v>
      </c>
      <c r="Q137" s="28">
        <f>70</f>
        <v>70</v>
      </c>
    </row>
    <row r="138">
      <c r="B138" s="20">
        <v>46242.0</v>
      </c>
      <c r="C138" s="21">
        <v>120.0</v>
      </c>
      <c r="D138" s="28">
        <f t="shared" ref="D138:I138" si="265">0</f>
        <v>0</v>
      </c>
      <c r="E138" s="28">
        <f t="shared" si="265"/>
        <v>0</v>
      </c>
      <c r="F138" s="28">
        <f t="shared" si="265"/>
        <v>0</v>
      </c>
      <c r="G138" s="28">
        <f t="shared" si="265"/>
        <v>0</v>
      </c>
      <c r="H138" s="28">
        <f t="shared" si="265"/>
        <v>0</v>
      </c>
      <c r="I138" s="28">
        <f t="shared" si="265"/>
        <v>0</v>
      </c>
      <c r="J138" s="28">
        <f>96</f>
        <v>96</v>
      </c>
      <c r="K138" s="28">
        <f t="shared" ref="K138:P138" si="266">0</f>
        <v>0</v>
      </c>
      <c r="L138" s="28">
        <f t="shared" si="266"/>
        <v>0</v>
      </c>
      <c r="M138" s="28">
        <f t="shared" si="266"/>
        <v>0</v>
      </c>
      <c r="N138" s="28">
        <f t="shared" si="266"/>
        <v>0</v>
      </c>
      <c r="O138" s="28">
        <f t="shared" si="266"/>
        <v>0</v>
      </c>
      <c r="P138" s="28">
        <f t="shared" si="266"/>
        <v>0</v>
      </c>
      <c r="Q138" s="28">
        <f>24</f>
        <v>24</v>
      </c>
    </row>
    <row r="139">
      <c r="B139" s="20">
        <v>46243.0</v>
      </c>
      <c r="C139" s="21">
        <v>100.0</v>
      </c>
      <c r="D139" s="28">
        <f t="shared" ref="D139:F139" si="267">0</f>
        <v>0</v>
      </c>
      <c r="E139" s="28">
        <f t="shared" si="267"/>
        <v>0</v>
      </c>
      <c r="F139" s="28">
        <f t="shared" si="267"/>
        <v>0</v>
      </c>
      <c r="G139" s="28">
        <f>80</f>
        <v>80</v>
      </c>
      <c r="H139" s="28">
        <f>10</f>
        <v>10</v>
      </c>
      <c r="I139" s="28">
        <f t="shared" ref="I139:N139" si="268">0</f>
        <v>0</v>
      </c>
      <c r="J139" s="28">
        <f t="shared" si="268"/>
        <v>0</v>
      </c>
      <c r="K139" s="28">
        <f t="shared" si="268"/>
        <v>0</v>
      </c>
      <c r="L139" s="28">
        <f t="shared" si="268"/>
        <v>0</v>
      </c>
      <c r="M139" s="28">
        <f t="shared" si="268"/>
        <v>0</v>
      </c>
      <c r="N139" s="28">
        <f t="shared" si="268"/>
        <v>0</v>
      </c>
      <c r="O139" s="28">
        <f>10</f>
        <v>10</v>
      </c>
      <c r="P139" s="28">
        <f t="shared" ref="P139:Q139" si="269">0</f>
        <v>0</v>
      </c>
      <c r="Q139" s="28">
        <f t="shared" si="269"/>
        <v>0</v>
      </c>
    </row>
    <row r="140">
      <c r="B140" s="20">
        <v>46243.0</v>
      </c>
      <c r="C140" s="21">
        <v>100.0</v>
      </c>
      <c r="D140" s="28">
        <f>100</f>
        <v>100</v>
      </c>
      <c r="E140" s="28">
        <f t="shared" ref="E140:Q140" si="270">0</f>
        <v>0</v>
      </c>
      <c r="F140" s="28">
        <f t="shared" si="270"/>
        <v>0</v>
      </c>
      <c r="G140" s="28">
        <f t="shared" si="270"/>
        <v>0</v>
      </c>
      <c r="H140" s="28">
        <f t="shared" si="270"/>
        <v>0</v>
      </c>
      <c r="I140" s="28">
        <f t="shared" si="270"/>
        <v>0</v>
      </c>
      <c r="J140" s="28">
        <f t="shared" si="270"/>
        <v>0</v>
      </c>
      <c r="K140" s="28">
        <f t="shared" si="270"/>
        <v>0</v>
      </c>
      <c r="L140" s="28">
        <f t="shared" si="270"/>
        <v>0</v>
      </c>
      <c r="M140" s="28">
        <f t="shared" si="270"/>
        <v>0</v>
      </c>
      <c r="N140" s="28">
        <f t="shared" si="270"/>
        <v>0</v>
      </c>
      <c r="O140" s="28">
        <f t="shared" si="270"/>
        <v>0</v>
      </c>
      <c r="P140" s="28">
        <f t="shared" si="270"/>
        <v>0</v>
      </c>
      <c r="Q140" s="28">
        <f t="shared" si="270"/>
        <v>0</v>
      </c>
    </row>
    <row r="141">
      <c r="B141" s="20">
        <v>46243.0</v>
      </c>
      <c r="C141" s="21">
        <v>160.0</v>
      </c>
      <c r="D141" s="28">
        <f t="shared" ref="D141:H141" si="271">0</f>
        <v>0</v>
      </c>
      <c r="E141" s="28">
        <f t="shared" si="271"/>
        <v>0</v>
      </c>
      <c r="F141" s="28">
        <f t="shared" si="271"/>
        <v>0</v>
      </c>
      <c r="G141" s="28">
        <f t="shared" si="271"/>
        <v>0</v>
      </c>
      <c r="H141" s="28">
        <f t="shared" si="271"/>
        <v>0</v>
      </c>
      <c r="I141" s="28">
        <f>16</f>
        <v>16</v>
      </c>
      <c r="J141" s="28">
        <f>144</f>
        <v>144</v>
      </c>
      <c r="K141" s="28">
        <f t="shared" ref="K141:Q141" si="272">0</f>
        <v>0</v>
      </c>
      <c r="L141" s="28">
        <f t="shared" si="272"/>
        <v>0</v>
      </c>
      <c r="M141" s="28">
        <f t="shared" si="272"/>
        <v>0</v>
      </c>
      <c r="N141" s="28">
        <f t="shared" si="272"/>
        <v>0</v>
      </c>
      <c r="O141" s="28">
        <f t="shared" si="272"/>
        <v>0</v>
      </c>
      <c r="P141" s="28">
        <f t="shared" si="272"/>
        <v>0</v>
      </c>
      <c r="Q141" s="28">
        <f t="shared" si="272"/>
        <v>0</v>
      </c>
    </row>
    <row r="142">
      <c r="B142" s="20">
        <v>46244.0</v>
      </c>
      <c r="C142" s="21">
        <v>360.0</v>
      </c>
      <c r="D142" s="28">
        <f>144</f>
        <v>144</v>
      </c>
      <c r="E142" s="28">
        <f>108</f>
        <v>108</v>
      </c>
      <c r="F142" s="28">
        <f t="shared" ref="F142:G142" si="273">0</f>
        <v>0</v>
      </c>
      <c r="G142" s="28">
        <f t="shared" si="273"/>
        <v>0</v>
      </c>
      <c r="H142" s="28">
        <f>72</f>
        <v>72</v>
      </c>
      <c r="I142" s="28">
        <f t="shared" ref="I142:N142" si="274">0</f>
        <v>0</v>
      </c>
      <c r="J142" s="28">
        <f t="shared" si="274"/>
        <v>0</v>
      </c>
      <c r="K142" s="28">
        <f t="shared" si="274"/>
        <v>0</v>
      </c>
      <c r="L142" s="28">
        <f t="shared" si="274"/>
        <v>0</v>
      </c>
      <c r="M142" s="28">
        <f t="shared" si="274"/>
        <v>0</v>
      </c>
      <c r="N142" s="28">
        <f t="shared" si="274"/>
        <v>0</v>
      </c>
      <c r="O142" s="28">
        <f>36</f>
        <v>36</v>
      </c>
      <c r="P142" s="28">
        <f t="shared" ref="P142:Q142" si="275">0</f>
        <v>0</v>
      </c>
      <c r="Q142" s="28">
        <f t="shared" si="275"/>
        <v>0</v>
      </c>
    </row>
    <row r="143">
      <c r="B143" s="20">
        <v>46244.0</v>
      </c>
      <c r="C143" s="21">
        <v>100.0</v>
      </c>
      <c r="D143" s="21">
        <v>0.0</v>
      </c>
      <c r="E143" s="21">
        <v>0.0</v>
      </c>
      <c r="F143" s="21">
        <v>0.0</v>
      </c>
      <c r="G143" s="21">
        <v>0.0</v>
      </c>
      <c r="H143" s="21">
        <v>0.0</v>
      </c>
      <c r="I143" s="21">
        <v>0.0</v>
      </c>
      <c r="J143" s="21">
        <v>0.0</v>
      </c>
      <c r="K143" s="21">
        <v>0.0</v>
      </c>
      <c r="L143" s="21">
        <v>0.0</v>
      </c>
      <c r="M143" s="21">
        <v>0.0</v>
      </c>
      <c r="N143" s="21">
        <v>0.0</v>
      </c>
      <c r="O143" s="21">
        <v>0.0</v>
      </c>
      <c r="P143" s="21">
        <v>0.0</v>
      </c>
      <c r="Q143" s="21">
        <v>100.0</v>
      </c>
    </row>
    <row r="144">
      <c r="B144" s="20">
        <v>46244.0</v>
      </c>
      <c r="C144" s="21">
        <v>160.0</v>
      </c>
      <c r="D144" s="28">
        <f t="shared" ref="D144:G144" si="276">0</f>
        <v>0</v>
      </c>
      <c r="E144" s="28">
        <f t="shared" si="276"/>
        <v>0</v>
      </c>
      <c r="F144" s="28">
        <f t="shared" si="276"/>
        <v>0</v>
      </c>
      <c r="G144" s="28">
        <f t="shared" si="276"/>
        <v>0</v>
      </c>
      <c r="H144" s="28">
        <f>144</f>
        <v>144</v>
      </c>
      <c r="I144" s="28">
        <f t="shared" ref="I144:P144" si="277">0</f>
        <v>0</v>
      </c>
      <c r="J144" s="28">
        <f t="shared" si="277"/>
        <v>0</v>
      </c>
      <c r="K144" s="28">
        <f t="shared" si="277"/>
        <v>0</v>
      </c>
      <c r="L144" s="28">
        <f t="shared" si="277"/>
        <v>0</v>
      </c>
      <c r="M144" s="28">
        <f t="shared" si="277"/>
        <v>0</v>
      </c>
      <c r="N144" s="28">
        <f t="shared" si="277"/>
        <v>0</v>
      </c>
      <c r="O144" s="28">
        <f t="shared" si="277"/>
        <v>0</v>
      </c>
      <c r="P144" s="28">
        <f t="shared" si="277"/>
        <v>0</v>
      </c>
      <c r="Q144" s="28">
        <f>16</f>
        <v>16</v>
      </c>
    </row>
    <row r="145">
      <c r="B145" s="20">
        <v>46244.0</v>
      </c>
      <c r="C145" s="21">
        <v>120.0</v>
      </c>
      <c r="D145" s="28">
        <f t="shared" ref="D145:E145" si="278">0</f>
        <v>0</v>
      </c>
      <c r="E145" s="28">
        <f t="shared" si="278"/>
        <v>0</v>
      </c>
      <c r="F145" s="28">
        <f>12</f>
        <v>12</v>
      </c>
      <c r="G145" s="28">
        <f>0</f>
        <v>0</v>
      </c>
      <c r="H145" s="28">
        <f>72</f>
        <v>72</v>
      </c>
      <c r="I145" s="28">
        <f>0</f>
        <v>0</v>
      </c>
      <c r="J145" s="28">
        <f>36</f>
        <v>36</v>
      </c>
      <c r="K145" s="28">
        <f t="shared" ref="K145:Q145" si="279">0</f>
        <v>0</v>
      </c>
      <c r="L145" s="28">
        <f t="shared" si="279"/>
        <v>0</v>
      </c>
      <c r="M145" s="28">
        <f t="shared" si="279"/>
        <v>0</v>
      </c>
      <c r="N145" s="28">
        <f t="shared" si="279"/>
        <v>0</v>
      </c>
      <c r="O145" s="28">
        <f t="shared" si="279"/>
        <v>0</v>
      </c>
      <c r="P145" s="28">
        <f t="shared" si="279"/>
        <v>0</v>
      </c>
      <c r="Q145" s="28">
        <f t="shared" si="279"/>
        <v>0</v>
      </c>
    </row>
    <row r="146">
      <c r="B146" s="20">
        <v>46245.0</v>
      </c>
      <c r="C146" s="21">
        <v>80.0</v>
      </c>
      <c r="D146" s="28">
        <f t="shared" ref="D146:F146" si="280">0</f>
        <v>0</v>
      </c>
      <c r="E146" s="28">
        <f t="shared" si="280"/>
        <v>0</v>
      </c>
      <c r="F146" s="28">
        <f t="shared" si="280"/>
        <v>0</v>
      </c>
      <c r="G146" s="28">
        <f>24</f>
        <v>24</v>
      </c>
      <c r="H146" s="28">
        <f t="shared" ref="H146:I146" si="281">0</f>
        <v>0</v>
      </c>
      <c r="I146" s="28">
        <f t="shared" si="281"/>
        <v>0</v>
      </c>
      <c r="J146" s="28">
        <f>16</f>
        <v>16</v>
      </c>
      <c r="K146" s="28">
        <f t="shared" ref="K146:P146" si="282">0</f>
        <v>0</v>
      </c>
      <c r="L146" s="28">
        <f t="shared" si="282"/>
        <v>0</v>
      </c>
      <c r="M146" s="28">
        <f t="shared" si="282"/>
        <v>0</v>
      </c>
      <c r="N146" s="28">
        <f t="shared" si="282"/>
        <v>0</v>
      </c>
      <c r="O146" s="28">
        <f t="shared" si="282"/>
        <v>0</v>
      </c>
      <c r="P146" s="28">
        <f t="shared" si="282"/>
        <v>0</v>
      </c>
      <c r="Q146" s="28">
        <f>40</f>
        <v>40</v>
      </c>
    </row>
    <row r="147">
      <c r="B147" s="20">
        <v>46245.0</v>
      </c>
      <c r="C147" s="21">
        <v>60.0</v>
      </c>
      <c r="D147" s="28">
        <f t="shared" ref="D147:G147" si="283">0</f>
        <v>0</v>
      </c>
      <c r="E147" s="28">
        <f t="shared" si="283"/>
        <v>0</v>
      </c>
      <c r="F147" s="28">
        <f t="shared" si="283"/>
        <v>0</v>
      </c>
      <c r="G147" s="28">
        <f t="shared" si="283"/>
        <v>0</v>
      </c>
      <c r="H147" s="28">
        <f>60</f>
        <v>60</v>
      </c>
      <c r="I147" s="28">
        <f t="shared" ref="I147:Q147" si="284">0</f>
        <v>0</v>
      </c>
      <c r="J147" s="28">
        <f t="shared" si="284"/>
        <v>0</v>
      </c>
      <c r="K147" s="28">
        <f t="shared" si="284"/>
        <v>0</v>
      </c>
      <c r="L147" s="28">
        <f t="shared" si="284"/>
        <v>0</v>
      </c>
      <c r="M147" s="28">
        <f t="shared" si="284"/>
        <v>0</v>
      </c>
      <c r="N147" s="28">
        <f t="shared" si="284"/>
        <v>0</v>
      </c>
      <c r="O147" s="28">
        <f t="shared" si="284"/>
        <v>0</v>
      </c>
      <c r="P147" s="28">
        <f t="shared" si="284"/>
        <v>0</v>
      </c>
      <c r="Q147" s="28">
        <f t="shared" si="284"/>
        <v>0</v>
      </c>
    </row>
    <row r="148">
      <c r="B148" s="20">
        <v>46245.0</v>
      </c>
      <c r="C148" s="21">
        <v>60.0</v>
      </c>
      <c r="D148" s="28">
        <f t="shared" ref="D148:E148" si="285">0</f>
        <v>0</v>
      </c>
      <c r="E148" s="28">
        <f t="shared" si="285"/>
        <v>0</v>
      </c>
      <c r="F148" s="28">
        <f>42</f>
        <v>42</v>
      </c>
      <c r="G148" s="28">
        <f t="shared" ref="G148:N148" si="286">0</f>
        <v>0</v>
      </c>
      <c r="H148" s="28">
        <f t="shared" si="286"/>
        <v>0</v>
      </c>
      <c r="I148" s="28">
        <f t="shared" si="286"/>
        <v>0</v>
      </c>
      <c r="J148" s="28">
        <f t="shared" si="286"/>
        <v>0</v>
      </c>
      <c r="K148" s="28">
        <f t="shared" si="286"/>
        <v>0</v>
      </c>
      <c r="L148" s="28">
        <f t="shared" si="286"/>
        <v>0</v>
      </c>
      <c r="M148" s="28">
        <f t="shared" si="286"/>
        <v>0</v>
      </c>
      <c r="N148" s="28">
        <f t="shared" si="286"/>
        <v>0</v>
      </c>
      <c r="O148" s="28">
        <f>18</f>
        <v>18</v>
      </c>
      <c r="P148" s="28">
        <f t="shared" ref="P148:Q148" si="287">0</f>
        <v>0</v>
      </c>
      <c r="Q148" s="28">
        <f t="shared" si="287"/>
        <v>0</v>
      </c>
    </row>
    <row r="149">
      <c r="B149" s="20">
        <v>46245.0</v>
      </c>
      <c r="C149" s="21">
        <v>80.0</v>
      </c>
      <c r="D149" s="28">
        <f t="shared" ref="D149:P149" si="288">0</f>
        <v>0</v>
      </c>
      <c r="E149" s="28">
        <f t="shared" si="288"/>
        <v>0</v>
      </c>
      <c r="F149" s="28">
        <f t="shared" si="288"/>
        <v>0</v>
      </c>
      <c r="G149" s="28">
        <f t="shared" si="288"/>
        <v>0</v>
      </c>
      <c r="H149" s="28">
        <f t="shared" si="288"/>
        <v>0</v>
      </c>
      <c r="I149" s="28">
        <f t="shared" si="288"/>
        <v>0</v>
      </c>
      <c r="J149" s="28">
        <f t="shared" si="288"/>
        <v>0</v>
      </c>
      <c r="K149" s="28">
        <f t="shared" si="288"/>
        <v>0</v>
      </c>
      <c r="L149" s="28">
        <f t="shared" si="288"/>
        <v>0</v>
      </c>
      <c r="M149" s="28">
        <f t="shared" si="288"/>
        <v>0</v>
      </c>
      <c r="N149" s="28">
        <f t="shared" si="288"/>
        <v>0</v>
      </c>
      <c r="O149" s="28">
        <f t="shared" si="288"/>
        <v>0</v>
      </c>
      <c r="P149" s="28">
        <f t="shared" si="288"/>
        <v>0</v>
      </c>
      <c r="Q149" s="28">
        <f>80</f>
        <v>80</v>
      </c>
    </row>
    <row r="150">
      <c r="B150" s="20">
        <v>46246.0</v>
      </c>
      <c r="C150" s="21">
        <v>40.0</v>
      </c>
      <c r="D150" s="28">
        <f t="shared" ref="D150:F150" si="289">0</f>
        <v>0</v>
      </c>
      <c r="E150" s="28">
        <f t="shared" si="289"/>
        <v>0</v>
      </c>
      <c r="F150" s="28">
        <f t="shared" si="289"/>
        <v>0</v>
      </c>
      <c r="G150" s="28">
        <f>40</f>
        <v>40</v>
      </c>
      <c r="H150" s="28">
        <f t="shared" ref="H150:Q150" si="290">0</f>
        <v>0</v>
      </c>
      <c r="I150" s="28">
        <f t="shared" si="290"/>
        <v>0</v>
      </c>
      <c r="J150" s="28">
        <f t="shared" si="290"/>
        <v>0</v>
      </c>
      <c r="K150" s="28">
        <f t="shared" si="290"/>
        <v>0</v>
      </c>
      <c r="L150" s="28">
        <f t="shared" si="290"/>
        <v>0</v>
      </c>
      <c r="M150" s="28">
        <f t="shared" si="290"/>
        <v>0</v>
      </c>
      <c r="N150" s="28">
        <f t="shared" si="290"/>
        <v>0</v>
      </c>
      <c r="O150" s="28">
        <f t="shared" si="290"/>
        <v>0</v>
      </c>
      <c r="P150" s="28">
        <f t="shared" si="290"/>
        <v>0</v>
      </c>
      <c r="Q150" s="28">
        <f t="shared" si="290"/>
        <v>0</v>
      </c>
    </row>
    <row r="151">
      <c r="B151" s="20">
        <v>46246.0</v>
      </c>
      <c r="C151" s="21">
        <v>40.0</v>
      </c>
      <c r="D151" s="28">
        <f t="shared" ref="D151:I151" si="291">0</f>
        <v>0</v>
      </c>
      <c r="E151" s="28">
        <f t="shared" si="291"/>
        <v>0</v>
      </c>
      <c r="F151" s="28">
        <f t="shared" si="291"/>
        <v>0</v>
      </c>
      <c r="G151" s="28">
        <f t="shared" si="291"/>
        <v>0</v>
      </c>
      <c r="H151" s="28">
        <f t="shared" si="291"/>
        <v>0</v>
      </c>
      <c r="I151" s="28">
        <f t="shared" si="291"/>
        <v>0</v>
      </c>
      <c r="J151" s="28">
        <f>40</f>
        <v>40</v>
      </c>
      <c r="K151" s="28">
        <f t="shared" ref="K151:Q151" si="292">0</f>
        <v>0</v>
      </c>
      <c r="L151" s="28">
        <f t="shared" si="292"/>
        <v>0</v>
      </c>
      <c r="M151" s="28">
        <f t="shared" si="292"/>
        <v>0</v>
      </c>
      <c r="N151" s="28">
        <f t="shared" si="292"/>
        <v>0</v>
      </c>
      <c r="O151" s="28">
        <f t="shared" si="292"/>
        <v>0</v>
      </c>
      <c r="P151" s="28">
        <f t="shared" si="292"/>
        <v>0</v>
      </c>
      <c r="Q151" s="28">
        <f t="shared" si="292"/>
        <v>0</v>
      </c>
    </row>
    <row r="152">
      <c r="B152" s="20">
        <v>46246.0</v>
      </c>
      <c r="C152" s="21">
        <v>420.0</v>
      </c>
      <c r="D152" s="28">
        <f>21</f>
        <v>21</v>
      </c>
      <c r="E152" s="28">
        <f t="shared" ref="E152:E153" si="294">0</f>
        <v>0</v>
      </c>
      <c r="F152" s="28">
        <f>336</f>
        <v>336</v>
      </c>
      <c r="G152" s="28">
        <f t="shared" ref="G152:G153" si="295">0</f>
        <v>0</v>
      </c>
      <c r="H152" s="28">
        <f>21</f>
        <v>21</v>
      </c>
      <c r="I152" s="28">
        <f t="shared" ref="I152:P152" si="293">0</f>
        <v>0</v>
      </c>
      <c r="J152" s="28">
        <f t="shared" si="293"/>
        <v>0</v>
      </c>
      <c r="K152" s="28">
        <f t="shared" si="293"/>
        <v>0</v>
      </c>
      <c r="L152" s="28">
        <f t="shared" si="293"/>
        <v>0</v>
      </c>
      <c r="M152" s="28">
        <f t="shared" si="293"/>
        <v>0</v>
      </c>
      <c r="N152" s="28">
        <f t="shared" si="293"/>
        <v>0</v>
      </c>
      <c r="O152" s="28">
        <f t="shared" si="293"/>
        <v>0</v>
      </c>
      <c r="P152" s="28">
        <f t="shared" si="293"/>
        <v>0</v>
      </c>
      <c r="Q152" s="28">
        <f>42</f>
        <v>42</v>
      </c>
    </row>
    <row r="153">
      <c r="B153" s="20">
        <v>46246.0</v>
      </c>
      <c r="C153" s="21">
        <v>140.0</v>
      </c>
      <c r="D153" s="28">
        <f>126</f>
        <v>126</v>
      </c>
      <c r="E153" s="28">
        <f t="shared" si="294"/>
        <v>0</v>
      </c>
      <c r="F153" s="28">
        <f>14</f>
        <v>14</v>
      </c>
      <c r="G153" s="28">
        <f t="shared" si="295"/>
        <v>0</v>
      </c>
      <c r="H153" s="28">
        <f t="shared" ref="H153:Q153" si="296">0</f>
        <v>0</v>
      </c>
      <c r="I153" s="28">
        <f t="shared" si="296"/>
        <v>0</v>
      </c>
      <c r="J153" s="28">
        <f t="shared" si="296"/>
        <v>0</v>
      </c>
      <c r="K153" s="28">
        <f t="shared" si="296"/>
        <v>0</v>
      </c>
      <c r="L153" s="28">
        <f t="shared" si="296"/>
        <v>0</v>
      </c>
      <c r="M153" s="28">
        <f t="shared" si="296"/>
        <v>0</v>
      </c>
      <c r="N153" s="28">
        <f t="shared" si="296"/>
        <v>0</v>
      </c>
      <c r="O153" s="28">
        <f t="shared" si="296"/>
        <v>0</v>
      </c>
      <c r="P153" s="28">
        <f t="shared" si="296"/>
        <v>0</v>
      </c>
      <c r="Q153" s="28">
        <f t="shared" si="296"/>
        <v>0</v>
      </c>
    </row>
    <row r="154">
      <c r="B154" s="20">
        <v>46247.0</v>
      </c>
      <c r="C154" s="21">
        <v>60.0</v>
      </c>
      <c r="D154" s="28">
        <f t="shared" ref="D154:G154" si="297">0</f>
        <v>0</v>
      </c>
      <c r="E154" s="28">
        <f t="shared" si="297"/>
        <v>0</v>
      </c>
      <c r="F154" s="28">
        <f t="shared" si="297"/>
        <v>0</v>
      </c>
      <c r="G154" s="28">
        <f t="shared" si="297"/>
        <v>0</v>
      </c>
      <c r="H154" s="28">
        <f>60</f>
        <v>60</v>
      </c>
      <c r="I154" s="28">
        <f t="shared" ref="I154:Q154" si="298">0</f>
        <v>0</v>
      </c>
      <c r="J154" s="28">
        <f t="shared" si="298"/>
        <v>0</v>
      </c>
      <c r="K154" s="28">
        <f t="shared" si="298"/>
        <v>0</v>
      </c>
      <c r="L154" s="28">
        <f t="shared" si="298"/>
        <v>0</v>
      </c>
      <c r="M154" s="28">
        <f t="shared" si="298"/>
        <v>0</v>
      </c>
      <c r="N154" s="28">
        <f t="shared" si="298"/>
        <v>0</v>
      </c>
      <c r="O154" s="28">
        <f t="shared" si="298"/>
        <v>0</v>
      </c>
      <c r="P154" s="28">
        <f t="shared" si="298"/>
        <v>0</v>
      </c>
      <c r="Q154" s="28">
        <f t="shared" si="298"/>
        <v>0</v>
      </c>
    </row>
    <row r="155">
      <c r="B155" s="20">
        <v>46247.0</v>
      </c>
      <c r="C155" s="21">
        <v>80.0</v>
      </c>
      <c r="D155" s="28">
        <f>16</f>
        <v>16</v>
      </c>
      <c r="E155" s="28">
        <f t="shared" ref="E155:G155" si="299">0</f>
        <v>0</v>
      </c>
      <c r="F155" s="28">
        <f t="shared" si="299"/>
        <v>0</v>
      </c>
      <c r="G155" s="28">
        <f t="shared" si="299"/>
        <v>0</v>
      </c>
      <c r="H155" s="28">
        <f>48</f>
        <v>48</v>
      </c>
      <c r="I155" s="28">
        <f t="shared" ref="I155:L155" si="300">0</f>
        <v>0</v>
      </c>
      <c r="J155" s="28">
        <f t="shared" si="300"/>
        <v>0</v>
      </c>
      <c r="K155" s="28">
        <f t="shared" si="300"/>
        <v>0</v>
      </c>
      <c r="L155" s="28">
        <f t="shared" si="300"/>
        <v>0</v>
      </c>
      <c r="M155" s="28">
        <f>16</f>
        <v>16</v>
      </c>
      <c r="N155" s="28">
        <f t="shared" ref="N155:Q155" si="301">0</f>
        <v>0</v>
      </c>
      <c r="O155" s="28">
        <f t="shared" si="301"/>
        <v>0</v>
      </c>
      <c r="P155" s="28">
        <f t="shared" si="301"/>
        <v>0</v>
      </c>
      <c r="Q155" s="28">
        <f t="shared" si="301"/>
        <v>0</v>
      </c>
    </row>
    <row r="156">
      <c r="B156" s="20">
        <v>46247.0</v>
      </c>
      <c r="C156" s="21">
        <v>80.0</v>
      </c>
      <c r="D156" s="28">
        <f t="shared" ref="D156:P156" si="302">0</f>
        <v>0</v>
      </c>
      <c r="E156" s="28">
        <f t="shared" si="302"/>
        <v>0</v>
      </c>
      <c r="F156" s="28">
        <f t="shared" si="302"/>
        <v>0</v>
      </c>
      <c r="G156" s="28">
        <f t="shared" si="302"/>
        <v>0</v>
      </c>
      <c r="H156" s="28">
        <f t="shared" si="302"/>
        <v>0</v>
      </c>
      <c r="I156" s="28">
        <f t="shared" si="302"/>
        <v>0</v>
      </c>
      <c r="J156" s="28">
        <f t="shared" si="302"/>
        <v>0</v>
      </c>
      <c r="K156" s="28">
        <f t="shared" si="302"/>
        <v>0</v>
      </c>
      <c r="L156" s="28">
        <f t="shared" si="302"/>
        <v>0</v>
      </c>
      <c r="M156" s="28">
        <f t="shared" si="302"/>
        <v>0</v>
      </c>
      <c r="N156" s="28">
        <f t="shared" si="302"/>
        <v>0</v>
      </c>
      <c r="O156" s="28">
        <f t="shared" si="302"/>
        <v>0</v>
      </c>
      <c r="P156" s="28">
        <f t="shared" si="302"/>
        <v>0</v>
      </c>
      <c r="Q156" s="28">
        <f>80</f>
        <v>80</v>
      </c>
    </row>
    <row r="157">
      <c r="B157" s="20">
        <v>46247.0</v>
      </c>
      <c r="C157" s="21">
        <v>160.0</v>
      </c>
      <c r="D157" s="28">
        <f t="shared" ref="D157:I157" si="303">0</f>
        <v>0</v>
      </c>
      <c r="E157" s="28">
        <f t="shared" si="303"/>
        <v>0</v>
      </c>
      <c r="F157" s="28">
        <f t="shared" si="303"/>
        <v>0</v>
      </c>
      <c r="G157" s="28">
        <f t="shared" si="303"/>
        <v>0</v>
      </c>
      <c r="H157" s="28">
        <f t="shared" si="303"/>
        <v>0</v>
      </c>
      <c r="I157" s="28">
        <f t="shared" si="303"/>
        <v>0</v>
      </c>
      <c r="J157" s="28">
        <f>32</f>
        <v>32</v>
      </c>
      <c r="K157" s="28">
        <f t="shared" ref="K157:N157" si="304">0</f>
        <v>0</v>
      </c>
      <c r="L157" s="28">
        <f t="shared" si="304"/>
        <v>0</v>
      </c>
      <c r="M157" s="28">
        <f t="shared" si="304"/>
        <v>0</v>
      </c>
      <c r="N157" s="28">
        <f t="shared" si="304"/>
        <v>0</v>
      </c>
      <c r="O157" s="28">
        <f>16</f>
        <v>16</v>
      </c>
      <c r="P157" s="28">
        <f t="shared" ref="P157:P158" si="307">0</f>
        <v>0</v>
      </c>
      <c r="Q157" s="28">
        <f>112</f>
        <v>112</v>
      </c>
    </row>
    <row r="158">
      <c r="B158" s="20">
        <v>46249.0</v>
      </c>
      <c r="C158" s="21">
        <v>120.0</v>
      </c>
      <c r="D158" s="28">
        <f>24</f>
        <v>24</v>
      </c>
      <c r="E158" s="28">
        <f t="shared" ref="E158:F158" si="305">12</f>
        <v>12</v>
      </c>
      <c r="F158" s="28">
        <f t="shared" si="305"/>
        <v>12</v>
      </c>
      <c r="G158" s="28">
        <f>0</f>
        <v>0</v>
      </c>
      <c r="H158" s="28">
        <f>48</f>
        <v>48</v>
      </c>
      <c r="I158" s="28">
        <f t="shared" ref="I158:N158" si="306">0</f>
        <v>0</v>
      </c>
      <c r="J158" s="28">
        <f t="shared" si="306"/>
        <v>0</v>
      </c>
      <c r="K158" s="28">
        <f t="shared" si="306"/>
        <v>0</v>
      </c>
      <c r="L158" s="28">
        <f t="shared" si="306"/>
        <v>0</v>
      </c>
      <c r="M158" s="28">
        <f t="shared" si="306"/>
        <v>0</v>
      </c>
      <c r="N158" s="28">
        <f t="shared" si="306"/>
        <v>0</v>
      </c>
      <c r="O158" s="28">
        <f>24</f>
        <v>24</v>
      </c>
      <c r="P158" s="28">
        <f t="shared" si="307"/>
        <v>0</v>
      </c>
      <c r="Q158" s="28">
        <f>0</f>
        <v>0</v>
      </c>
    </row>
    <row r="159">
      <c r="B159" s="20">
        <v>46249.0</v>
      </c>
      <c r="C159" s="21">
        <v>60.0</v>
      </c>
      <c r="D159" s="28">
        <f t="shared" ref="D159:F159" si="308">0</f>
        <v>0</v>
      </c>
      <c r="E159" s="28">
        <f t="shared" si="308"/>
        <v>0</v>
      </c>
      <c r="F159" s="28">
        <f t="shared" si="308"/>
        <v>0</v>
      </c>
      <c r="G159" s="28">
        <f>3</f>
        <v>3</v>
      </c>
      <c r="H159" s="28">
        <f t="shared" ref="H159:I159" si="309">0</f>
        <v>0</v>
      </c>
      <c r="I159" s="28">
        <f t="shared" si="309"/>
        <v>0</v>
      </c>
      <c r="J159" s="28">
        <f>48</f>
        <v>48</v>
      </c>
      <c r="K159" s="28">
        <f t="shared" ref="K159:P159" si="310">0</f>
        <v>0</v>
      </c>
      <c r="L159" s="28">
        <f t="shared" si="310"/>
        <v>0</v>
      </c>
      <c r="M159" s="28">
        <f t="shared" si="310"/>
        <v>0</v>
      </c>
      <c r="N159" s="28">
        <f t="shared" si="310"/>
        <v>0</v>
      </c>
      <c r="O159" s="28">
        <f t="shared" si="310"/>
        <v>0</v>
      </c>
      <c r="P159" s="28">
        <f t="shared" si="310"/>
        <v>0</v>
      </c>
      <c r="Q159" s="28">
        <f>9</f>
        <v>9</v>
      </c>
    </row>
    <row r="160">
      <c r="B160" s="20">
        <v>46249.0</v>
      </c>
      <c r="C160" s="21">
        <v>40.0</v>
      </c>
      <c r="D160" s="28">
        <f>40</f>
        <v>40</v>
      </c>
      <c r="E160" s="28">
        <f t="shared" ref="E160:Q160" si="311">0</f>
        <v>0</v>
      </c>
      <c r="F160" s="28">
        <f t="shared" si="311"/>
        <v>0</v>
      </c>
      <c r="G160" s="28">
        <f t="shared" si="311"/>
        <v>0</v>
      </c>
      <c r="H160" s="28">
        <f t="shared" si="311"/>
        <v>0</v>
      </c>
      <c r="I160" s="28">
        <f t="shared" si="311"/>
        <v>0</v>
      </c>
      <c r="J160" s="28">
        <f t="shared" si="311"/>
        <v>0</v>
      </c>
      <c r="K160" s="28">
        <f t="shared" si="311"/>
        <v>0</v>
      </c>
      <c r="L160" s="28">
        <f t="shared" si="311"/>
        <v>0</v>
      </c>
      <c r="M160" s="28">
        <f t="shared" si="311"/>
        <v>0</v>
      </c>
      <c r="N160" s="28">
        <f t="shared" si="311"/>
        <v>0</v>
      </c>
      <c r="O160" s="28">
        <f t="shared" si="311"/>
        <v>0</v>
      </c>
      <c r="P160" s="28">
        <f t="shared" si="311"/>
        <v>0</v>
      </c>
      <c r="Q160" s="28">
        <f t="shared" si="311"/>
        <v>0</v>
      </c>
    </row>
    <row r="161">
      <c r="B161" s="20">
        <v>46249.0</v>
      </c>
      <c r="C161" s="21">
        <v>120.0</v>
      </c>
      <c r="D161" s="28">
        <f t="shared" ref="D161:F161" si="312">0</f>
        <v>0</v>
      </c>
      <c r="E161" s="28">
        <f t="shared" si="312"/>
        <v>0</v>
      </c>
      <c r="F161" s="28">
        <f t="shared" si="312"/>
        <v>0</v>
      </c>
      <c r="G161" s="28">
        <f>60</f>
        <v>60</v>
      </c>
      <c r="H161" s="28">
        <f t="shared" ref="H161:P161" si="313">0</f>
        <v>0</v>
      </c>
      <c r="I161" s="28">
        <f t="shared" si="313"/>
        <v>0</v>
      </c>
      <c r="J161" s="28">
        <f t="shared" si="313"/>
        <v>0</v>
      </c>
      <c r="K161" s="28">
        <f t="shared" si="313"/>
        <v>0</v>
      </c>
      <c r="L161" s="28">
        <f t="shared" si="313"/>
        <v>0</v>
      </c>
      <c r="M161" s="28">
        <f t="shared" si="313"/>
        <v>0</v>
      </c>
      <c r="N161" s="28">
        <f t="shared" si="313"/>
        <v>0</v>
      </c>
      <c r="O161" s="28">
        <f t="shared" si="313"/>
        <v>0</v>
      </c>
      <c r="P161" s="28">
        <f t="shared" si="313"/>
        <v>0</v>
      </c>
      <c r="Q161" s="28">
        <f>60</f>
        <v>60</v>
      </c>
    </row>
    <row r="162">
      <c r="B162" s="20">
        <v>46249.0</v>
      </c>
      <c r="C162" s="21">
        <v>60.0</v>
      </c>
      <c r="D162" s="28">
        <f t="shared" ref="D162:I162" si="314">0</f>
        <v>0</v>
      </c>
      <c r="E162" s="28">
        <f t="shared" si="314"/>
        <v>0</v>
      </c>
      <c r="F162" s="28">
        <f t="shared" si="314"/>
        <v>0</v>
      </c>
      <c r="G162" s="28">
        <f t="shared" si="314"/>
        <v>0</v>
      </c>
      <c r="H162" s="28">
        <f t="shared" si="314"/>
        <v>0</v>
      </c>
      <c r="I162" s="28">
        <f t="shared" si="314"/>
        <v>0</v>
      </c>
      <c r="J162" s="28">
        <f>60</f>
        <v>60</v>
      </c>
      <c r="K162" s="28">
        <f t="shared" ref="K162:Q162" si="315">0</f>
        <v>0</v>
      </c>
      <c r="L162" s="28">
        <f t="shared" si="315"/>
        <v>0</v>
      </c>
      <c r="M162" s="28">
        <f t="shared" si="315"/>
        <v>0</v>
      </c>
      <c r="N162" s="28">
        <f t="shared" si="315"/>
        <v>0</v>
      </c>
      <c r="O162" s="28">
        <f t="shared" si="315"/>
        <v>0</v>
      </c>
      <c r="P162" s="28">
        <f t="shared" si="315"/>
        <v>0</v>
      </c>
      <c r="Q162" s="28">
        <f t="shared" si="315"/>
        <v>0</v>
      </c>
    </row>
    <row r="163">
      <c r="B163" s="20">
        <v>46249.0</v>
      </c>
      <c r="C163" s="21">
        <v>620.0</v>
      </c>
      <c r="D163" s="28">
        <f t="shared" ref="D163:I163" si="316">0</f>
        <v>0</v>
      </c>
      <c r="E163" s="28">
        <f t="shared" si="316"/>
        <v>0</v>
      </c>
      <c r="F163" s="28">
        <f t="shared" si="316"/>
        <v>0</v>
      </c>
      <c r="G163" s="28">
        <f t="shared" si="316"/>
        <v>0</v>
      </c>
      <c r="H163" s="28">
        <f t="shared" si="316"/>
        <v>0</v>
      </c>
      <c r="I163" s="28">
        <f t="shared" si="316"/>
        <v>0</v>
      </c>
      <c r="J163" s="28">
        <f>620</f>
        <v>620</v>
      </c>
      <c r="K163" s="28">
        <f t="shared" ref="K163:Q163" si="317">0</f>
        <v>0</v>
      </c>
      <c r="L163" s="28">
        <f t="shared" si="317"/>
        <v>0</v>
      </c>
      <c r="M163" s="28">
        <f t="shared" si="317"/>
        <v>0</v>
      </c>
      <c r="N163" s="28">
        <f t="shared" si="317"/>
        <v>0</v>
      </c>
      <c r="O163" s="28">
        <f t="shared" si="317"/>
        <v>0</v>
      </c>
      <c r="P163" s="28">
        <f t="shared" si="317"/>
        <v>0</v>
      </c>
      <c r="Q163" s="28">
        <f t="shared" si="317"/>
        <v>0</v>
      </c>
    </row>
    <row r="164">
      <c r="B164" s="20">
        <v>46249.0</v>
      </c>
      <c r="C164" s="21">
        <v>540.0</v>
      </c>
      <c r="D164" s="28">
        <f t="shared" ref="D164:I164" si="318">0</f>
        <v>0</v>
      </c>
      <c r="E164" s="28">
        <f t="shared" si="318"/>
        <v>0</v>
      </c>
      <c r="F164" s="28">
        <f t="shared" si="318"/>
        <v>0</v>
      </c>
      <c r="G164" s="28">
        <f t="shared" si="318"/>
        <v>0</v>
      </c>
      <c r="H164" s="28">
        <f t="shared" si="318"/>
        <v>0</v>
      </c>
      <c r="I164" s="28">
        <f t="shared" si="318"/>
        <v>0</v>
      </c>
      <c r="J164" s="28">
        <f>540</f>
        <v>540</v>
      </c>
      <c r="K164" s="28">
        <f t="shared" ref="K164:Q164" si="319">0</f>
        <v>0</v>
      </c>
      <c r="L164" s="28">
        <f t="shared" si="319"/>
        <v>0</v>
      </c>
      <c r="M164" s="28">
        <f t="shared" si="319"/>
        <v>0</v>
      </c>
      <c r="N164" s="28">
        <f t="shared" si="319"/>
        <v>0</v>
      </c>
      <c r="O164" s="28">
        <f t="shared" si="319"/>
        <v>0</v>
      </c>
      <c r="P164" s="28">
        <f t="shared" si="319"/>
        <v>0</v>
      </c>
      <c r="Q164" s="28">
        <f t="shared" si="319"/>
        <v>0</v>
      </c>
    </row>
    <row r="165">
      <c r="B165" s="20">
        <v>46249.0</v>
      </c>
      <c r="C165" s="21">
        <v>200.0</v>
      </c>
      <c r="D165" s="28">
        <f>40</f>
        <v>40</v>
      </c>
      <c r="E165" s="28">
        <f>20</f>
        <v>20</v>
      </c>
      <c r="F165" s="28">
        <f>0</f>
        <v>0</v>
      </c>
      <c r="G165" s="28">
        <f>20</f>
        <v>20</v>
      </c>
      <c r="H165" s="28">
        <f t="shared" ref="H165:N165" si="320">0</f>
        <v>0</v>
      </c>
      <c r="I165" s="28">
        <f t="shared" si="320"/>
        <v>0</v>
      </c>
      <c r="J165" s="28">
        <f t="shared" si="320"/>
        <v>0</v>
      </c>
      <c r="K165" s="28">
        <f t="shared" si="320"/>
        <v>0</v>
      </c>
      <c r="L165" s="28">
        <f t="shared" si="320"/>
        <v>0</v>
      </c>
      <c r="M165" s="28">
        <f t="shared" si="320"/>
        <v>0</v>
      </c>
      <c r="N165" s="28">
        <f t="shared" si="320"/>
        <v>0</v>
      </c>
      <c r="O165" s="28">
        <f>120</f>
        <v>120</v>
      </c>
      <c r="P165" s="28">
        <f t="shared" ref="P165:Q165" si="321">0</f>
        <v>0</v>
      </c>
      <c r="Q165" s="28">
        <f t="shared" si="321"/>
        <v>0</v>
      </c>
    </row>
    <row r="166">
      <c r="B166" s="20">
        <v>46250.0</v>
      </c>
      <c r="C166" s="21">
        <v>80.0</v>
      </c>
      <c r="D166" s="28">
        <f>64</f>
        <v>64</v>
      </c>
      <c r="E166" s="28">
        <f>0</f>
        <v>0</v>
      </c>
      <c r="F166" s="28">
        <f>8</f>
        <v>8</v>
      </c>
      <c r="G166" s="28">
        <f t="shared" ref="G166:I166" si="322">0</f>
        <v>0</v>
      </c>
      <c r="H166" s="28">
        <f t="shared" si="322"/>
        <v>0</v>
      </c>
      <c r="I166" s="28">
        <f t="shared" si="322"/>
        <v>0</v>
      </c>
      <c r="J166" s="28">
        <f>8</f>
        <v>8</v>
      </c>
      <c r="K166" s="28">
        <f t="shared" ref="K166:Q166" si="323">0</f>
        <v>0</v>
      </c>
      <c r="L166" s="28">
        <f t="shared" si="323"/>
        <v>0</v>
      </c>
      <c r="M166" s="28">
        <f t="shared" si="323"/>
        <v>0</v>
      </c>
      <c r="N166" s="28">
        <f t="shared" si="323"/>
        <v>0</v>
      </c>
      <c r="O166" s="28">
        <f t="shared" si="323"/>
        <v>0</v>
      </c>
      <c r="P166" s="28">
        <f t="shared" si="323"/>
        <v>0</v>
      </c>
      <c r="Q166" s="28">
        <f t="shared" si="323"/>
        <v>0</v>
      </c>
    </row>
    <row r="167">
      <c r="B167" s="20">
        <v>46250.0</v>
      </c>
      <c r="C167" s="21">
        <v>120.0</v>
      </c>
      <c r="D167" s="28">
        <f t="shared" ref="D167:F167" si="324">0</f>
        <v>0</v>
      </c>
      <c r="E167" s="28">
        <f t="shared" si="324"/>
        <v>0</v>
      </c>
      <c r="F167" s="28">
        <f t="shared" si="324"/>
        <v>0</v>
      </c>
      <c r="G167" s="28">
        <f t="shared" ref="G167:H167" si="325">48</f>
        <v>48</v>
      </c>
      <c r="H167" s="28">
        <f t="shared" si="325"/>
        <v>48</v>
      </c>
      <c r="I167" s="28">
        <f t="shared" ref="I167:P167" si="326">0</f>
        <v>0</v>
      </c>
      <c r="J167" s="28">
        <f t="shared" si="326"/>
        <v>0</v>
      </c>
      <c r="K167" s="28">
        <f t="shared" si="326"/>
        <v>0</v>
      </c>
      <c r="L167" s="28">
        <f t="shared" si="326"/>
        <v>0</v>
      </c>
      <c r="M167" s="28">
        <f t="shared" si="326"/>
        <v>0</v>
      </c>
      <c r="N167" s="28">
        <f t="shared" si="326"/>
        <v>0</v>
      </c>
      <c r="O167" s="28">
        <f t="shared" si="326"/>
        <v>0</v>
      </c>
      <c r="P167" s="28">
        <f t="shared" si="326"/>
        <v>0</v>
      </c>
      <c r="Q167" s="28">
        <f>24</f>
        <v>24</v>
      </c>
    </row>
    <row r="168">
      <c r="B168" s="20">
        <v>46250.0</v>
      </c>
      <c r="C168" s="21">
        <v>120.0</v>
      </c>
      <c r="D168" s="28">
        <f t="shared" ref="D168:F168" si="327">0</f>
        <v>0</v>
      </c>
      <c r="E168" s="28">
        <f t="shared" si="327"/>
        <v>0</v>
      </c>
      <c r="F168" s="28">
        <f t="shared" si="327"/>
        <v>0</v>
      </c>
      <c r="G168" s="28">
        <f>36</f>
        <v>36</v>
      </c>
      <c r="H168" s="28">
        <f t="shared" ref="H168:M168" si="328">0</f>
        <v>0</v>
      </c>
      <c r="I168" s="28">
        <f t="shared" si="328"/>
        <v>0</v>
      </c>
      <c r="J168" s="28">
        <f t="shared" si="328"/>
        <v>0</v>
      </c>
      <c r="K168" s="28">
        <f t="shared" si="328"/>
        <v>0</v>
      </c>
      <c r="L168" s="28">
        <f t="shared" si="328"/>
        <v>0</v>
      </c>
      <c r="M168" s="28">
        <f t="shared" si="328"/>
        <v>0</v>
      </c>
      <c r="N168" s="28">
        <f>36</f>
        <v>36</v>
      </c>
      <c r="O168" s="28">
        <f t="shared" ref="O168:P168" si="329">0</f>
        <v>0</v>
      </c>
      <c r="P168" s="28">
        <f t="shared" si="329"/>
        <v>0</v>
      </c>
      <c r="Q168" s="28">
        <f>48</f>
        <v>48</v>
      </c>
    </row>
    <row r="169">
      <c r="B169" s="20">
        <v>46251.0</v>
      </c>
      <c r="C169" s="21">
        <v>160.0</v>
      </c>
      <c r="D169" s="28">
        <f t="shared" ref="D169:G169" si="330">0</f>
        <v>0</v>
      </c>
      <c r="E169" s="28">
        <f t="shared" si="330"/>
        <v>0</v>
      </c>
      <c r="F169" s="28">
        <f t="shared" si="330"/>
        <v>0</v>
      </c>
      <c r="G169" s="28">
        <f t="shared" si="330"/>
        <v>0</v>
      </c>
      <c r="H169" s="28">
        <f>32</f>
        <v>32</v>
      </c>
      <c r="I169" s="28">
        <f>16</f>
        <v>16</v>
      </c>
      <c r="J169" s="28">
        <f>48</f>
        <v>48</v>
      </c>
      <c r="K169" s="28">
        <f t="shared" ref="K169:P169" si="331">0</f>
        <v>0</v>
      </c>
      <c r="L169" s="28">
        <f t="shared" si="331"/>
        <v>0</v>
      </c>
      <c r="M169" s="28">
        <f t="shared" si="331"/>
        <v>0</v>
      </c>
      <c r="N169" s="28">
        <f t="shared" si="331"/>
        <v>0</v>
      </c>
      <c r="O169" s="28">
        <f t="shared" si="331"/>
        <v>0</v>
      </c>
      <c r="P169" s="28">
        <f t="shared" si="331"/>
        <v>0</v>
      </c>
      <c r="Q169" s="28">
        <f>64</f>
        <v>64</v>
      </c>
    </row>
    <row r="170">
      <c r="B170" s="20">
        <v>46251.0</v>
      </c>
      <c r="C170" s="21">
        <v>100.0</v>
      </c>
      <c r="D170" s="28">
        <f>30</f>
        <v>30</v>
      </c>
      <c r="E170" s="28">
        <f t="shared" ref="E170:G170" si="332">0</f>
        <v>0</v>
      </c>
      <c r="F170" s="28">
        <f t="shared" si="332"/>
        <v>0</v>
      </c>
      <c r="G170" s="28">
        <f t="shared" si="332"/>
        <v>0</v>
      </c>
      <c r="H170" s="28">
        <f>30</f>
        <v>30</v>
      </c>
      <c r="I170" s="28">
        <f>0</f>
        <v>0</v>
      </c>
      <c r="J170" s="28">
        <f>20</f>
        <v>20</v>
      </c>
      <c r="K170" s="28">
        <f t="shared" ref="K170:N170" si="333">0</f>
        <v>0</v>
      </c>
      <c r="L170" s="28">
        <f t="shared" si="333"/>
        <v>0</v>
      </c>
      <c r="M170" s="28">
        <f t="shared" si="333"/>
        <v>0</v>
      </c>
      <c r="N170" s="28">
        <f t="shared" si="333"/>
        <v>0</v>
      </c>
      <c r="O170" s="28">
        <f>20</f>
        <v>20</v>
      </c>
      <c r="P170" s="28">
        <f t="shared" ref="P170:Q170" si="334">0</f>
        <v>0</v>
      </c>
      <c r="Q170" s="28">
        <f t="shared" si="334"/>
        <v>0</v>
      </c>
    </row>
    <row r="171">
      <c r="B171" s="20">
        <v>46251.0</v>
      </c>
      <c r="C171" s="21">
        <v>40.0</v>
      </c>
      <c r="D171" s="28">
        <f>40</f>
        <v>40</v>
      </c>
      <c r="E171" s="28">
        <f t="shared" ref="E171:Q171" si="335">0</f>
        <v>0</v>
      </c>
      <c r="F171" s="28">
        <f t="shared" si="335"/>
        <v>0</v>
      </c>
      <c r="G171" s="28">
        <f t="shared" si="335"/>
        <v>0</v>
      </c>
      <c r="H171" s="28">
        <f t="shared" si="335"/>
        <v>0</v>
      </c>
      <c r="I171" s="28">
        <f t="shared" si="335"/>
        <v>0</v>
      </c>
      <c r="J171" s="28">
        <f t="shared" si="335"/>
        <v>0</v>
      </c>
      <c r="K171" s="28">
        <f t="shared" si="335"/>
        <v>0</v>
      </c>
      <c r="L171" s="28">
        <f t="shared" si="335"/>
        <v>0</v>
      </c>
      <c r="M171" s="28">
        <f t="shared" si="335"/>
        <v>0</v>
      </c>
      <c r="N171" s="28">
        <f t="shared" si="335"/>
        <v>0</v>
      </c>
      <c r="O171" s="28">
        <f t="shared" si="335"/>
        <v>0</v>
      </c>
      <c r="P171" s="28">
        <f t="shared" si="335"/>
        <v>0</v>
      </c>
      <c r="Q171" s="28">
        <f t="shared" si="335"/>
        <v>0</v>
      </c>
    </row>
    <row r="172">
      <c r="B172" s="20">
        <v>46251.0</v>
      </c>
      <c r="C172" s="21">
        <v>80.0</v>
      </c>
      <c r="D172" s="28">
        <f t="shared" ref="D172:G172" si="336">0</f>
        <v>0</v>
      </c>
      <c r="E172" s="28">
        <f t="shared" si="336"/>
        <v>0</v>
      </c>
      <c r="F172" s="28">
        <f t="shared" si="336"/>
        <v>0</v>
      </c>
      <c r="G172" s="28">
        <f t="shared" si="336"/>
        <v>0</v>
      </c>
      <c r="H172" s="28">
        <f>80</f>
        <v>80</v>
      </c>
      <c r="I172" s="28">
        <f t="shared" ref="I172:Q172" si="337">0</f>
        <v>0</v>
      </c>
      <c r="J172" s="28">
        <f t="shared" si="337"/>
        <v>0</v>
      </c>
      <c r="K172" s="28">
        <f t="shared" si="337"/>
        <v>0</v>
      </c>
      <c r="L172" s="28">
        <f t="shared" si="337"/>
        <v>0</v>
      </c>
      <c r="M172" s="28">
        <f t="shared" si="337"/>
        <v>0</v>
      </c>
      <c r="N172" s="28">
        <f t="shared" si="337"/>
        <v>0</v>
      </c>
      <c r="O172" s="28">
        <f t="shared" si="337"/>
        <v>0</v>
      </c>
      <c r="P172" s="28">
        <f t="shared" si="337"/>
        <v>0</v>
      </c>
      <c r="Q172" s="28">
        <f t="shared" si="337"/>
        <v>0</v>
      </c>
    </row>
    <row r="173">
      <c r="B173" s="20">
        <v>46252.0</v>
      </c>
      <c r="C173" s="21">
        <v>120.0</v>
      </c>
      <c r="D173" s="28">
        <f t="shared" ref="D173:G173" si="338">0</f>
        <v>0</v>
      </c>
      <c r="E173" s="28">
        <f t="shared" si="338"/>
        <v>0</v>
      </c>
      <c r="F173" s="28">
        <f t="shared" si="338"/>
        <v>0</v>
      </c>
      <c r="G173" s="28">
        <f t="shared" si="338"/>
        <v>0</v>
      </c>
      <c r="H173" s="28">
        <f>120</f>
        <v>120</v>
      </c>
      <c r="I173" s="28">
        <f t="shared" ref="I173:Q173" si="339">0</f>
        <v>0</v>
      </c>
      <c r="J173" s="28">
        <f t="shared" si="339"/>
        <v>0</v>
      </c>
      <c r="K173" s="28">
        <f t="shared" si="339"/>
        <v>0</v>
      </c>
      <c r="L173" s="28">
        <f t="shared" si="339"/>
        <v>0</v>
      </c>
      <c r="M173" s="28">
        <f t="shared" si="339"/>
        <v>0</v>
      </c>
      <c r="N173" s="28">
        <f t="shared" si="339"/>
        <v>0</v>
      </c>
      <c r="O173" s="28">
        <f t="shared" si="339"/>
        <v>0</v>
      </c>
      <c r="P173" s="28">
        <f t="shared" si="339"/>
        <v>0</v>
      </c>
      <c r="Q173" s="28">
        <f t="shared" si="339"/>
        <v>0</v>
      </c>
    </row>
    <row r="174">
      <c r="B174" s="20">
        <v>46252.0</v>
      </c>
      <c r="C174" s="21">
        <v>80.0</v>
      </c>
      <c r="D174" s="28">
        <f>72</f>
        <v>72</v>
      </c>
      <c r="E174" s="28">
        <f>8</f>
        <v>8</v>
      </c>
      <c r="F174" s="28">
        <f t="shared" ref="F174:Q174" si="340">0</f>
        <v>0</v>
      </c>
      <c r="G174" s="28">
        <f t="shared" si="340"/>
        <v>0</v>
      </c>
      <c r="H174" s="28">
        <f t="shared" si="340"/>
        <v>0</v>
      </c>
      <c r="I174" s="28">
        <f t="shared" si="340"/>
        <v>0</v>
      </c>
      <c r="J174" s="28">
        <f t="shared" si="340"/>
        <v>0</v>
      </c>
      <c r="K174" s="28">
        <f t="shared" si="340"/>
        <v>0</v>
      </c>
      <c r="L174" s="28">
        <f t="shared" si="340"/>
        <v>0</v>
      </c>
      <c r="M174" s="28">
        <f t="shared" si="340"/>
        <v>0</v>
      </c>
      <c r="N174" s="28">
        <f t="shared" si="340"/>
        <v>0</v>
      </c>
      <c r="O174" s="28">
        <f t="shared" si="340"/>
        <v>0</v>
      </c>
      <c r="P174" s="28">
        <f t="shared" si="340"/>
        <v>0</v>
      </c>
      <c r="Q174" s="28">
        <f t="shared" si="340"/>
        <v>0</v>
      </c>
    </row>
    <row r="175">
      <c r="B175" s="20">
        <v>46252.0</v>
      </c>
      <c r="C175" s="21">
        <v>140.0</v>
      </c>
      <c r="D175" s="28">
        <f>98</f>
        <v>98</v>
      </c>
      <c r="E175" s="28">
        <f t="shared" ref="E175:P175" si="341">0</f>
        <v>0</v>
      </c>
      <c r="F175" s="28">
        <f t="shared" si="341"/>
        <v>0</v>
      </c>
      <c r="G175" s="28">
        <f t="shared" si="341"/>
        <v>0</v>
      </c>
      <c r="H175" s="28">
        <f t="shared" si="341"/>
        <v>0</v>
      </c>
      <c r="I175" s="28">
        <f t="shared" si="341"/>
        <v>0</v>
      </c>
      <c r="J175" s="28">
        <f t="shared" si="341"/>
        <v>0</v>
      </c>
      <c r="K175" s="28">
        <f t="shared" si="341"/>
        <v>0</v>
      </c>
      <c r="L175" s="28">
        <f t="shared" si="341"/>
        <v>0</v>
      </c>
      <c r="M175" s="28">
        <f t="shared" si="341"/>
        <v>0</v>
      </c>
      <c r="N175" s="28">
        <f t="shared" si="341"/>
        <v>0</v>
      </c>
      <c r="O175" s="28">
        <f t="shared" si="341"/>
        <v>0</v>
      </c>
      <c r="P175" s="28">
        <f t="shared" si="341"/>
        <v>0</v>
      </c>
      <c r="Q175" s="28">
        <f>42</f>
        <v>42</v>
      </c>
    </row>
    <row r="176">
      <c r="B176" s="20">
        <v>46252.0</v>
      </c>
      <c r="C176" s="21">
        <v>140.0</v>
      </c>
      <c r="D176" s="28">
        <f>112</f>
        <v>112</v>
      </c>
      <c r="E176" s="28">
        <f>14</f>
        <v>14</v>
      </c>
      <c r="F176" s="28">
        <f t="shared" ref="F176:G176" si="342">0</f>
        <v>0</v>
      </c>
      <c r="G176" s="28">
        <f t="shared" si="342"/>
        <v>0</v>
      </c>
      <c r="H176" s="28">
        <f>14</f>
        <v>14</v>
      </c>
      <c r="I176" s="28">
        <f t="shared" ref="I176:Q176" si="343">0</f>
        <v>0</v>
      </c>
      <c r="J176" s="28">
        <f t="shared" si="343"/>
        <v>0</v>
      </c>
      <c r="K176" s="28">
        <f t="shared" si="343"/>
        <v>0</v>
      </c>
      <c r="L176" s="28">
        <f t="shared" si="343"/>
        <v>0</v>
      </c>
      <c r="M176" s="28">
        <f t="shared" si="343"/>
        <v>0</v>
      </c>
      <c r="N176" s="28">
        <f t="shared" si="343"/>
        <v>0</v>
      </c>
      <c r="O176" s="28">
        <f t="shared" si="343"/>
        <v>0</v>
      </c>
      <c r="P176" s="28">
        <f t="shared" si="343"/>
        <v>0</v>
      </c>
      <c r="Q176" s="28">
        <f t="shared" si="343"/>
        <v>0</v>
      </c>
    </row>
    <row r="177">
      <c r="B177" s="20">
        <v>46253.0</v>
      </c>
      <c r="C177" s="21">
        <v>40.0</v>
      </c>
      <c r="D177" s="28">
        <f t="shared" ref="D177:G177" si="344">0</f>
        <v>0</v>
      </c>
      <c r="E177" s="28">
        <f t="shared" si="344"/>
        <v>0</v>
      </c>
      <c r="F177" s="28">
        <f t="shared" si="344"/>
        <v>0</v>
      </c>
      <c r="G177" s="28">
        <f t="shared" si="344"/>
        <v>0</v>
      </c>
      <c r="H177" s="28">
        <f>40</f>
        <v>40</v>
      </c>
      <c r="I177" s="28">
        <f t="shared" ref="I177:Q177" si="345">0</f>
        <v>0</v>
      </c>
      <c r="J177" s="28">
        <f t="shared" si="345"/>
        <v>0</v>
      </c>
      <c r="K177" s="28">
        <f t="shared" si="345"/>
        <v>0</v>
      </c>
      <c r="L177" s="28">
        <f t="shared" si="345"/>
        <v>0</v>
      </c>
      <c r="M177" s="28">
        <f t="shared" si="345"/>
        <v>0</v>
      </c>
      <c r="N177" s="28">
        <f t="shared" si="345"/>
        <v>0</v>
      </c>
      <c r="O177" s="28">
        <f t="shared" si="345"/>
        <v>0</v>
      </c>
      <c r="P177" s="28">
        <f t="shared" si="345"/>
        <v>0</v>
      </c>
      <c r="Q177" s="28">
        <f t="shared" si="345"/>
        <v>0</v>
      </c>
    </row>
    <row r="178">
      <c r="B178" s="20">
        <v>46253.0</v>
      </c>
      <c r="C178" s="21">
        <v>100.0</v>
      </c>
      <c r="D178" s="28">
        <f t="shared" ref="D178:N178" si="346">0</f>
        <v>0</v>
      </c>
      <c r="E178" s="28">
        <f t="shared" si="346"/>
        <v>0</v>
      </c>
      <c r="F178" s="28">
        <f t="shared" si="346"/>
        <v>0</v>
      </c>
      <c r="G178" s="28">
        <f t="shared" si="346"/>
        <v>0</v>
      </c>
      <c r="H178" s="28">
        <f t="shared" si="346"/>
        <v>0</v>
      </c>
      <c r="I178" s="28">
        <f t="shared" si="346"/>
        <v>0</v>
      </c>
      <c r="J178" s="28">
        <f t="shared" si="346"/>
        <v>0</v>
      </c>
      <c r="K178" s="28">
        <f t="shared" si="346"/>
        <v>0</v>
      </c>
      <c r="L178" s="28">
        <f t="shared" si="346"/>
        <v>0</v>
      </c>
      <c r="M178" s="28">
        <f t="shared" si="346"/>
        <v>0</v>
      </c>
      <c r="N178" s="28">
        <f t="shared" si="346"/>
        <v>0</v>
      </c>
      <c r="O178" s="28">
        <f t="shared" ref="O178:P178" si="347">50</f>
        <v>50</v>
      </c>
      <c r="P178" s="28">
        <f t="shared" si="347"/>
        <v>50</v>
      </c>
      <c r="Q178" s="28">
        <f>0</f>
        <v>0</v>
      </c>
    </row>
    <row r="179">
      <c r="B179" s="20">
        <v>46253.0</v>
      </c>
      <c r="C179" s="21">
        <v>140.0</v>
      </c>
      <c r="D179" s="28">
        <f>98</f>
        <v>98</v>
      </c>
      <c r="E179" s="28">
        <f t="shared" ref="E179:G179" si="348">0</f>
        <v>0</v>
      </c>
      <c r="F179" s="28">
        <f t="shared" si="348"/>
        <v>0</v>
      </c>
      <c r="G179" s="28">
        <f t="shared" si="348"/>
        <v>0</v>
      </c>
      <c r="H179" s="28">
        <f>28</f>
        <v>28</v>
      </c>
      <c r="I179" s="28">
        <f t="shared" ref="I179:P179" si="349">0</f>
        <v>0</v>
      </c>
      <c r="J179" s="28">
        <f t="shared" si="349"/>
        <v>0</v>
      </c>
      <c r="K179" s="28">
        <f t="shared" si="349"/>
        <v>0</v>
      </c>
      <c r="L179" s="28">
        <f t="shared" si="349"/>
        <v>0</v>
      </c>
      <c r="M179" s="28">
        <f t="shared" si="349"/>
        <v>0</v>
      </c>
      <c r="N179" s="28">
        <f t="shared" si="349"/>
        <v>0</v>
      </c>
      <c r="O179" s="28">
        <f t="shared" si="349"/>
        <v>0</v>
      </c>
      <c r="P179" s="28">
        <f t="shared" si="349"/>
        <v>0</v>
      </c>
      <c r="Q179" s="28">
        <f>14</f>
        <v>14</v>
      </c>
    </row>
    <row r="180">
      <c r="B180" s="20">
        <v>46254.0</v>
      </c>
      <c r="C180" s="21">
        <v>220.0</v>
      </c>
      <c r="D180" s="28">
        <f t="shared" ref="D180:E180" si="350">0</f>
        <v>0</v>
      </c>
      <c r="E180" s="28">
        <f t="shared" si="350"/>
        <v>0</v>
      </c>
      <c r="F180" s="28">
        <f>33</f>
        <v>33</v>
      </c>
      <c r="G180" s="28">
        <f t="shared" ref="G180:I180" si="351">0</f>
        <v>0</v>
      </c>
      <c r="H180" s="28">
        <f t="shared" si="351"/>
        <v>0</v>
      </c>
      <c r="I180" s="28">
        <f t="shared" si="351"/>
        <v>0</v>
      </c>
      <c r="J180" s="28">
        <f>187</f>
        <v>187</v>
      </c>
      <c r="K180" s="28">
        <f t="shared" ref="K180:Q180" si="352">0</f>
        <v>0</v>
      </c>
      <c r="L180" s="28">
        <f t="shared" si="352"/>
        <v>0</v>
      </c>
      <c r="M180" s="28">
        <f t="shared" si="352"/>
        <v>0</v>
      </c>
      <c r="N180" s="28">
        <f t="shared" si="352"/>
        <v>0</v>
      </c>
      <c r="O180" s="28">
        <f t="shared" si="352"/>
        <v>0</v>
      </c>
      <c r="P180" s="28">
        <f t="shared" si="352"/>
        <v>0</v>
      </c>
      <c r="Q180" s="28">
        <f t="shared" si="352"/>
        <v>0</v>
      </c>
    </row>
    <row r="181">
      <c r="B181" s="20">
        <v>46254.0</v>
      </c>
      <c r="C181" s="21">
        <v>100.0</v>
      </c>
      <c r="D181" s="28">
        <f>50</f>
        <v>50</v>
      </c>
      <c r="E181" s="28">
        <f>0</f>
        <v>0</v>
      </c>
      <c r="F181" s="28">
        <f>10</f>
        <v>10</v>
      </c>
      <c r="G181" s="28">
        <f t="shared" ref="G181:I181" si="353">0</f>
        <v>0</v>
      </c>
      <c r="H181" s="28">
        <f t="shared" si="353"/>
        <v>0</v>
      </c>
      <c r="I181" s="28">
        <f t="shared" si="353"/>
        <v>0</v>
      </c>
      <c r="J181" s="28">
        <f>40</f>
        <v>40</v>
      </c>
      <c r="K181" s="28">
        <f t="shared" ref="K181:Q181" si="354">0</f>
        <v>0</v>
      </c>
      <c r="L181" s="28">
        <f t="shared" si="354"/>
        <v>0</v>
      </c>
      <c r="M181" s="28">
        <f t="shared" si="354"/>
        <v>0</v>
      </c>
      <c r="N181" s="28">
        <f t="shared" si="354"/>
        <v>0</v>
      </c>
      <c r="O181" s="28">
        <f t="shared" si="354"/>
        <v>0</v>
      </c>
      <c r="P181" s="28">
        <f t="shared" si="354"/>
        <v>0</v>
      </c>
      <c r="Q181" s="28">
        <f t="shared" si="354"/>
        <v>0</v>
      </c>
    </row>
    <row r="182">
      <c r="B182" s="20">
        <v>46254.0</v>
      </c>
      <c r="C182" s="21">
        <v>280.0</v>
      </c>
      <c r="D182" s="28">
        <f>140</f>
        <v>140</v>
      </c>
      <c r="E182" s="28">
        <f>28</f>
        <v>28</v>
      </c>
      <c r="F182" s="28">
        <f t="shared" ref="F182:G182" si="355">0</f>
        <v>0</v>
      </c>
      <c r="G182" s="28">
        <f t="shared" si="355"/>
        <v>0</v>
      </c>
      <c r="H182" s="28">
        <f>56</f>
        <v>56</v>
      </c>
      <c r="I182" s="28">
        <f>0</f>
        <v>0</v>
      </c>
      <c r="J182" s="28">
        <f>56</f>
        <v>56</v>
      </c>
      <c r="K182" s="28">
        <f t="shared" ref="K182:Q182" si="356">0</f>
        <v>0</v>
      </c>
      <c r="L182" s="28">
        <f t="shared" si="356"/>
        <v>0</v>
      </c>
      <c r="M182" s="28">
        <f t="shared" si="356"/>
        <v>0</v>
      </c>
      <c r="N182" s="28">
        <f t="shared" si="356"/>
        <v>0</v>
      </c>
      <c r="O182" s="28">
        <f t="shared" si="356"/>
        <v>0</v>
      </c>
      <c r="P182" s="28">
        <f t="shared" si="356"/>
        <v>0</v>
      </c>
      <c r="Q182" s="28">
        <f t="shared" si="356"/>
        <v>0</v>
      </c>
    </row>
    <row r="183">
      <c r="B183" s="20">
        <v>46254.0</v>
      </c>
      <c r="C183" s="21">
        <v>100.0</v>
      </c>
      <c r="D183" s="28">
        <f>80</f>
        <v>80</v>
      </c>
      <c r="E183" s="28">
        <f t="shared" ref="E183:I183" si="357">0</f>
        <v>0</v>
      </c>
      <c r="F183" s="28">
        <f t="shared" si="357"/>
        <v>0</v>
      </c>
      <c r="G183" s="28">
        <f t="shared" si="357"/>
        <v>0</v>
      </c>
      <c r="H183" s="28">
        <f t="shared" si="357"/>
        <v>0</v>
      </c>
      <c r="I183" s="28">
        <f t="shared" si="357"/>
        <v>0</v>
      </c>
      <c r="J183" s="28">
        <f>20</f>
        <v>20</v>
      </c>
      <c r="K183" s="28">
        <f t="shared" ref="K183:Q183" si="358">0</f>
        <v>0</v>
      </c>
      <c r="L183" s="28">
        <f t="shared" si="358"/>
        <v>0</v>
      </c>
      <c r="M183" s="28">
        <f t="shared" si="358"/>
        <v>0</v>
      </c>
      <c r="N183" s="28">
        <f t="shared" si="358"/>
        <v>0</v>
      </c>
      <c r="O183" s="28">
        <f t="shared" si="358"/>
        <v>0</v>
      </c>
      <c r="P183" s="28">
        <f t="shared" si="358"/>
        <v>0</v>
      </c>
      <c r="Q183" s="28">
        <f t="shared" si="358"/>
        <v>0</v>
      </c>
    </row>
    <row r="184">
      <c r="B184" s="20">
        <v>46255.0</v>
      </c>
      <c r="C184" s="21">
        <v>60.0</v>
      </c>
      <c r="D184" s="21">
        <v>0.0</v>
      </c>
      <c r="E184" s="21">
        <v>0.0</v>
      </c>
      <c r="F184" s="21">
        <v>0.0</v>
      </c>
      <c r="G184" s="21">
        <v>0.0</v>
      </c>
      <c r="H184" s="21">
        <v>0.0</v>
      </c>
      <c r="I184" s="21">
        <v>0.0</v>
      </c>
      <c r="J184" s="21">
        <v>0.0</v>
      </c>
      <c r="K184" s="21">
        <v>0.0</v>
      </c>
      <c r="L184" s="21">
        <v>0.0</v>
      </c>
      <c r="M184" s="21">
        <v>0.0</v>
      </c>
      <c r="N184" s="21">
        <v>0.0</v>
      </c>
      <c r="O184" s="21">
        <v>0.0</v>
      </c>
      <c r="P184" s="21">
        <v>0.0</v>
      </c>
      <c r="Q184" s="21">
        <v>60.0</v>
      </c>
    </row>
    <row r="185">
      <c r="B185" s="20">
        <v>46255.0</v>
      </c>
      <c r="C185" s="21">
        <v>280.0</v>
      </c>
      <c r="D185" s="28">
        <f>196</f>
        <v>196</v>
      </c>
      <c r="E185" s="28">
        <f>28</f>
        <v>28</v>
      </c>
      <c r="F185" s="28">
        <f t="shared" ref="F185:H185" si="359">0</f>
        <v>0</v>
      </c>
      <c r="G185" s="28">
        <f t="shared" si="359"/>
        <v>0</v>
      </c>
      <c r="H185" s="28">
        <f t="shared" si="359"/>
        <v>0</v>
      </c>
      <c r="I185" s="28">
        <f>28</f>
        <v>28</v>
      </c>
      <c r="J185" s="28">
        <f t="shared" ref="J185:N185" si="360">0</f>
        <v>0</v>
      </c>
      <c r="K185" s="28">
        <f t="shared" si="360"/>
        <v>0</v>
      </c>
      <c r="L185" s="28">
        <f t="shared" si="360"/>
        <v>0</v>
      </c>
      <c r="M185" s="28">
        <f t="shared" si="360"/>
        <v>0</v>
      </c>
      <c r="N185" s="28">
        <f t="shared" si="360"/>
        <v>0</v>
      </c>
      <c r="O185" s="28">
        <f>28</f>
        <v>28</v>
      </c>
      <c r="P185" s="28">
        <f t="shared" ref="P185:Q185" si="361">0</f>
        <v>0</v>
      </c>
      <c r="Q185" s="28">
        <f t="shared" si="361"/>
        <v>0</v>
      </c>
    </row>
    <row r="186">
      <c r="B186" s="20">
        <v>46255.0</v>
      </c>
      <c r="C186" s="21">
        <v>260.0</v>
      </c>
      <c r="D186" s="28">
        <f>39</f>
        <v>39</v>
      </c>
      <c r="E186" s="28">
        <f t="shared" ref="E186:G186" si="362">0</f>
        <v>0</v>
      </c>
      <c r="F186" s="28">
        <f t="shared" si="362"/>
        <v>0</v>
      </c>
      <c r="G186" s="28">
        <f t="shared" si="362"/>
        <v>0</v>
      </c>
      <c r="H186" s="28">
        <f>182</f>
        <v>182</v>
      </c>
      <c r="I186" s="28">
        <f>13</f>
        <v>13</v>
      </c>
      <c r="J186" s="28">
        <f>26</f>
        <v>26</v>
      </c>
      <c r="K186" s="28">
        <f t="shared" ref="K186:Q186" si="363">0</f>
        <v>0</v>
      </c>
      <c r="L186" s="28">
        <f t="shared" si="363"/>
        <v>0</v>
      </c>
      <c r="M186" s="28">
        <f t="shared" si="363"/>
        <v>0</v>
      </c>
      <c r="N186" s="28">
        <f t="shared" si="363"/>
        <v>0</v>
      </c>
      <c r="O186" s="28">
        <f t="shared" si="363"/>
        <v>0</v>
      </c>
      <c r="P186" s="28">
        <f t="shared" si="363"/>
        <v>0</v>
      </c>
      <c r="Q186" s="28">
        <f t="shared" si="363"/>
        <v>0</v>
      </c>
    </row>
    <row r="187">
      <c r="B187" s="20">
        <v>46255.0</v>
      </c>
      <c r="C187" s="21">
        <v>200.0</v>
      </c>
      <c r="D187" s="28">
        <f>100</f>
        <v>100</v>
      </c>
      <c r="E187" s="28">
        <f t="shared" ref="E187:G187" si="364">0</f>
        <v>0</v>
      </c>
      <c r="F187" s="28">
        <f t="shared" si="364"/>
        <v>0</v>
      </c>
      <c r="G187" s="28">
        <f t="shared" si="364"/>
        <v>0</v>
      </c>
      <c r="H187" s="28">
        <f>60</f>
        <v>60</v>
      </c>
      <c r="I187" s="28">
        <f t="shared" ref="I187:J187" si="365">20</f>
        <v>20</v>
      </c>
      <c r="J187" s="28">
        <f t="shared" si="365"/>
        <v>20</v>
      </c>
      <c r="K187" s="28">
        <f t="shared" ref="K187:Q187" si="366">0</f>
        <v>0</v>
      </c>
      <c r="L187" s="28">
        <f t="shared" si="366"/>
        <v>0</v>
      </c>
      <c r="M187" s="28">
        <f t="shared" si="366"/>
        <v>0</v>
      </c>
      <c r="N187" s="28">
        <f t="shared" si="366"/>
        <v>0</v>
      </c>
      <c r="O187" s="28">
        <f t="shared" si="366"/>
        <v>0</v>
      </c>
      <c r="P187" s="28">
        <f t="shared" si="366"/>
        <v>0</v>
      </c>
      <c r="Q187" s="28">
        <f t="shared" si="366"/>
        <v>0</v>
      </c>
    </row>
    <row r="188">
      <c r="B188" s="20">
        <v>46256.0</v>
      </c>
      <c r="C188" s="21">
        <v>100.0</v>
      </c>
      <c r="D188" s="21">
        <v>0.0</v>
      </c>
      <c r="E188" s="21">
        <v>0.0</v>
      </c>
      <c r="F188" s="21">
        <v>0.0</v>
      </c>
      <c r="G188" s="21">
        <v>0.0</v>
      </c>
      <c r="H188" s="21">
        <v>0.0</v>
      </c>
      <c r="I188" s="21">
        <v>0.0</v>
      </c>
      <c r="J188" s="21">
        <v>0.0</v>
      </c>
      <c r="K188" s="21">
        <v>0.0</v>
      </c>
      <c r="L188" s="21">
        <v>0.0</v>
      </c>
      <c r="M188" s="21">
        <v>0.0</v>
      </c>
      <c r="N188" s="21">
        <v>0.0</v>
      </c>
      <c r="O188" s="21">
        <v>0.0</v>
      </c>
      <c r="P188" s="21">
        <v>0.0</v>
      </c>
      <c r="Q188" s="21">
        <v>100.0</v>
      </c>
    </row>
    <row r="189">
      <c r="B189" s="20">
        <v>46256.0</v>
      </c>
      <c r="C189" s="21">
        <v>80.0</v>
      </c>
      <c r="D189" s="28">
        <f>24</f>
        <v>24</v>
      </c>
      <c r="E189" s="28">
        <f t="shared" ref="E189:N189" si="367">0</f>
        <v>0</v>
      </c>
      <c r="F189" s="28">
        <f t="shared" si="367"/>
        <v>0</v>
      </c>
      <c r="G189" s="28">
        <f t="shared" si="367"/>
        <v>0</v>
      </c>
      <c r="H189" s="28">
        <f t="shared" si="367"/>
        <v>0</v>
      </c>
      <c r="I189" s="28">
        <f t="shared" si="367"/>
        <v>0</v>
      </c>
      <c r="J189" s="28">
        <f t="shared" si="367"/>
        <v>0</v>
      </c>
      <c r="K189" s="28">
        <f t="shared" si="367"/>
        <v>0</v>
      </c>
      <c r="L189" s="28">
        <f t="shared" si="367"/>
        <v>0</v>
      </c>
      <c r="M189" s="28">
        <f t="shared" si="367"/>
        <v>0</v>
      </c>
      <c r="N189" s="28">
        <f t="shared" si="367"/>
        <v>0</v>
      </c>
      <c r="O189" s="28">
        <f>24</f>
        <v>24</v>
      </c>
      <c r="P189" s="28">
        <f>0</f>
        <v>0</v>
      </c>
      <c r="Q189" s="28">
        <f>32</f>
        <v>32</v>
      </c>
    </row>
    <row r="190">
      <c r="B190" s="20">
        <v>46257.0</v>
      </c>
      <c r="C190" s="21">
        <v>60.0</v>
      </c>
      <c r="D190" s="28">
        <f t="shared" ref="D190:F190" si="368">0</f>
        <v>0</v>
      </c>
      <c r="E190" s="28">
        <f t="shared" si="368"/>
        <v>0</v>
      </c>
      <c r="F190" s="28">
        <f t="shared" si="368"/>
        <v>0</v>
      </c>
      <c r="G190" s="28">
        <f t="shared" ref="G190:H190" si="369">18</f>
        <v>18</v>
      </c>
      <c r="H190" s="28">
        <f t="shared" si="369"/>
        <v>18</v>
      </c>
      <c r="I190" s="28">
        <f t="shared" ref="I190:P190" si="370">0</f>
        <v>0</v>
      </c>
      <c r="J190" s="28">
        <f t="shared" si="370"/>
        <v>0</v>
      </c>
      <c r="K190" s="28">
        <f t="shared" si="370"/>
        <v>0</v>
      </c>
      <c r="L190" s="28">
        <f t="shared" si="370"/>
        <v>0</v>
      </c>
      <c r="M190" s="28">
        <f t="shared" si="370"/>
        <v>0</v>
      </c>
      <c r="N190" s="28">
        <f t="shared" si="370"/>
        <v>0</v>
      </c>
      <c r="O190" s="28">
        <f t="shared" si="370"/>
        <v>0</v>
      </c>
      <c r="P190" s="28">
        <f t="shared" si="370"/>
        <v>0</v>
      </c>
      <c r="Q190" s="28">
        <f>24</f>
        <v>24</v>
      </c>
    </row>
    <row r="191">
      <c r="B191" s="20">
        <v>46257.0</v>
      </c>
      <c r="C191" s="21">
        <v>220.0</v>
      </c>
      <c r="D191" s="28">
        <f>154</f>
        <v>154</v>
      </c>
      <c r="E191" s="28">
        <f t="shared" ref="E191:G191" si="371">0</f>
        <v>0</v>
      </c>
      <c r="F191" s="28">
        <f t="shared" si="371"/>
        <v>0</v>
      </c>
      <c r="G191" s="28">
        <f t="shared" si="371"/>
        <v>0</v>
      </c>
      <c r="H191" s="28">
        <f>44</f>
        <v>44</v>
      </c>
      <c r="I191" s="28">
        <f t="shared" ref="I191:P191" si="372">0</f>
        <v>0</v>
      </c>
      <c r="J191" s="28">
        <f t="shared" si="372"/>
        <v>0</v>
      </c>
      <c r="K191" s="28">
        <f t="shared" si="372"/>
        <v>0</v>
      </c>
      <c r="L191" s="28">
        <f t="shared" si="372"/>
        <v>0</v>
      </c>
      <c r="M191" s="28">
        <f t="shared" si="372"/>
        <v>0</v>
      </c>
      <c r="N191" s="28">
        <f t="shared" si="372"/>
        <v>0</v>
      </c>
      <c r="O191" s="28">
        <f t="shared" si="372"/>
        <v>0</v>
      </c>
      <c r="P191" s="28">
        <f t="shared" si="372"/>
        <v>0</v>
      </c>
      <c r="Q191" s="28">
        <f>22</f>
        <v>22</v>
      </c>
    </row>
    <row r="192">
      <c r="B192" s="20">
        <v>46257.0</v>
      </c>
      <c r="C192" s="21">
        <v>120.0</v>
      </c>
      <c r="D192" s="28">
        <f t="shared" ref="D192:H192" si="373">0</f>
        <v>0</v>
      </c>
      <c r="E192" s="28">
        <f t="shared" si="373"/>
        <v>0</v>
      </c>
      <c r="F192" s="28">
        <f t="shared" si="373"/>
        <v>0</v>
      </c>
      <c r="G192" s="28">
        <f t="shared" si="373"/>
        <v>0</v>
      </c>
      <c r="H192" s="28">
        <f t="shared" si="373"/>
        <v>0</v>
      </c>
      <c r="I192" s="28">
        <f>12</f>
        <v>12</v>
      </c>
      <c r="J192" s="28">
        <f>36</f>
        <v>36</v>
      </c>
      <c r="K192" s="28">
        <f t="shared" ref="K192:O192" si="374">0</f>
        <v>0</v>
      </c>
      <c r="L192" s="28">
        <f t="shared" si="374"/>
        <v>0</v>
      </c>
      <c r="M192" s="28">
        <f t="shared" si="374"/>
        <v>0</v>
      </c>
      <c r="N192" s="28">
        <f t="shared" si="374"/>
        <v>0</v>
      </c>
      <c r="O192" s="28">
        <f t="shared" si="374"/>
        <v>0</v>
      </c>
      <c r="P192" s="28">
        <f>72</f>
        <v>72</v>
      </c>
      <c r="Q192" s="28">
        <f>0</f>
        <v>0</v>
      </c>
    </row>
    <row r="193">
      <c r="B193" s="20">
        <v>46258.0</v>
      </c>
      <c r="C193" s="21">
        <v>220.0</v>
      </c>
      <c r="D193" s="21">
        <v>0.0</v>
      </c>
      <c r="E193" s="21">
        <v>0.0</v>
      </c>
      <c r="F193" s="21">
        <v>0.0</v>
      </c>
      <c r="G193" s="21">
        <v>0.0</v>
      </c>
      <c r="H193" s="21">
        <v>0.0</v>
      </c>
      <c r="I193" s="21">
        <v>0.0</v>
      </c>
      <c r="J193" s="21">
        <v>0.0</v>
      </c>
      <c r="K193" s="21">
        <v>0.0</v>
      </c>
      <c r="L193" s="21">
        <v>0.0</v>
      </c>
      <c r="M193" s="21">
        <v>0.0</v>
      </c>
      <c r="N193" s="21">
        <v>0.0</v>
      </c>
      <c r="O193" s="21">
        <v>0.0</v>
      </c>
      <c r="P193" s="21">
        <v>0.0</v>
      </c>
      <c r="Q193" s="21">
        <v>220.0</v>
      </c>
    </row>
    <row r="194">
      <c r="B194" s="20">
        <v>46258.0</v>
      </c>
      <c r="C194" s="21">
        <v>60.0</v>
      </c>
      <c r="D194" s="28">
        <f t="shared" ref="D194:G194" si="375">0</f>
        <v>0</v>
      </c>
      <c r="E194" s="28">
        <f t="shared" si="375"/>
        <v>0</v>
      </c>
      <c r="F194" s="28">
        <f t="shared" si="375"/>
        <v>0</v>
      </c>
      <c r="G194" s="28">
        <f t="shared" si="375"/>
        <v>0</v>
      </c>
      <c r="H194" s="28">
        <f>6</f>
        <v>6</v>
      </c>
      <c r="I194" s="28">
        <f t="shared" ref="I194:P194" si="376">0</f>
        <v>0</v>
      </c>
      <c r="J194" s="28">
        <f t="shared" si="376"/>
        <v>0</v>
      </c>
      <c r="K194" s="28">
        <f t="shared" si="376"/>
        <v>0</v>
      </c>
      <c r="L194" s="28">
        <f t="shared" si="376"/>
        <v>0</v>
      </c>
      <c r="M194" s="28">
        <f t="shared" si="376"/>
        <v>0</v>
      </c>
      <c r="N194" s="28">
        <f t="shared" si="376"/>
        <v>0</v>
      </c>
      <c r="O194" s="28">
        <f t="shared" si="376"/>
        <v>0</v>
      </c>
      <c r="P194" s="28">
        <f t="shared" si="376"/>
        <v>0</v>
      </c>
      <c r="Q194" s="28">
        <f>54</f>
        <v>54</v>
      </c>
    </row>
    <row r="195">
      <c r="B195" s="20">
        <v>46259.0</v>
      </c>
      <c r="C195" s="21">
        <v>60.0</v>
      </c>
      <c r="D195" s="28">
        <f t="shared" ref="D195:F195" si="377">0</f>
        <v>0</v>
      </c>
      <c r="E195" s="28">
        <f t="shared" si="377"/>
        <v>0</v>
      </c>
      <c r="F195" s="28">
        <f t="shared" si="377"/>
        <v>0</v>
      </c>
      <c r="G195" s="28">
        <f>60</f>
        <v>60</v>
      </c>
      <c r="H195" s="28">
        <f t="shared" ref="H195:Q195" si="378">0</f>
        <v>0</v>
      </c>
      <c r="I195" s="28">
        <f t="shared" si="378"/>
        <v>0</v>
      </c>
      <c r="J195" s="28">
        <f t="shared" si="378"/>
        <v>0</v>
      </c>
      <c r="K195" s="28">
        <f t="shared" si="378"/>
        <v>0</v>
      </c>
      <c r="L195" s="28">
        <f t="shared" si="378"/>
        <v>0</v>
      </c>
      <c r="M195" s="28">
        <f t="shared" si="378"/>
        <v>0</v>
      </c>
      <c r="N195" s="28">
        <f t="shared" si="378"/>
        <v>0</v>
      </c>
      <c r="O195" s="28">
        <f t="shared" si="378"/>
        <v>0</v>
      </c>
      <c r="P195" s="28">
        <f t="shared" si="378"/>
        <v>0</v>
      </c>
      <c r="Q195" s="28">
        <f t="shared" si="378"/>
        <v>0</v>
      </c>
    </row>
    <row r="196">
      <c r="B196" s="20">
        <v>46259.0</v>
      </c>
      <c r="C196" s="21">
        <v>100.0</v>
      </c>
      <c r="D196" s="28">
        <f t="shared" ref="D196:G196" si="379">0</f>
        <v>0</v>
      </c>
      <c r="E196" s="28">
        <f t="shared" si="379"/>
        <v>0</v>
      </c>
      <c r="F196" s="28">
        <f t="shared" si="379"/>
        <v>0</v>
      </c>
      <c r="G196" s="28">
        <f t="shared" si="379"/>
        <v>0</v>
      </c>
      <c r="H196" s="28">
        <f>90</f>
        <v>90</v>
      </c>
      <c r="I196" s="28">
        <f t="shared" ref="I196:P196" si="380">0</f>
        <v>0</v>
      </c>
      <c r="J196" s="28">
        <f t="shared" si="380"/>
        <v>0</v>
      </c>
      <c r="K196" s="28">
        <f t="shared" si="380"/>
        <v>0</v>
      </c>
      <c r="L196" s="28">
        <f t="shared" si="380"/>
        <v>0</v>
      </c>
      <c r="M196" s="28">
        <f t="shared" si="380"/>
        <v>0</v>
      </c>
      <c r="N196" s="28">
        <f t="shared" si="380"/>
        <v>0</v>
      </c>
      <c r="O196" s="28">
        <f t="shared" si="380"/>
        <v>0</v>
      </c>
      <c r="P196" s="28">
        <f t="shared" si="380"/>
        <v>0</v>
      </c>
      <c r="Q196" s="28">
        <f>10</f>
        <v>10</v>
      </c>
    </row>
    <row r="197">
      <c r="B197" s="20">
        <v>46260.0</v>
      </c>
      <c r="C197" s="21">
        <v>80.0</v>
      </c>
      <c r="D197" s="28">
        <f t="shared" ref="D197:G197" si="381">0</f>
        <v>0</v>
      </c>
      <c r="E197" s="28">
        <f t="shared" si="381"/>
        <v>0</v>
      </c>
      <c r="F197" s="28">
        <f t="shared" si="381"/>
        <v>0</v>
      </c>
      <c r="G197" s="28">
        <f t="shared" si="381"/>
        <v>0</v>
      </c>
      <c r="H197" s="28">
        <f>80</f>
        <v>80</v>
      </c>
      <c r="I197" s="28">
        <f t="shared" ref="I197:Q197" si="382">0</f>
        <v>0</v>
      </c>
      <c r="J197" s="28">
        <f t="shared" si="382"/>
        <v>0</v>
      </c>
      <c r="K197" s="28">
        <f t="shared" si="382"/>
        <v>0</v>
      </c>
      <c r="L197" s="28">
        <f t="shared" si="382"/>
        <v>0</v>
      </c>
      <c r="M197" s="28">
        <f t="shared" si="382"/>
        <v>0</v>
      </c>
      <c r="N197" s="28">
        <f t="shared" si="382"/>
        <v>0</v>
      </c>
      <c r="O197" s="28">
        <f t="shared" si="382"/>
        <v>0</v>
      </c>
      <c r="P197" s="28">
        <f t="shared" si="382"/>
        <v>0</v>
      </c>
      <c r="Q197" s="28">
        <f t="shared" si="382"/>
        <v>0</v>
      </c>
    </row>
    <row r="198">
      <c r="B198" s="20">
        <v>46260.0</v>
      </c>
      <c r="C198" s="21">
        <v>60.0</v>
      </c>
      <c r="D198" s="28">
        <f>15</f>
        <v>15</v>
      </c>
      <c r="E198" s="28">
        <f t="shared" ref="E198:H198" si="383">0</f>
        <v>0</v>
      </c>
      <c r="F198" s="28">
        <f t="shared" si="383"/>
        <v>0</v>
      </c>
      <c r="G198" s="28">
        <f t="shared" si="383"/>
        <v>0</v>
      </c>
      <c r="H198" s="28">
        <f t="shared" si="383"/>
        <v>0</v>
      </c>
      <c r="I198" s="28">
        <f>12</f>
        <v>12</v>
      </c>
      <c r="J198" s="28">
        <f>30</f>
        <v>30</v>
      </c>
      <c r="K198" s="28">
        <f t="shared" ref="K198:P198" si="384">0</f>
        <v>0</v>
      </c>
      <c r="L198" s="28">
        <f t="shared" si="384"/>
        <v>0</v>
      </c>
      <c r="M198" s="28">
        <f t="shared" si="384"/>
        <v>0</v>
      </c>
      <c r="N198" s="28">
        <f t="shared" si="384"/>
        <v>0</v>
      </c>
      <c r="O198" s="28">
        <f t="shared" si="384"/>
        <v>0</v>
      </c>
      <c r="P198" s="28">
        <f t="shared" si="384"/>
        <v>0</v>
      </c>
      <c r="Q198" s="28">
        <f>3</f>
        <v>3</v>
      </c>
    </row>
    <row r="199">
      <c r="B199" s="20">
        <v>46260.0</v>
      </c>
      <c r="C199" s="21">
        <v>80.0</v>
      </c>
      <c r="D199" s="28">
        <f t="shared" ref="D199:G199" si="385">0</f>
        <v>0</v>
      </c>
      <c r="E199" s="28">
        <f t="shared" si="385"/>
        <v>0</v>
      </c>
      <c r="F199" s="28">
        <f t="shared" si="385"/>
        <v>0</v>
      </c>
      <c r="G199" s="28">
        <f t="shared" si="385"/>
        <v>0</v>
      </c>
      <c r="H199" s="28">
        <f>80</f>
        <v>80</v>
      </c>
      <c r="I199" s="28">
        <f t="shared" ref="I199:Q199" si="386">0</f>
        <v>0</v>
      </c>
      <c r="J199" s="28">
        <f t="shared" si="386"/>
        <v>0</v>
      </c>
      <c r="K199" s="28">
        <f t="shared" si="386"/>
        <v>0</v>
      </c>
      <c r="L199" s="28">
        <f t="shared" si="386"/>
        <v>0</v>
      </c>
      <c r="M199" s="28">
        <f t="shared" si="386"/>
        <v>0</v>
      </c>
      <c r="N199" s="28">
        <f t="shared" si="386"/>
        <v>0</v>
      </c>
      <c r="O199" s="28">
        <f t="shared" si="386"/>
        <v>0</v>
      </c>
      <c r="P199" s="28">
        <f t="shared" si="386"/>
        <v>0</v>
      </c>
      <c r="Q199" s="28">
        <f t="shared" si="386"/>
        <v>0</v>
      </c>
    </row>
    <row r="200">
      <c r="B200" s="20">
        <v>46261.0</v>
      </c>
      <c r="C200" s="21">
        <v>280.0</v>
      </c>
      <c r="D200" s="28">
        <f>224</f>
        <v>224</v>
      </c>
      <c r="E200" s="28">
        <f>56</f>
        <v>56</v>
      </c>
      <c r="F200" s="28">
        <f t="shared" ref="F200:Q200" si="387">0</f>
        <v>0</v>
      </c>
      <c r="G200" s="28">
        <f t="shared" si="387"/>
        <v>0</v>
      </c>
      <c r="H200" s="28">
        <f t="shared" si="387"/>
        <v>0</v>
      </c>
      <c r="I200" s="28">
        <f t="shared" si="387"/>
        <v>0</v>
      </c>
      <c r="J200" s="28">
        <f t="shared" si="387"/>
        <v>0</v>
      </c>
      <c r="K200" s="28">
        <f t="shared" si="387"/>
        <v>0</v>
      </c>
      <c r="L200" s="28">
        <f t="shared" si="387"/>
        <v>0</v>
      </c>
      <c r="M200" s="28">
        <f t="shared" si="387"/>
        <v>0</v>
      </c>
      <c r="N200" s="28">
        <f t="shared" si="387"/>
        <v>0</v>
      </c>
      <c r="O200" s="28">
        <f t="shared" si="387"/>
        <v>0</v>
      </c>
      <c r="P200" s="28">
        <f t="shared" si="387"/>
        <v>0</v>
      </c>
      <c r="Q200" s="28">
        <f t="shared" si="387"/>
        <v>0</v>
      </c>
    </row>
    <row r="201">
      <c r="B201" s="20">
        <v>46261.0</v>
      </c>
      <c r="C201" s="21">
        <v>200.0</v>
      </c>
      <c r="D201" s="28">
        <f>160</f>
        <v>160</v>
      </c>
      <c r="E201" s="28">
        <f>20</f>
        <v>20</v>
      </c>
      <c r="F201" s="28">
        <f>10</f>
        <v>10</v>
      </c>
      <c r="G201" s="28">
        <f t="shared" ref="G201:P201" si="388">0</f>
        <v>0</v>
      </c>
      <c r="H201" s="28">
        <f t="shared" si="388"/>
        <v>0</v>
      </c>
      <c r="I201" s="28">
        <f t="shared" si="388"/>
        <v>0</v>
      </c>
      <c r="J201" s="28">
        <f t="shared" si="388"/>
        <v>0</v>
      </c>
      <c r="K201" s="28">
        <f t="shared" si="388"/>
        <v>0</v>
      </c>
      <c r="L201" s="28">
        <f t="shared" si="388"/>
        <v>0</v>
      </c>
      <c r="M201" s="28">
        <f t="shared" si="388"/>
        <v>0</v>
      </c>
      <c r="N201" s="28">
        <f t="shared" si="388"/>
        <v>0</v>
      </c>
      <c r="O201" s="28">
        <f t="shared" si="388"/>
        <v>0</v>
      </c>
      <c r="P201" s="28">
        <f t="shared" si="388"/>
        <v>0</v>
      </c>
      <c r="Q201" s="28">
        <f>10</f>
        <v>10</v>
      </c>
    </row>
    <row r="202">
      <c r="B202" s="20">
        <v>46261.0</v>
      </c>
      <c r="C202" s="21">
        <v>80.0</v>
      </c>
      <c r="D202" s="28">
        <f t="shared" ref="D202:P202" si="389">0</f>
        <v>0</v>
      </c>
      <c r="E202" s="28">
        <f t="shared" si="389"/>
        <v>0</v>
      </c>
      <c r="F202" s="28">
        <f t="shared" si="389"/>
        <v>0</v>
      </c>
      <c r="G202" s="28">
        <f t="shared" si="389"/>
        <v>0</v>
      </c>
      <c r="H202" s="28">
        <f t="shared" si="389"/>
        <v>0</v>
      </c>
      <c r="I202" s="28">
        <f t="shared" si="389"/>
        <v>0</v>
      </c>
      <c r="J202" s="28">
        <f t="shared" si="389"/>
        <v>0</v>
      </c>
      <c r="K202" s="28">
        <f t="shared" si="389"/>
        <v>0</v>
      </c>
      <c r="L202" s="28">
        <f t="shared" si="389"/>
        <v>0</v>
      </c>
      <c r="M202" s="28">
        <f t="shared" si="389"/>
        <v>0</v>
      </c>
      <c r="N202" s="28">
        <f t="shared" si="389"/>
        <v>0</v>
      </c>
      <c r="O202" s="28">
        <f t="shared" si="389"/>
        <v>0</v>
      </c>
      <c r="P202" s="28">
        <f t="shared" si="389"/>
        <v>0</v>
      </c>
      <c r="Q202" s="28">
        <f>80</f>
        <v>80</v>
      </c>
    </row>
    <row r="203">
      <c r="B203" s="20">
        <v>46261.0</v>
      </c>
      <c r="C203" s="21">
        <v>480.0</v>
      </c>
      <c r="D203" s="28">
        <f>384</f>
        <v>384</v>
      </c>
      <c r="E203" s="28">
        <f>24</f>
        <v>24</v>
      </c>
      <c r="F203" s="28">
        <f t="shared" ref="F203:I203" si="390">0</f>
        <v>0</v>
      </c>
      <c r="G203" s="28">
        <f t="shared" si="390"/>
        <v>0</v>
      </c>
      <c r="H203" s="28">
        <f t="shared" si="390"/>
        <v>0</v>
      </c>
      <c r="I203" s="28">
        <f t="shared" si="390"/>
        <v>0</v>
      </c>
      <c r="J203" s="28">
        <f>72</f>
        <v>72</v>
      </c>
      <c r="K203" s="28">
        <f t="shared" ref="K203:Q203" si="391">0</f>
        <v>0</v>
      </c>
      <c r="L203" s="28">
        <f t="shared" si="391"/>
        <v>0</v>
      </c>
      <c r="M203" s="28">
        <f t="shared" si="391"/>
        <v>0</v>
      </c>
      <c r="N203" s="28">
        <f t="shared" si="391"/>
        <v>0</v>
      </c>
      <c r="O203" s="28">
        <f t="shared" si="391"/>
        <v>0</v>
      </c>
      <c r="P203" s="28">
        <f t="shared" si="391"/>
        <v>0</v>
      </c>
      <c r="Q203" s="28">
        <f t="shared" si="391"/>
        <v>0</v>
      </c>
    </row>
    <row r="204">
      <c r="B204" s="20">
        <v>46262.0</v>
      </c>
      <c r="C204" s="21">
        <v>140.0</v>
      </c>
      <c r="D204" s="28">
        <f t="shared" ref="D204:F204" si="392">0</f>
        <v>0</v>
      </c>
      <c r="E204" s="28">
        <f t="shared" si="392"/>
        <v>0</v>
      </c>
      <c r="F204" s="28">
        <f t="shared" si="392"/>
        <v>0</v>
      </c>
      <c r="G204" s="28">
        <f>70</f>
        <v>70</v>
      </c>
      <c r="H204" s="28">
        <f t="shared" ref="H204:I204" si="393">0</f>
        <v>0</v>
      </c>
      <c r="I204" s="28">
        <f t="shared" si="393"/>
        <v>0</v>
      </c>
      <c r="J204" s="28">
        <f>56</f>
        <v>56</v>
      </c>
      <c r="K204" s="28">
        <f t="shared" ref="K204:P204" si="394">0</f>
        <v>0</v>
      </c>
      <c r="L204" s="28">
        <f t="shared" si="394"/>
        <v>0</v>
      </c>
      <c r="M204" s="28">
        <f t="shared" si="394"/>
        <v>0</v>
      </c>
      <c r="N204" s="28">
        <f t="shared" si="394"/>
        <v>0</v>
      </c>
      <c r="O204" s="28">
        <f t="shared" si="394"/>
        <v>0</v>
      </c>
      <c r="P204" s="28">
        <f t="shared" si="394"/>
        <v>0</v>
      </c>
      <c r="Q204" s="28">
        <f>14</f>
        <v>14</v>
      </c>
    </row>
    <row r="205">
      <c r="B205" s="20">
        <v>46262.0</v>
      </c>
      <c r="C205" s="21">
        <v>200.0</v>
      </c>
      <c r="D205" s="28">
        <f>20</f>
        <v>20</v>
      </c>
      <c r="E205" s="28">
        <f t="shared" ref="E205:G205" si="395">0</f>
        <v>0</v>
      </c>
      <c r="F205" s="28">
        <f t="shared" si="395"/>
        <v>0</v>
      </c>
      <c r="G205" s="28">
        <f t="shared" si="395"/>
        <v>0</v>
      </c>
      <c r="H205" s="28">
        <f t="shared" ref="H205:I205" si="396">20</f>
        <v>20</v>
      </c>
      <c r="I205" s="28">
        <f t="shared" si="396"/>
        <v>20</v>
      </c>
      <c r="J205" s="28">
        <f>100</f>
        <v>100</v>
      </c>
      <c r="K205" s="28">
        <f t="shared" ref="K205:K207" si="401">0</f>
        <v>0</v>
      </c>
      <c r="L205" s="28">
        <f>20</f>
        <v>20</v>
      </c>
      <c r="M205" s="28">
        <f t="shared" ref="M205:N205" si="397">0</f>
        <v>0</v>
      </c>
      <c r="N205" s="28">
        <f t="shared" si="397"/>
        <v>0</v>
      </c>
      <c r="O205" s="28">
        <f>20</f>
        <v>20</v>
      </c>
      <c r="P205" s="28">
        <f t="shared" ref="P205:Q205" si="398">0</f>
        <v>0</v>
      </c>
      <c r="Q205" s="28">
        <f t="shared" si="398"/>
        <v>0</v>
      </c>
    </row>
    <row r="206">
      <c r="B206" s="20">
        <v>46262.0</v>
      </c>
      <c r="C206" s="21">
        <v>140.0</v>
      </c>
      <c r="D206" s="28">
        <f>14</f>
        <v>14</v>
      </c>
      <c r="E206" s="28">
        <f t="shared" ref="E206:F206" si="399">7</f>
        <v>7</v>
      </c>
      <c r="F206" s="28">
        <f t="shared" si="399"/>
        <v>7</v>
      </c>
      <c r="G206" s="28">
        <f>0</f>
        <v>0</v>
      </c>
      <c r="H206" s="28">
        <f t="shared" ref="H206:I206" si="400">42</f>
        <v>42</v>
      </c>
      <c r="I206" s="28">
        <f t="shared" si="400"/>
        <v>42</v>
      </c>
      <c r="J206" s="28">
        <f>28</f>
        <v>28</v>
      </c>
      <c r="K206" s="28">
        <f t="shared" si="401"/>
        <v>0</v>
      </c>
      <c r="L206" s="28">
        <f t="shared" ref="L206:Q206" si="402">0</f>
        <v>0</v>
      </c>
      <c r="M206" s="28">
        <f t="shared" si="402"/>
        <v>0</v>
      </c>
      <c r="N206" s="28">
        <f t="shared" si="402"/>
        <v>0</v>
      </c>
      <c r="O206" s="28">
        <f t="shared" si="402"/>
        <v>0</v>
      </c>
      <c r="P206" s="28">
        <f t="shared" si="402"/>
        <v>0</v>
      </c>
      <c r="Q206" s="28">
        <f t="shared" si="402"/>
        <v>0</v>
      </c>
    </row>
    <row r="207">
      <c r="B207" s="20">
        <v>46262.0</v>
      </c>
      <c r="C207" s="21">
        <v>120.0</v>
      </c>
      <c r="D207" s="28">
        <f t="shared" ref="D207:I207" si="403">0</f>
        <v>0</v>
      </c>
      <c r="E207" s="28">
        <f t="shared" si="403"/>
        <v>0</v>
      </c>
      <c r="F207" s="28">
        <f t="shared" si="403"/>
        <v>0</v>
      </c>
      <c r="G207" s="28">
        <f t="shared" si="403"/>
        <v>0</v>
      </c>
      <c r="H207" s="28">
        <f t="shared" si="403"/>
        <v>0</v>
      </c>
      <c r="I207" s="28">
        <f t="shared" si="403"/>
        <v>0</v>
      </c>
      <c r="J207" s="28">
        <f>120</f>
        <v>120</v>
      </c>
      <c r="K207" s="28">
        <f t="shared" si="401"/>
        <v>0</v>
      </c>
      <c r="L207" s="28">
        <f t="shared" ref="L207:Q207" si="404">0</f>
        <v>0</v>
      </c>
      <c r="M207" s="28">
        <f t="shared" si="404"/>
        <v>0</v>
      </c>
      <c r="N207" s="28">
        <f t="shared" si="404"/>
        <v>0</v>
      </c>
      <c r="O207" s="28">
        <f t="shared" si="404"/>
        <v>0</v>
      </c>
      <c r="P207" s="28">
        <f t="shared" si="404"/>
        <v>0</v>
      </c>
      <c r="Q207" s="28">
        <f t="shared" si="404"/>
        <v>0</v>
      </c>
    </row>
    <row r="208">
      <c r="B208" s="20">
        <v>46262.0</v>
      </c>
      <c r="C208" s="21">
        <v>180.0</v>
      </c>
      <c r="D208" s="28">
        <f>180</f>
        <v>180</v>
      </c>
      <c r="E208" s="28">
        <f t="shared" ref="E208:Q208" si="405">0</f>
        <v>0</v>
      </c>
      <c r="F208" s="28">
        <f t="shared" si="405"/>
        <v>0</v>
      </c>
      <c r="G208" s="28">
        <f t="shared" si="405"/>
        <v>0</v>
      </c>
      <c r="H208" s="28">
        <f t="shared" si="405"/>
        <v>0</v>
      </c>
      <c r="I208" s="28">
        <f t="shared" si="405"/>
        <v>0</v>
      </c>
      <c r="J208" s="28">
        <f t="shared" si="405"/>
        <v>0</v>
      </c>
      <c r="K208" s="28">
        <f t="shared" si="405"/>
        <v>0</v>
      </c>
      <c r="L208" s="28">
        <f t="shared" si="405"/>
        <v>0</v>
      </c>
      <c r="M208" s="28">
        <f t="shared" si="405"/>
        <v>0</v>
      </c>
      <c r="N208" s="28">
        <f t="shared" si="405"/>
        <v>0</v>
      </c>
      <c r="O208" s="28">
        <f t="shared" si="405"/>
        <v>0</v>
      </c>
      <c r="P208" s="28">
        <f t="shared" si="405"/>
        <v>0</v>
      </c>
      <c r="Q208" s="28">
        <f t="shared" si="405"/>
        <v>0</v>
      </c>
    </row>
    <row r="209">
      <c r="B209" s="20">
        <v>46263.0</v>
      </c>
      <c r="C209" s="21">
        <v>60.0</v>
      </c>
      <c r="D209" s="28">
        <f t="shared" ref="D209:F209" si="406">0</f>
        <v>0</v>
      </c>
      <c r="E209" s="28">
        <f t="shared" si="406"/>
        <v>0</v>
      </c>
      <c r="F209" s="28">
        <f t="shared" si="406"/>
        <v>0</v>
      </c>
      <c r="G209" s="28">
        <f t="shared" ref="G209:H209" si="407">12</f>
        <v>12</v>
      </c>
      <c r="H209" s="28">
        <f t="shared" si="407"/>
        <v>12</v>
      </c>
      <c r="I209" s="28">
        <f t="shared" ref="I209:N209" si="408">0</f>
        <v>0</v>
      </c>
      <c r="J209" s="28">
        <f t="shared" si="408"/>
        <v>0</v>
      </c>
      <c r="K209" s="28">
        <f t="shared" si="408"/>
        <v>0</v>
      </c>
      <c r="L209" s="28">
        <f t="shared" si="408"/>
        <v>0</v>
      </c>
      <c r="M209" s="28">
        <f t="shared" si="408"/>
        <v>0</v>
      </c>
      <c r="N209" s="28">
        <f t="shared" si="408"/>
        <v>0</v>
      </c>
      <c r="O209" s="28">
        <f>12</f>
        <v>12</v>
      </c>
      <c r="P209" s="28">
        <f>0</f>
        <v>0</v>
      </c>
      <c r="Q209" s="28">
        <f>24</f>
        <v>24</v>
      </c>
    </row>
    <row r="210">
      <c r="B210" s="20">
        <v>46263.0</v>
      </c>
      <c r="C210" s="21">
        <v>140.0</v>
      </c>
      <c r="D210" s="28">
        <f>112</f>
        <v>112</v>
      </c>
      <c r="E210" s="28">
        <f t="shared" ref="E210:H210" si="409">0</f>
        <v>0</v>
      </c>
      <c r="F210" s="28">
        <f t="shared" si="409"/>
        <v>0</v>
      </c>
      <c r="G210" s="28">
        <f t="shared" si="409"/>
        <v>0</v>
      </c>
      <c r="H210" s="28">
        <f t="shared" si="409"/>
        <v>0</v>
      </c>
      <c r="I210" s="28">
        <f>14</f>
        <v>14</v>
      </c>
      <c r="J210" s="28">
        <f t="shared" ref="J210:P210" si="410">0</f>
        <v>0</v>
      </c>
      <c r="K210" s="28">
        <f t="shared" si="410"/>
        <v>0</v>
      </c>
      <c r="L210" s="28">
        <f t="shared" si="410"/>
        <v>0</v>
      </c>
      <c r="M210" s="28">
        <f t="shared" si="410"/>
        <v>0</v>
      </c>
      <c r="N210" s="28">
        <f t="shared" si="410"/>
        <v>0</v>
      </c>
      <c r="O210" s="28">
        <f t="shared" si="410"/>
        <v>0</v>
      </c>
      <c r="P210" s="28">
        <f t="shared" si="410"/>
        <v>0</v>
      </c>
      <c r="Q210" s="28">
        <f>14</f>
        <v>14</v>
      </c>
    </row>
    <row r="211">
      <c r="B211" s="20">
        <v>46263.0</v>
      </c>
      <c r="C211" s="21">
        <v>180.0</v>
      </c>
      <c r="D211" s="28">
        <f>36</f>
        <v>36</v>
      </c>
      <c r="E211" s="28">
        <f t="shared" ref="E211:E213" si="413">0</f>
        <v>0</v>
      </c>
      <c r="F211" s="28">
        <f>54</f>
        <v>54</v>
      </c>
      <c r="G211" s="28">
        <f t="shared" ref="G211:H211" si="411">0</f>
        <v>0</v>
      </c>
      <c r="H211" s="28">
        <f t="shared" si="411"/>
        <v>0</v>
      </c>
      <c r="I211" s="28">
        <f>18</f>
        <v>18</v>
      </c>
      <c r="J211" s="28">
        <f t="shared" ref="J211:P211" si="412">0</f>
        <v>0</v>
      </c>
      <c r="K211" s="28">
        <f t="shared" si="412"/>
        <v>0</v>
      </c>
      <c r="L211" s="28">
        <f t="shared" si="412"/>
        <v>0</v>
      </c>
      <c r="M211" s="28">
        <f t="shared" si="412"/>
        <v>0</v>
      </c>
      <c r="N211" s="28">
        <f t="shared" si="412"/>
        <v>0</v>
      </c>
      <c r="O211" s="28">
        <f t="shared" si="412"/>
        <v>0</v>
      </c>
      <c r="P211" s="28">
        <f t="shared" si="412"/>
        <v>0</v>
      </c>
      <c r="Q211" s="28">
        <f>72</f>
        <v>72</v>
      </c>
    </row>
    <row r="212">
      <c r="B212" s="20">
        <v>46264.0</v>
      </c>
      <c r="C212" s="21">
        <v>140.0</v>
      </c>
      <c r="D212" s="28">
        <f>28</f>
        <v>28</v>
      </c>
      <c r="E212" s="28">
        <f t="shared" si="413"/>
        <v>0</v>
      </c>
      <c r="F212" s="28">
        <f t="shared" ref="F212:G212" si="414">0</f>
        <v>0</v>
      </c>
      <c r="G212" s="28">
        <f t="shared" si="414"/>
        <v>0</v>
      </c>
      <c r="H212" s="28">
        <f>42</f>
        <v>42</v>
      </c>
      <c r="I212" s="28">
        <f t="shared" ref="I212:I213" si="418">0</f>
        <v>0</v>
      </c>
      <c r="J212" s="28">
        <f>42</f>
        <v>42</v>
      </c>
      <c r="K212" s="28">
        <f t="shared" ref="K212:N212" si="415">0</f>
        <v>0</v>
      </c>
      <c r="L212" s="28">
        <f t="shared" si="415"/>
        <v>0</v>
      </c>
      <c r="M212" s="28">
        <f t="shared" si="415"/>
        <v>0</v>
      </c>
      <c r="N212" s="28">
        <f t="shared" si="415"/>
        <v>0</v>
      </c>
      <c r="O212" s="28">
        <f>28</f>
        <v>28</v>
      </c>
      <c r="P212" s="28">
        <f t="shared" ref="P212:Q212" si="416">0</f>
        <v>0</v>
      </c>
      <c r="Q212" s="28">
        <f t="shared" si="416"/>
        <v>0</v>
      </c>
    </row>
    <row r="213">
      <c r="B213" s="20">
        <v>46264.0</v>
      </c>
      <c r="C213" s="21">
        <v>200.0</v>
      </c>
      <c r="D213" s="28">
        <f>60</f>
        <v>60</v>
      </c>
      <c r="E213" s="28">
        <f t="shared" si="413"/>
        <v>0</v>
      </c>
      <c r="F213" s="28">
        <f t="shared" ref="F213:G213" si="417">0</f>
        <v>0</v>
      </c>
      <c r="G213" s="28">
        <f t="shared" si="417"/>
        <v>0</v>
      </c>
      <c r="H213" s="28">
        <f>40</f>
        <v>40</v>
      </c>
      <c r="I213" s="28">
        <f t="shared" si="418"/>
        <v>0</v>
      </c>
      <c r="J213" s="28">
        <f>40</f>
        <v>40</v>
      </c>
      <c r="K213" s="28">
        <f>0</f>
        <v>0</v>
      </c>
      <c r="L213" s="28">
        <f>20</f>
        <v>20</v>
      </c>
      <c r="M213" s="28">
        <f t="shared" ref="M213:N213" si="419">0</f>
        <v>0</v>
      </c>
      <c r="N213" s="28">
        <f t="shared" si="419"/>
        <v>0</v>
      </c>
      <c r="O213" s="28">
        <f>40</f>
        <v>40</v>
      </c>
      <c r="P213" s="28">
        <f t="shared" ref="P213:Q213" si="420">0</f>
        <v>0</v>
      </c>
      <c r="Q213" s="28">
        <f t="shared" si="420"/>
        <v>0</v>
      </c>
    </row>
    <row r="214">
      <c r="B214" s="20">
        <v>46264.0</v>
      </c>
      <c r="C214" s="21">
        <v>60.0</v>
      </c>
      <c r="D214" s="21">
        <v>0.0</v>
      </c>
      <c r="E214" s="21">
        <v>0.0</v>
      </c>
      <c r="F214" s="21">
        <v>0.0</v>
      </c>
      <c r="G214" s="21">
        <v>0.0</v>
      </c>
      <c r="H214" s="21">
        <v>0.0</v>
      </c>
      <c r="I214" s="21">
        <v>0.0</v>
      </c>
      <c r="J214" s="21">
        <v>0.0</v>
      </c>
      <c r="K214" s="21">
        <v>0.0</v>
      </c>
      <c r="L214" s="21">
        <v>0.0</v>
      </c>
      <c r="M214" s="21">
        <v>0.0</v>
      </c>
      <c r="N214" s="21">
        <v>0.0</v>
      </c>
      <c r="O214" s="21">
        <v>0.0</v>
      </c>
      <c r="P214" s="21">
        <v>0.0</v>
      </c>
      <c r="Q214" s="21">
        <v>60.0</v>
      </c>
    </row>
    <row r="215">
      <c r="B215" s="20">
        <v>46265.0</v>
      </c>
      <c r="C215" s="21">
        <v>60.0</v>
      </c>
      <c r="D215" s="28">
        <f>54</f>
        <v>54</v>
      </c>
      <c r="E215" s="28">
        <f>0</f>
        <v>0</v>
      </c>
      <c r="F215" s="28">
        <f>3</f>
        <v>3</v>
      </c>
      <c r="G215" s="28">
        <f t="shared" ref="G215:I215" si="421">0</f>
        <v>0</v>
      </c>
      <c r="H215" s="28">
        <f t="shared" si="421"/>
        <v>0</v>
      </c>
      <c r="I215" s="28">
        <f t="shared" si="421"/>
        <v>0</v>
      </c>
      <c r="J215" s="28">
        <f>3</f>
        <v>3</v>
      </c>
      <c r="K215" s="28">
        <f t="shared" ref="K215:Q215" si="422">0</f>
        <v>0</v>
      </c>
      <c r="L215" s="28">
        <f t="shared" si="422"/>
        <v>0</v>
      </c>
      <c r="M215" s="28">
        <f t="shared" si="422"/>
        <v>0</v>
      </c>
      <c r="N215" s="28">
        <f t="shared" si="422"/>
        <v>0</v>
      </c>
      <c r="O215" s="28">
        <f t="shared" si="422"/>
        <v>0</v>
      </c>
      <c r="P215" s="28">
        <f t="shared" si="422"/>
        <v>0</v>
      </c>
      <c r="Q215" s="28">
        <f t="shared" si="422"/>
        <v>0</v>
      </c>
    </row>
    <row r="216">
      <c r="B216" s="20">
        <v>46265.0</v>
      </c>
      <c r="C216" s="21">
        <v>140.0</v>
      </c>
      <c r="D216" s="28">
        <f t="shared" ref="D216:G216" si="423">0</f>
        <v>0</v>
      </c>
      <c r="E216" s="28">
        <f t="shared" si="423"/>
        <v>0</v>
      </c>
      <c r="F216" s="28">
        <f t="shared" si="423"/>
        <v>0</v>
      </c>
      <c r="G216" s="28">
        <f t="shared" si="423"/>
        <v>0</v>
      </c>
      <c r="H216" s="28">
        <f>70</f>
        <v>70</v>
      </c>
      <c r="I216" s="28">
        <f t="shared" ref="I216:J216" si="424">0</f>
        <v>0</v>
      </c>
      <c r="J216" s="28">
        <f t="shared" si="424"/>
        <v>0</v>
      </c>
      <c r="K216" s="28">
        <f>70</f>
        <v>70</v>
      </c>
      <c r="L216" s="28">
        <f t="shared" ref="L216:Q216" si="425">0</f>
        <v>0</v>
      </c>
      <c r="M216" s="28">
        <f t="shared" si="425"/>
        <v>0</v>
      </c>
      <c r="N216" s="28">
        <f t="shared" si="425"/>
        <v>0</v>
      </c>
      <c r="O216" s="28">
        <f t="shared" si="425"/>
        <v>0</v>
      </c>
      <c r="P216" s="28">
        <f t="shared" si="425"/>
        <v>0</v>
      </c>
      <c r="Q216" s="28">
        <f t="shared" si="425"/>
        <v>0</v>
      </c>
    </row>
    <row r="217">
      <c r="B217" s="20">
        <v>46265.0</v>
      </c>
      <c r="C217" s="21">
        <v>240.0</v>
      </c>
      <c r="D217" s="28">
        <f t="shared" ref="D217:G217" si="426">0</f>
        <v>0</v>
      </c>
      <c r="E217" s="28">
        <f t="shared" si="426"/>
        <v>0</v>
      </c>
      <c r="F217" s="28">
        <f t="shared" si="426"/>
        <v>0</v>
      </c>
      <c r="G217" s="28">
        <f t="shared" si="426"/>
        <v>0</v>
      </c>
      <c r="H217" s="28">
        <f>48</f>
        <v>48</v>
      </c>
      <c r="I217" s="28">
        <f>0</f>
        <v>0</v>
      </c>
      <c r="J217" s="28">
        <f>192</f>
        <v>192</v>
      </c>
      <c r="K217" s="28">
        <f t="shared" ref="K217:Q217" si="427">0</f>
        <v>0</v>
      </c>
      <c r="L217" s="28">
        <f t="shared" si="427"/>
        <v>0</v>
      </c>
      <c r="M217" s="28">
        <f t="shared" si="427"/>
        <v>0</v>
      </c>
      <c r="N217" s="28">
        <f t="shared" si="427"/>
        <v>0</v>
      </c>
      <c r="O217" s="28">
        <f t="shared" si="427"/>
        <v>0</v>
      </c>
      <c r="P217" s="28">
        <f t="shared" si="427"/>
        <v>0</v>
      </c>
      <c r="Q217" s="28">
        <f t="shared" si="427"/>
        <v>0</v>
      </c>
    </row>
    <row r="218">
      <c r="B218" s="20">
        <v>46265.0</v>
      </c>
      <c r="C218" s="21">
        <v>380.0</v>
      </c>
      <c r="D218" s="28">
        <f t="shared" ref="D218:F218" si="428">0</f>
        <v>0</v>
      </c>
      <c r="E218" s="28">
        <f t="shared" si="428"/>
        <v>0</v>
      </c>
      <c r="F218" s="28">
        <f t="shared" si="428"/>
        <v>0</v>
      </c>
      <c r="G218" s="28">
        <f>76</f>
        <v>76</v>
      </c>
      <c r="H218" s="28">
        <f t="shared" ref="H218:I218" si="429">0</f>
        <v>0</v>
      </c>
      <c r="I218" s="28">
        <f t="shared" si="429"/>
        <v>0</v>
      </c>
      <c r="J218" s="28">
        <f>266</f>
        <v>266</v>
      </c>
      <c r="K218" s="28">
        <f t="shared" ref="K218:N218" si="430">0</f>
        <v>0</v>
      </c>
      <c r="L218" s="28">
        <f t="shared" si="430"/>
        <v>0</v>
      </c>
      <c r="M218" s="28">
        <f t="shared" si="430"/>
        <v>0</v>
      </c>
      <c r="N218" s="28">
        <f t="shared" si="430"/>
        <v>0</v>
      </c>
      <c r="O218" s="28">
        <f>38</f>
        <v>38</v>
      </c>
      <c r="P218" s="28">
        <f t="shared" ref="P218:Q218" si="431">0</f>
        <v>0</v>
      </c>
      <c r="Q218" s="28">
        <f t="shared" si="431"/>
        <v>0</v>
      </c>
    </row>
    <row r="219">
      <c r="B219" s="20">
        <v>46266.0</v>
      </c>
      <c r="C219" s="21">
        <v>60.0</v>
      </c>
      <c r="D219" s="28">
        <f>54</f>
        <v>54</v>
      </c>
      <c r="E219" s="28">
        <f t="shared" ref="E219:N219" si="432">0</f>
        <v>0</v>
      </c>
      <c r="F219" s="28">
        <f t="shared" si="432"/>
        <v>0</v>
      </c>
      <c r="G219" s="28">
        <f t="shared" si="432"/>
        <v>0</v>
      </c>
      <c r="H219" s="28">
        <f t="shared" si="432"/>
        <v>0</v>
      </c>
      <c r="I219" s="28">
        <f t="shared" si="432"/>
        <v>0</v>
      </c>
      <c r="J219" s="28">
        <f t="shared" si="432"/>
        <v>0</v>
      </c>
      <c r="K219" s="28">
        <f t="shared" si="432"/>
        <v>0</v>
      </c>
      <c r="L219" s="28">
        <f t="shared" si="432"/>
        <v>0</v>
      </c>
      <c r="M219" s="28">
        <f t="shared" si="432"/>
        <v>0</v>
      </c>
      <c r="N219" s="28">
        <f t="shared" si="432"/>
        <v>0</v>
      </c>
      <c r="O219" s="28">
        <f>6</f>
        <v>6</v>
      </c>
      <c r="P219" s="28">
        <f t="shared" ref="P219:Q219" si="433">0</f>
        <v>0</v>
      </c>
      <c r="Q219" s="28">
        <f t="shared" si="433"/>
        <v>0</v>
      </c>
    </row>
    <row r="220">
      <c r="B220" s="20">
        <v>46266.0</v>
      </c>
      <c r="C220" s="21">
        <v>120.0</v>
      </c>
      <c r="D220" s="28">
        <f t="shared" ref="D220:I220" si="434">0</f>
        <v>0</v>
      </c>
      <c r="E220" s="28">
        <f t="shared" si="434"/>
        <v>0</v>
      </c>
      <c r="F220" s="28">
        <f t="shared" si="434"/>
        <v>0</v>
      </c>
      <c r="G220" s="28">
        <f t="shared" si="434"/>
        <v>0</v>
      </c>
      <c r="H220" s="28">
        <f t="shared" si="434"/>
        <v>0</v>
      </c>
      <c r="I220" s="28">
        <f t="shared" si="434"/>
        <v>0</v>
      </c>
      <c r="J220" s="28">
        <f>96</f>
        <v>96</v>
      </c>
      <c r="K220" s="28">
        <f t="shared" ref="K220:P220" si="435">0</f>
        <v>0</v>
      </c>
      <c r="L220" s="28">
        <f t="shared" si="435"/>
        <v>0</v>
      </c>
      <c r="M220" s="28">
        <f t="shared" si="435"/>
        <v>0</v>
      </c>
      <c r="N220" s="28">
        <f t="shared" si="435"/>
        <v>0</v>
      </c>
      <c r="O220" s="28">
        <f t="shared" si="435"/>
        <v>0</v>
      </c>
      <c r="P220" s="28">
        <f t="shared" si="435"/>
        <v>0</v>
      </c>
      <c r="Q220" s="28">
        <f>24</f>
        <v>24</v>
      </c>
    </row>
    <row r="221">
      <c r="B221" s="20">
        <v>46248.0</v>
      </c>
      <c r="C221" s="21">
        <v>260.0</v>
      </c>
      <c r="D221" s="28">
        <f>130</f>
        <v>130</v>
      </c>
      <c r="E221" s="28">
        <f t="shared" ref="E221:F221" si="436">65</f>
        <v>65</v>
      </c>
      <c r="F221" s="28">
        <f t="shared" si="436"/>
        <v>65</v>
      </c>
      <c r="G221" s="28">
        <f t="shared" ref="G221:Q221" si="437">0</f>
        <v>0</v>
      </c>
      <c r="H221" s="28">
        <f t="shared" si="437"/>
        <v>0</v>
      </c>
      <c r="I221" s="28">
        <f t="shared" si="437"/>
        <v>0</v>
      </c>
      <c r="J221" s="28">
        <f t="shared" si="437"/>
        <v>0</v>
      </c>
      <c r="K221" s="28">
        <f t="shared" si="437"/>
        <v>0</v>
      </c>
      <c r="L221" s="28">
        <f t="shared" si="437"/>
        <v>0</v>
      </c>
      <c r="M221" s="28">
        <f t="shared" si="437"/>
        <v>0</v>
      </c>
      <c r="N221" s="28">
        <f t="shared" si="437"/>
        <v>0</v>
      </c>
      <c r="O221" s="28">
        <f t="shared" si="437"/>
        <v>0</v>
      </c>
      <c r="P221" s="28">
        <f t="shared" si="437"/>
        <v>0</v>
      </c>
      <c r="Q221" s="28">
        <f t="shared" si="437"/>
        <v>0</v>
      </c>
    </row>
    <row r="222">
      <c r="B222" s="20">
        <v>46248.0</v>
      </c>
      <c r="C222" s="21">
        <v>40.0</v>
      </c>
      <c r="D222" s="28">
        <f>0</f>
        <v>0</v>
      </c>
      <c r="E222" s="28">
        <f>4</f>
        <v>4</v>
      </c>
      <c r="F222" s="28">
        <f>12</f>
        <v>12</v>
      </c>
      <c r="G222" s="28">
        <f t="shared" ref="G222:I222" si="438">0</f>
        <v>0</v>
      </c>
      <c r="H222" s="28">
        <f t="shared" si="438"/>
        <v>0</v>
      </c>
      <c r="I222" s="28">
        <f t="shared" si="438"/>
        <v>0</v>
      </c>
      <c r="J222" s="28">
        <f>16</f>
        <v>16</v>
      </c>
      <c r="K222" s="28">
        <f t="shared" ref="K222:N222" si="439">0</f>
        <v>0</v>
      </c>
      <c r="L222" s="28">
        <f t="shared" si="439"/>
        <v>0</v>
      </c>
      <c r="M222" s="28">
        <f t="shared" si="439"/>
        <v>0</v>
      </c>
      <c r="N222" s="28">
        <f t="shared" si="439"/>
        <v>0</v>
      </c>
      <c r="O222" s="28">
        <f>8</f>
        <v>8</v>
      </c>
      <c r="P222" s="28">
        <f t="shared" ref="P222:Q222" si="440">0</f>
        <v>0</v>
      </c>
      <c r="Q222" s="28">
        <f t="shared" si="440"/>
        <v>0</v>
      </c>
    </row>
    <row r="223">
      <c r="B223" s="20">
        <v>46248.0</v>
      </c>
      <c r="C223" s="21">
        <v>100.0</v>
      </c>
      <c r="D223" s="28">
        <f>80</f>
        <v>80</v>
      </c>
      <c r="E223" s="28">
        <f>10</f>
        <v>10</v>
      </c>
      <c r="F223" s="28">
        <f t="shared" ref="F223:P223" si="441">0</f>
        <v>0</v>
      </c>
      <c r="G223" s="28">
        <f t="shared" si="441"/>
        <v>0</v>
      </c>
      <c r="H223" s="28">
        <f t="shared" si="441"/>
        <v>0</v>
      </c>
      <c r="I223" s="28">
        <f t="shared" si="441"/>
        <v>0</v>
      </c>
      <c r="J223" s="28">
        <f t="shared" si="441"/>
        <v>0</v>
      </c>
      <c r="K223" s="28">
        <f t="shared" si="441"/>
        <v>0</v>
      </c>
      <c r="L223" s="28">
        <f t="shared" si="441"/>
        <v>0</v>
      </c>
      <c r="M223" s="28">
        <f t="shared" si="441"/>
        <v>0</v>
      </c>
      <c r="N223" s="28">
        <f t="shared" si="441"/>
        <v>0</v>
      </c>
      <c r="O223" s="28">
        <f t="shared" si="441"/>
        <v>0</v>
      </c>
      <c r="P223" s="28">
        <f t="shared" si="441"/>
        <v>0</v>
      </c>
      <c r="Q223" s="28">
        <f>10</f>
        <v>10</v>
      </c>
    </row>
    <row r="224">
      <c r="B224" s="20">
        <v>46248.0</v>
      </c>
      <c r="C224" s="21">
        <v>660.0</v>
      </c>
      <c r="D224" s="28">
        <f t="shared" ref="D224:E224" si="442">0</f>
        <v>0</v>
      </c>
      <c r="E224" s="28">
        <f t="shared" si="442"/>
        <v>0</v>
      </c>
      <c r="F224" s="28">
        <f>660</f>
        <v>660</v>
      </c>
      <c r="G224" s="28">
        <f t="shared" ref="G224:Q224" si="443">0</f>
        <v>0</v>
      </c>
      <c r="H224" s="28">
        <f t="shared" si="443"/>
        <v>0</v>
      </c>
      <c r="I224" s="28">
        <f t="shared" si="443"/>
        <v>0</v>
      </c>
      <c r="J224" s="28">
        <f t="shared" si="443"/>
        <v>0</v>
      </c>
      <c r="K224" s="28">
        <f t="shared" si="443"/>
        <v>0</v>
      </c>
      <c r="L224" s="28">
        <f t="shared" si="443"/>
        <v>0</v>
      </c>
      <c r="M224" s="28">
        <f t="shared" si="443"/>
        <v>0</v>
      </c>
      <c r="N224" s="28">
        <f t="shared" si="443"/>
        <v>0</v>
      </c>
      <c r="O224" s="28">
        <f t="shared" si="443"/>
        <v>0</v>
      </c>
      <c r="P224" s="28">
        <f t="shared" si="443"/>
        <v>0</v>
      </c>
      <c r="Q224" s="28">
        <f t="shared" si="443"/>
        <v>0</v>
      </c>
    </row>
    <row r="225">
      <c r="B225" s="20">
        <v>46248.0</v>
      </c>
      <c r="C225" s="21">
        <v>1020.0</v>
      </c>
      <c r="D225" s="28">
        <f>51</f>
        <v>51</v>
      </c>
      <c r="E225" s="28">
        <f t="shared" ref="E225:I225" si="444">0</f>
        <v>0</v>
      </c>
      <c r="F225" s="28">
        <f t="shared" si="444"/>
        <v>0</v>
      </c>
      <c r="G225" s="28">
        <f t="shared" si="444"/>
        <v>0</v>
      </c>
      <c r="H225" s="28">
        <f t="shared" si="444"/>
        <v>0</v>
      </c>
      <c r="I225" s="28">
        <f t="shared" si="444"/>
        <v>0</v>
      </c>
      <c r="J225" s="28">
        <f>969</f>
        <v>969</v>
      </c>
      <c r="K225" s="28">
        <f t="shared" ref="K225:Q225" si="445">0</f>
        <v>0</v>
      </c>
      <c r="L225" s="28">
        <f t="shared" si="445"/>
        <v>0</v>
      </c>
      <c r="M225" s="28">
        <f t="shared" si="445"/>
        <v>0</v>
      </c>
      <c r="N225" s="28">
        <f t="shared" si="445"/>
        <v>0</v>
      </c>
      <c r="O225" s="28">
        <f t="shared" si="445"/>
        <v>0</v>
      </c>
      <c r="P225" s="28">
        <f t="shared" si="445"/>
        <v>0</v>
      </c>
      <c r="Q225" s="28">
        <f t="shared" si="445"/>
        <v>0</v>
      </c>
    </row>
    <row r="226">
      <c r="B226" s="20">
        <v>46248.0</v>
      </c>
      <c r="C226" s="21">
        <v>100.0</v>
      </c>
      <c r="D226" s="28">
        <f t="shared" ref="D226:G226" si="446">0</f>
        <v>0</v>
      </c>
      <c r="E226" s="28">
        <f t="shared" si="446"/>
        <v>0</v>
      </c>
      <c r="F226" s="28">
        <f t="shared" si="446"/>
        <v>0</v>
      </c>
      <c r="G226" s="28">
        <f t="shared" si="446"/>
        <v>0</v>
      </c>
      <c r="H226" s="28">
        <f>40</f>
        <v>40</v>
      </c>
      <c r="I226" s="28">
        <f t="shared" ref="I226:P226" si="447">0</f>
        <v>0</v>
      </c>
      <c r="J226" s="28">
        <f t="shared" si="447"/>
        <v>0</v>
      </c>
      <c r="K226" s="28">
        <f t="shared" si="447"/>
        <v>0</v>
      </c>
      <c r="L226" s="28">
        <f t="shared" si="447"/>
        <v>0</v>
      </c>
      <c r="M226" s="28">
        <f t="shared" si="447"/>
        <v>0</v>
      </c>
      <c r="N226" s="28">
        <f t="shared" si="447"/>
        <v>0</v>
      </c>
      <c r="O226" s="28">
        <f t="shared" si="447"/>
        <v>0</v>
      </c>
      <c r="P226" s="28">
        <f t="shared" si="447"/>
        <v>0</v>
      </c>
      <c r="Q226" s="28">
        <f>60</f>
        <v>60</v>
      </c>
    </row>
    <row r="227">
      <c r="B227" s="20">
        <v>46248.0</v>
      </c>
      <c r="C227" s="21">
        <v>80.0</v>
      </c>
      <c r="D227" s="28">
        <f>64</f>
        <v>64</v>
      </c>
      <c r="E227" s="28">
        <f>0</f>
        <v>0</v>
      </c>
      <c r="F227" s="28">
        <f>16</f>
        <v>16</v>
      </c>
      <c r="G227" s="28">
        <f t="shared" ref="G227:Q227" si="448">0</f>
        <v>0</v>
      </c>
      <c r="H227" s="28">
        <f t="shared" si="448"/>
        <v>0</v>
      </c>
      <c r="I227" s="28">
        <f t="shared" si="448"/>
        <v>0</v>
      </c>
      <c r="J227" s="28">
        <f t="shared" si="448"/>
        <v>0</v>
      </c>
      <c r="K227" s="28">
        <f t="shared" si="448"/>
        <v>0</v>
      </c>
      <c r="L227" s="28">
        <f t="shared" si="448"/>
        <v>0</v>
      </c>
      <c r="M227" s="28">
        <f t="shared" si="448"/>
        <v>0</v>
      </c>
      <c r="N227" s="28">
        <f t="shared" si="448"/>
        <v>0</v>
      </c>
      <c r="O227" s="28">
        <f t="shared" si="448"/>
        <v>0</v>
      </c>
      <c r="P227" s="28">
        <f t="shared" si="448"/>
        <v>0</v>
      </c>
      <c r="Q227" s="28">
        <f t="shared" si="448"/>
        <v>0</v>
      </c>
    </row>
    <row r="228">
      <c r="B228" s="20">
        <v>46266.0</v>
      </c>
      <c r="C228" s="21">
        <v>40.0</v>
      </c>
      <c r="D228" s="28">
        <f t="shared" ref="D228:E228" si="449">0</f>
        <v>0</v>
      </c>
      <c r="E228" s="28">
        <f t="shared" si="449"/>
        <v>0</v>
      </c>
      <c r="F228" s="28">
        <f>8</f>
        <v>8</v>
      </c>
      <c r="G228" s="28">
        <f t="shared" ref="G228:P228" si="450">0</f>
        <v>0</v>
      </c>
      <c r="H228" s="28">
        <f t="shared" si="450"/>
        <v>0</v>
      </c>
      <c r="I228" s="28">
        <f t="shared" si="450"/>
        <v>0</v>
      </c>
      <c r="J228" s="28">
        <f t="shared" si="450"/>
        <v>0</v>
      </c>
      <c r="K228" s="28">
        <f t="shared" si="450"/>
        <v>0</v>
      </c>
      <c r="L228" s="28">
        <f t="shared" si="450"/>
        <v>0</v>
      </c>
      <c r="M228" s="28">
        <f t="shared" si="450"/>
        <v>0</v>
      </c>
      <c r="N228" s="28">
        <f t="shared" si="450"/>
        <v>0</v>
      </c>
      <c r="O228" s="28">
        <f t="shared" si="450"/>
        <v>0</v>
      </c>
      <c r="P228" s="28">
        <f t="shared" si="450"/>
        <v>0</v>
      </c>
      <c r="Q228" s="28">
        <f>32</f>
        <v>32</v>
      </c>
    </row>
    <row r="229">
      <c r="B229" s="20">
        <v>46267.0</v>
      </c>
      <c r="C229" s="21">
        <v>20.0</v>
      </c>
      <c r="D229" s="28">
        <f t="shared" ref="D229:E229" si="451">0</f>
        <v>0</v>
      </c>
      <c r="E229" s="28">
        <f t="shared" si="451"/>
        <v>0</v>
      </c>
      <c r="F229" s="28">
        <f>4</f>
        <v>4</v>
      </c>
      <c r="G229" s="28">
        <f t="shared" ref="G229:P229" si="452">0</f>
        <v>0</v>
      </c>
      <c r="H229" s="28">
        <f t="shared" si="452"/>
        <v>0</v>
      </c>
      <c r="I229" s="28">
        <f t="shared" si="452"/>
        <v>0</v>
      </c>
      <c r="J229" s="28">
        <f t="shared" si="452"/>
        <v>0</v>
      </c>
      <c r="K229" s="28">
        <f t="shared" si="452"/>
        <v>0</v>
      </c>
      <c r="L229" s="28">
        <f t="shared" si="452"/>
        <v>0</v>
      </c>
      <c r="M229" s="28">
        <f t="shared" si="452"/>
        <v>0</v>
      </c>
      <c r="N229" s="28">
        <f t="shared" si="452"/>
        <v>0</v>
      </c>
      <c r="O229" s="28">
        <f t="shared" si="452"/>
        <v>0</v>
      </c>
      <c r="P229" s="28">
        <f t="shared" si="452"/>
        <v>0</v>
      </c>
      <c r="Q229" s="28">
        <f>16</f>
        <v>16</v>
      </c>
    </row>
    <row r="230">
      <c r="B230" s="20">
        <v>46267.0</v>
      </c>
      <c r="C230" s="21">
        <v>180.0</v>
      </c>
      <c r="D230" s="28">
        <f t="shared" ref="D230:G230" si="453">0</f>
        <v>0</v>
      </c>
      <c r="E230" s="28">
        <f t="shared" si="453"/>
        <v>0</v>
      </c>
      <c r="F230" s="28">
        <f t="shared" si="453"/>
        <v>0</v>
      </c>
      <c r="G230" s="28">
        <f t="shared" si="453"/>
        <v>0</v>
      </c>
      <c r="H230" s="28">
        <f>162</f>
        <v>162</v>
      </c>
      <c r="I230" s="28">
        <f t="shared" ref="I230:P230" si="454">0</f>
        <v>0</v>
      </c>
      <c r="J230" s="28">
        <f t="shared" si="454"/>
        <v>0</v>
      </c>
      <c r="K230" s="28">
        <f t="shared" si="454"/>
        <v>0</v>
      </c>
      <c r="L230" s="28">
        <f t="shared" si="454"/>
        <v>0</v>
      </c>
      <c r="M230" s="28">
        <f t="shared" si="454"/>
        <v>0</v>
      </c>
      <c r="N230" s="28">
        <f t="shared" si="454"/>
        <v>0</v>
      </c>
      <c r="O230" s="28">
        <f t="shared" si="454"/>
        <v>0</v>
      </c>
      <c r="P230" s="28">
        <f t="shared" si="454"/>
        <v>0</v>
      </c>
      <c r="Q230" s="28">
        <f>18</f>
        <v>18</v>
      </c>
    </row>
    <row r="231">
      <c r="B231" s="20">
        <v>46268.0</v>
      </c>
      <c r="C231" s="21">
        <v>200.0</v>
      </c>
      <c r="D231" s="28">
        <f t="shared" ref="D231:F231" si="455">0</f>
        <v>0</v>
      </c>
      <c r="E231" s="28">
        <f t="shared" si="455"/>
        <v>0</v>
      </c>
      <c r="F231" s="28">
        <f t="shared" si="455"/>
        <v>0</v>
      </c>
      <c r="G231" s="28">
        <f>80</f>
        <v>80</v>
      </c>
      <c r="H231" s="28">
        <f>20</f>
        <v>20</v>
      </c>
      <c r="I231" s="28">
        <f>60</f>
        <v>60</v>
      </c>
      <c r="J231" s="28">
        <f>40</f>
        <v>40</v>
      </c>
      <c r="K231" s="28">
        <f t="shared" ref="K231:Q231" si="456">0</f>
        <v>0</v>
      </c>
      <c r="L231" s="28">
        <f t="shared" si="456"/>
        <v>0</v>
      </c>
      <c r="M231" s="28">
        <f t="shared" si="456"/>
        <v>0</v>
      </c>
      <c r="N231" s="28">
        <f t="shared" si="456"/>
        <v>0</v>
      </c>
      <c r="O231" s="28">
        <f t="shared" si="456"/>
        <v>0</v>
      </c>
      <c r="P231" s="28">
        <f t="shared" si="456"/>
        <v>0</v>
      </c>
      <c r="Q231" s="28">
        <f t="shared" si="456"/>
        <v>0</v>
      </c>
    </row>
    <row r="232">
      <c r="B232" s="20">
        <v>46268.0</v>
      </c>
      <c r="C232" s="21">
        <v>120.0</v>
      </c>
      <c r="D232" s="28">
        <f t="shared" ref="D232:F232" si="457">0</f>
        <v>0</v>
      </c>
      <c r="E232" s="28">
        <f t="shared" si="457"/>
        <v>0</v>
      </c>
      <c r="F232" s="28">
        <f t="shared" si="457"/>
        <v>0</v>
      </c>
      <c r="G232" s="28">
        <f>96</f>
        <v>96</v>
      </c>
      <c r="H232" s="28">
        <f t="shared" ref="H232:I232" si="458">0</f>
        <v>0</v>
      </c>
      <c r="I232" s="28">
        <f t="shared" si="458"/>
        <v>0</v>
      </c>
      <c r="J232" s="28">
        <f>12</f>
        <v>12</v>
      </c>
      <c r="K232" s="28">
        <f t="shared" ref="K232:P232" si="459">0</f>
        <v>0</v>
      </c>
      <c r="L232" s="28">
        <f t="shared" si="459"/>
        <v>0</v>
      </c>
      <c r="M232" s="28">
        <f t="shared" si="459"/>
        <v>0</v>
      </c>
      <c r="N232" s="28">
        <f t="shared" si="459"/>
        <v>0</v>
      </c>
      <c r="O232" s="28">
        <f t="shared" si="459"/>
        <v>0</v>
      </c>
      <c r="P232" s="28">
        <f t="shared" si="459"/>
        <v>0</v>
      </c>
      <c r="Q232" s="28">
        <f>12</f>
        <v>12</v>
      </c>
    </row>
    <row r="233">
      <c r="B233" s="20">
        <v>46269.0</v>
      </c>
      <c r="C233" s="21">
        <v>140.0</v>
      </c>
      <c r="D233" s="28">
        <f t="shared" ref="D233:P233" si="460">0</f>
        <v>0</v>
      </c>
      <c r="E233" s="28">
        <f t="shared" si="460"/>
        <v>0</v>
      </c>
      <c r="F233" s="28">
        <f t="shared" si="460"/>
        <v>0</v>
      </c>
      <c r="G233" s="28">
        <f t="shared" si="460"/>
        <v>0</v>
      </c>
      <c r="H233" s="28">
        <f t="shared" si="460"/>
        <v>0</v>
      </c>
      <c r="I233" s="28">
        <f t="shared" si="460"/>
        <v>0</v>
      </c>
      <c r="J233" s="28">
        <f t="shared" si="460"/>
        <v>0</v>
      </c>
      <c r="K233" s="28">
        <f t="shared" si="460"/>
        <v>0</v>
      </c>
      <c r="L233" s="28">
        <f t="shared" si="460"/>
        <v>0</v>
      </c>
      <c r="M233" s="28">
        <f t="shared" si="460"/>
        <v>0</v>
      </c>
      <c r="N233" s="28">
        <f t="shared" si="460"/>
        <v>0</v>
      </c>
      <c r="O233" s="28">
        <f t="shared" si="460"/>
        <v>0</v>
      </c>
      <c r="P233" s="28">
        <f t="shared" si="460"/>
        <v>0</v>
      </c>
      <c r="Q233" s="28">
        <f>140</f>
        <v>140</v>
      </c>
    </row>
    <row r="234">
      <c r="B234" s="20">
        <v>46269.0</v>
      </c>
      <c r="C234" s="21">
        <v>180.0</v>
      </c>
      <c r="D234" s="28">
        <f t="shared" ref="D234:P234" si="461">0</f>
        <v>0</v>
      </c>
      <c r="E234" s="28">
        <f t="shared" si="461"/>
        <v>0</v>
      </c>
      <c r="F234" s="28">
        <f t="shared" si="461"/>
        <v>0</v>
      </c>
      <c r="G234" s="28">
        <f t="shared" si="461"/>
        <v>0</v>
      </c>
      <c r="H234" s="28">
        <f t="shared" si="461"/>
        <v>0</v>
      </c>
      <c r="I234" s="28">
        <f t="shared" si="461"/>
        <v>0</v>
      </c>
      <c r="J234" s="28">
        <f t="shared" si="461"/>
        <v>0</v>
      </c>
      <c r="K234" s="28">
        <f t="shared" si="461"/>
        <v>0</v>
      </c>
      <c r="L234" s="28">
        <f t="shared" si="461"/>
        <v>0</v>
      </c>
      <c r="M234" s="28">
        <f t="shared" si="461"/>
        <v>0</v>
      </c>
      <c r="N234" s="28">
        <f t="shared" si="461"/>
        <v>0</v>
      </c>
      <c r="O234" s="28">
        <f t="shared" si="461"/>
        <v>0</v>
      </c>
      <c r="P234" s="28">
        <f t="shared" si="461"/>
        <v>0</v>
      </c>
      <c r="Q234" s="28">
        <f>180</f>
        <v>180</v>
      </c>
    </row>
    <row r="235">
      <c r="B235" s="20">
        <v>46269.0</v>
      </c>
      <c r="C235" s="21">
        <v>120.0</v>
      </c>
      <c r="D235" s="28">
        <f t="shared" ref="D235:F235" si="462">0</f>
        <v>0</v>
      </c>
      <c r="E235" s="28">
        <f t="shared" si="462"/>
        <v>0</v>
      </c>
      <c r="F235" s="28">
        <f t="shared" si="462"/>
        <v>0</v>
      </c>
      <c r="G235" s="28">
        <f>60</f>
        <v>60</v>
      </c>
      <c r="H235" s="28">
        <f t="shared" ref="H235:I235" si="463">0</f>
        <v>0</v>
      </c>
      <c r="I235" s="28">
        <f t="shared" si="463"/>
        <v>0</v>
      </c>
      <c r="J235" s="28">
        <f>60</f>
        <v>60</v>
      </c>
      <c r="K235" s="28">
        <f t="shared" ref="K235:Q235" si="464">0</f>
        <v>0</v>
      </c>
      <c r="L235" s="28">
        <f t="shared" si="464"/>
        <v>0</v>
      </c>
      <c r="M235" s="28">
        <f t="shared" si="464"/>
        <v>0</v>
      </c>
      <c r="N235" s="28">
        <f t="shared" si="464"/>
        <v>0</v>
      </c>
      <c r="O235" s="28">
        <f t="shared" si="464"/>
        <v>0</v>
      </c>
      <c r="P235" s="28">
        <f t="shared" si="464"/>
        <v>0</v>
      </c>
      <c r="Q235" s="28">
        <f t="shared" si="464"/>
        <v>0</v>
      </c>
    </row>
    <row r="236">
      <c r="B236" s="20">
        <v>46269.0</v>
      </c>
      <c r="C236" s="21">
        <v>60.0</v>
      </c>
      <c r="D236" s="28">
        <f t="shared" ref="D236:G236" si="465">0</f>
        <v>0</v>
      </c>
      <c r="E236" s="28">
        <f t="shared" si="465"/>
        <v>0</v>
      </c>
      <c r="F236" s="28">
        <f t="shared" si="465"/>
        <v>0</v>
      </c>
      <c r="G236" s="28">
        <f t="shared" si="465"/>
        <v>0</v>
      </c>
      <c r="H236" s="28">
        <f>60</f>
        <v>60</v>
      </c>
      <c r="I236" s="28">
        <f t="shared" ref="I236:Q236" si="466">0</f>
        <v>0</v>
      </c>
      <c r="J236" s="28">
        <f t="shared" si="466"/>
        <v>0</v>
      </c>
      <c r="K236" s="28">
        <f t="shared" si="466"/>
        <v>0</v>
      </c>
      <c r="L236" s="28">
        <f t="shared" si="466"/>
        <v>0</v>
      </c>
      <c r="M236" s="28">
        <f t="shared" si="466"/>
        <v>0</v>
      </c>
      <c r="N236" s="28">
        <f t="shared" si="466"/>
        <v>0</v>
      </c>
      <c r="O236" s="28">
        <f t="shared" si="466"/>
        <v>0</v>
      </c>
      <c r="P236" s="28">
        <f t="shared" si="466"/>
        <v>0</v>
      </c>
      <c r="Q236" s="28">
        <f t="shared" si="466"/>
        <v>0</v>
      </c>
    </row>
    <row r="237">
      <c r="B237" s="20">
        <v>46269.0</v>
      </c>
      <c r="C237" s="21">
        <v>580.0</v>
      </c>
      <c r="D237" s="28">
        <f>29</f>
        <v>29</v>
      </c>
      <c r="E237" s="28">
        <f t="shared" ref="E237:I237" si="467">0</f>
        <v>0</v>
      </c>
      <c r="F237" s="28">
        <f t="shared" si="467"/>
        <v>0</v>
      </c>
      <c r="G237" s="28">
        <f t="shared" si="467"/>
        <v>0</v>
      </c>
      <c r="H237" s="28">
        <f t="shared" si="467"/>
        <v>0</v>
      </c>
      <c r="I237" s="28">
        <f t="shared" si="467"/>
        <v>0</v>
      </c>
      <c r="J237" s="28">
        <f>87</f>
        <v>87</v>
      </c>
      <c r="K237" s="28">
        <f>464</f>
        <v>464</v>
      </c>
      <c r="L237" s="28">
        <f t="shared" ref="L237:Q237" si="468">0</f>
        <v>0</v>
      </c>
      <c r="M237" s="28">
        <f t="shared" si="468"/>
        <v>0</v>
      </c>
      <c r="N237" s="28">
        <f t="shared" si="468"/>
        <v>0</v>
      </c>
      <c r="O237" s="28">
        <f t="shared" si="468"/>
        <v>0</v>
      </c>
      <c r="P237" s="28">
        <f t="shared" si="468"/>
        <v>0</v>
      </c>
      <c r="Q237" s="28">
        <f t="shared" si="468"/>
        <v>0</v>
      </c>
    </row>
    <row r="238">
      <c r="B238" s="20">
        <v>46269.0</v>
      </c>
      <c r="C238" s="21">
        <v>2320.0</v>
      </c>
      <c r="D238" s="28">
        <f t="shared" ref="D238:J238" si="469">0</f>
        <v>0</v>
      </c>
      <c r="E238" s="28">
        <f t="shared" si="469"/>
        <v>0</v>
      </c>
      <c r="F238" s="28">
        <f t="shared" si="469"/>
        <v>0</v>
      </c>
      <c r="G238" s="28">
        <f t="shared" si="469"/>
        <v>0</v>
      </c>
      <c r="H238" s="28">
        <f t="shared" si="469"/>
        <v>0</v>
      </c>
      <c r="I238" s="28">
        <f t="shared" si="469"/>
        <v>0</v>
      </c>
      <c r="J238" s="28">
        <f t="shared" si="469"/>
        <v>0</v>
      </c>
      <c r="K238" s="28">
        <f>2320</f>
        <v>2320</v>
      </c>
      <c r="L238" s="28">
        <f t="shared" ref="L238:Q238" si="470">0</f>
        <v>0</v>
      </c>
      <c r="M238" s="28">
        <f t="shared" si="470"/>
        <v>0</v>
      </c>
      <c r="N238" s="28">
        <f t="shared" si="470"/>
        <v>0</v>
      </c>
      <c r="O238" s="28">
        <f t="shared" si="470"/>
        <v>0</v>
      </c>
      <c r="P238" s="28">
        <f t="shared" si="470"/>
        <v>0</v>
      </c>
      <c r="Q238" s="28">
        <f t="shared" si="470"/>
        <v>0</v>
      </c>
    </row>
    <row r="239">
      <c r="B239" s="20">
        <v>46270.0</v>
      </c>
      <c r="C239" s="21">
        <v>160.0</v>
      </c>
      <c r="D239" s="28">
        <f>128</f>
        <v>128</v>
      </c>
      <c r="E239" s="28">
        <f t="shared" ref="E239:F239" si="471">16</f>
        <v>16</v>
      </c>
      <c r="F239" s="28">
        <f t="shared" si="471"/>
        <v>16</v>
      </c>
      <c r="G239" s="28">
        <f t="shared" ref="G239:Q239" si="472">0</f>
        <v>0</v>
      </c>
      <c r="H239" s="28">
        <f t="shared" si="472"/>
        <v>0</v>
      </c>
      <c r="I239" s="28">
        <f t="shared" si="472"/>
        <v>0</v>
      </c>
      <c r="J239" s="28">
        <f t="shared" si="472"/>
        <v>0</v>
      </c>
      <c r="K239" s="28">
        <f t="shared" si="472"/>
        <v>0</v>
      </c>
      <c r="L239" s="28">
        <f t="shared" si="472"/>
        <v>0</v>
      </c>
      <c r="M239" s="28">
        <f t="shared" si="472"/>
        <v>0</v>
      </c>
      <c r="N239" s="28">
        <f t="shared" si="472"/>
        <v>0</v>
      </c>
      <c r="O239" s="28">
        <f t="shared" si="472"/>
        <v>0</v>
      </c>
      <c r="P239" s="28">
        <f t="shared" si="472"/>
        <v>0</v>
      </c>
      <c r="Q239" s="28">
        <f t="shared" si="472"/>
        <v>0</v>
      </c>
    </row>
    <row r="240">
      <c r="B240" s="20">
        <v>46270.0</v>
      </c>
      <c r="C240" s="21">
        <v>220.0</v>
      </c>
      <c r="D240" s="28">
        <f t="shared" ref="D240:G240" si="473">0</f>
        <v>0</v>
      </c>
      <c r="E240" s="28">
        <f t="shared" si="473"/>
        <v>0</v>
      </c>
      <c r="F240" s="28">
        <f t="shared" si="473"/>
        <v>0</v>
      </c>
      <c r="G240" s="28">
        <f t="shared" si="473"/>
        <v>0</v>
      </c>
      <c r="H240" s="28">
        <f>22</f>
        <v>22</v>
      </c>
      <c r="I240" s="28">
        <f>0</f>
        <v>0</v>
      </c>
      <c r="J240" s="28">
        <f>110</f>
        <v>110</v>
      </c>
      <c r="K240" s="28">
        <f t="shared" ref="K240:P240" si="474">0</f>
        <v>0</v>
      </c>
      <c r="L240" s="28">
        <f t="shared" si="474"/>
        <v>0</v>
      </c>
      <c r="M240" s="28">
        <f t="shared" si="474"/>
        <v>0</v>
      </c>
      <c r="N240" s="28">
        <f t="shared" si="474"/>
        <v>0</v>
      </c>
      <c r="O240" s="28">
        <f t="shared" si="474"/>
        <v>0</v>
      </c>
      <c r="P240" s="28">
        <f t="shared" si="474"/>
        <v>0</v>
      </c>
      <c r="Q240" s="28">
        <f>88</f>
        <v>88</v>
      </c>
    </row>
    <row r="241">
      <c r="B241" s="20">
        <v>46270.0</v>
      </c>
      <c r="C241" s="21">
        <v>80.0</v>
      </c>
      <c r="D241" s="28">
        <f t="shared" ref="D241:I241" si="475">0</f>
        <v>0</v>
      </c>
      <c r="E241" s="28">
        <f t="shared" si="475"/>
        <v>0</v>
      </c>
      <c r="F241" s="28">
        <f t="shared" si="475"/>
        <v>0</v>
      </c>
      <c r="G241" s="28">
        <f t="shared" si="475"/>
        <v>0</v>
      </c>
      <c r="H241" s="28">
        <f t="shared" si="475"/>
        <v>0</v>
      </c>
      <c r="I241" s="28">
        <f t="shared" si="475"/>
        <v>0</v>
      </c>
      <c r="J241" s="28">
        <f>80</f>
        <v>80</v>
      </c>
      <c r="K241" s="28">
        <f t="shared" ref="K241:Q241" si="476">0</f>
        <v>0</v>
      </c>
      <c r="L241" s="28">
        <f t="shared" si="476"/>
        <v>0</v>
      </c>
      <c r="M241" s="28">
        <f t="shared" si="476"/>
        <v>0</v>
      </c>
      <c r="N241" s="28">
        <f t="shared" si="476"/>
        <v>0</v>
      </c>
      <c r="O241" s="28">
        <f t="shared" si="476"/>
        <v>0</v>
      </c>
      <c r="P241" s="28">
        <f t="shared" si="476"/>
        <v>0</v>
      </c>
      <c r="Q241" s="28">
        <f t="shared" si="476"/>
        <v>0</v>
      </c>
    </row>
    <row r="242">
      <c r="B242" s="20">
        <v>46271.0</v>
      </c>
      <c r="C242" s="21">
        <v>60.0</v>
      </c>
      <c r="D242" s="28">
        <f t="shared" ref="D242:G242" si="477">0</f>
        <v>0</v>
      </c>
      <c r="E242" s="28">
        <f t="shared" si="477"/>
        <v>0</v>
      </c>
      <c r="F242" s="28">
        <f t="shared" si="477"/>
        <v>0</v>
      </c>
      <c r="G242" s="28">
        <f t="shared" si="477"/>
        <v>0</v>
      </c>
      <c r="H242" s="28">
        <f>42</f>
        <v>42</v>
      </c>
      <c r="I242" s="28">
        <f>18</f>
        <v>18</v>
      </c>
      <c r="J242" s="28">
        <f t="shared" ref="J242:Q242" si="478">0</f>
        <v>0</v>
      </c>
      <c r="K242" s="28">
        <f t="shared" si="478"/>
        <v>0</v>
      </c>
      <c r="L242" s="28">
        <f t="shared" si="478"/>
        <v>0</v>
      </c>
      <c r="M242" s="28">
        <f t="shared" si="478"/>
        <v>0</v>
      </c>
      <c r="N242" s="28">
        <f t="shared" si="478"/>
        <v>0</v>
      </c>
      <c r="O242" s="28">
        <f t="shared" si="478"/>
        <v>0</v>
      </c>
      <c r="P242" s="28">
        <f t="shared" si="478"/>
        <v>0</v>
      </c>
      <c r="Q242" s="28">
        <f t="shared" si="478"/>
        <v>0</v>
      </c>
    </row>
    <row r="243">
      <c r="B243" s="20">
        <v>46271.0</v>
      </c>
      <c r="C243" s="21">
        <v>2180.0</v>
      </c>
      <c r="D243" s="28">
        <f>327</f>
        <v>327</v>
      </c>
      <c r="E243" s="28">
        <f t="shared" ref="E243:G243" si="479">0</f>
        <v>0</v>
      </c>
      <c r="F243" s="28">
        <f t="shared" si="479"/>
        <v>0</v>
      </c>
      <c r="G243" s="28">
        <f t="shared" si="479"/>
        <v>0</v>
      </c>
      <c r="H243" s="28">
        <f>327</f>
        <v>327</v>
      </c>
      <c r="I243" s="28">
        <f t="shared" ref="I243:P243" si="480">0</f>
        <v>0</v>
      </c>
      <c r="J243" s="28">
        <f t="shared" si="480"/>
        <v>0</v>
      </c>
      <c r="K243" s="28">
        <f t="shared" si="480"/>
        <v>0</v>
      </c>
      <c r="L243" s="28">
        <f t="shared" si="480"/>
        <v>0</v>
      </c>
      <c r="M243" s="28">
        <f t="shared" si="480"/>
        <v>0</v>
      </c>
      <c r="N243" s="28">
        <f t="shared" si="480"/>
        <v>0</v>
      </c>
      <c r="O243" s="28">
        <f t="shared" si="480"/>
        <v>0</v>
      </c>
      <c r="P243" s="28">
        <f t="shared" si="480"/>
        <v>0</v>
      </c>
      <c r="Q243" s="28">
        <f>1526</f>
        <v>1526</v>
      </c>
    </row>
    <row r="244">
      <c r="B244" s="20">
        <v>46271.0</v>
      </c>
      <c r="C244" s="21">
        <v>100.0</v>
      </c>
      <c r="D244" s="28">
        <f t="shared" ref="D244:H244" si="481">0</f>
        <v>0</v>
      </c>
      <c r="E244" s="28">
        <f t="shared" si="481"/>
        <v>0</v>
      </c>
      <c r="F244" s="28">
        <f t="shared" si="481"/>
        <v>0</v>
      </c>
      <c r="G244" s="28">
        <f t="shared" si="481"/>
        <v>0</v>
      </c>
      <c r="H244" s="28">
        <f t="shared" si="481"/>
        <v>0</v>
      </c>
      <c r="I244" s="28">
        <f>10</f>
        <v>10</v>
      </c>
      <c r="J244" s="28">
        <f>90</f>
        <v>90</v>
      </c>
      <c r="K244" s="28">
        <f t="shared" ref="K244:Q244" si="482">0</f>
        <v>0</v>
      </c>
      <c r="L244" s="28">
        <f t="shared" si="482"/>
        <v>0</v>
      </c>
      <c r="M244" s="28">
        <f t="shared" si="482"/>
        <v>0</v>
      </c>
      <c r="N244" s="28">
        <f t="shared" si="482"/>
        <v>0</v>
      </c>
      <c r="O244" s="28">
        <f t="shared" si="482"/>
        <v>0</v>
      </c>
      <c r="P244" s="28">
        <f t="shared" si="482"/>
        <v>0</v>
      </c>
      <c r="Q244" s="28">
        <f t="shared" si="482"/>
        <v>0</v>
      </c>
    </row>
    <row r="245">
      <c r="B245" s="20">
        <v>46272.0</v>
      </c>
      <c r="C245" s="21">
        <v>160.0</v>
      </c>
      <c r="D245" s="28">
        <f>64</f>
        <v>64</v>
      </c>
      <c r="E245" s="28">
        <f>0</f>
        <v>0</v>
      </c>
      <c r="F245" s="28">
        <f>16</f>
        <v>16</v>
      </c>
      <c r="G245" s="28">
        <f>0</f>
        <v>0</v>
      </c>
      <c r="H245" s="28">
        <f>48</f>
        <v>48</v>
      </c>
      <c r="I245" s="28">
        <f t="shared" ref="I245:J245" si="483">16</f>
        <v>16</v>
      </c>
      <c r="J245" s="28">
        <f t="shared" si="483"/>
        <v>16</v>
      </c>
      <c r="K245" s="28">
        <f t="shared" ref="K245:Q245" si="484">0</f>
        <v>0</v>
      </c>
      <c r="L245" s="28">
        <f t="shared" si="484"/>
        <v>0</v>
      </c>
      <c r="M245" s="28">
        <f t="shared" si="484"/>
        <v>0</v>
      </c>
      <c r="N245" s="28">
        <f t="shared" si="484"/>
        <v>0</v>
      </c>
      <c r="O245" s="28">
        <f t="shared" si="484"/>
        <v>0</v>
      </c>
      <c r="P245" s="28">
        <f t="shared" si="484"/>
        <v>0</v>
      </c>
      <c r="Q245" s="28">
        <f t="shared" si="484"/>
        <v>0</v>
      </c>
    </row>
    <row r="246">
      <c r="B246" s="20">
        <v>46272.0</v>
      </c>
      <c r="C246" s="21">
        <v>60.0</v>
      </c>
      <c r="D246" s="28">
        <f t="shared" ref="D246:N246" si="485">0</f>
        <v>0</v>
      </c>
      <c r="E246" s="28">
        <f t="shared" si="485"/>
        <v>0</v>
      </c>
      <c r="F246" s="28">
        <f t="shared" si="485"/>
        <v>0</v>
      </c>
      <c r="G246" s="28">
        <f t="shared" si="485"/>
        <v>0</v>
      </c>
      <c r="H246" s="28">
        <f t="shared" si="485"/>
        <v>0</v>
      </c>
      <c r="I246" s="28">
        <f t="shared" si="485"/>
        <v>0</v>
      </c>
      <c r="J246" s="28">
        <f t="shared" si="485"/>
        <v>0</v>
      </c>
      <c r="K246" s="28">
        <f t="shared" si="485"/>
        <v>0</v>
      </c>
      <c r="L246" s="28">
        <f t="shared" si="485"/>
        <v>0</v>
      </c>
      <c r="M246" s="28">
        <f t="shared" si="485"/>
        <v>0</v>
      </c>
      <c r="N246" s="28">
        <f t="shared" si="485"/>
        <v>0</v>
      </c>
      <c r="O246" s="28">
        <f>60</f>
        <v>60</v>
      </c>
      <c r="P246" s="28">
        <f t="shared" ref="P246:Q246" si="486">0</f>
        <v>0</v>
      </c>
      <c r="Q246" s="28">
        <f t="shared" si="486"/>
        <v>0</v>
      </c>
    </row>
    <row r="247">
      <c r="B247" s="20">
        <v>46272.0</v>
      </c>
      <c r="C247" s="21">
        <v>440.0</v>
      </c>
      <c r="D247" s="28">
        <f t="shared" ref="D247:J247" si="487">0</f>
        <v>0</v>
      </c>
      <c r="E247" s="28">
        <f t="shared" si="487"/>
        <v>0</v>
      </c>
      <c r="F247" s="28">
        <f t="shared" si="487"/>
        <v>0</v>
      </c>
      <c r="G247" s="28">
        <f t="shared" si="487"/>
        <v>0</v>
      </c>
      <c r="H247" s="28">
        <f t="shared" si="487"/>
        <v>0</v>
      </c>
      <c r="I247" s="28">
        <f t="shared" si="487"/>
        <v>0</v>
      </c>
      <c r="J247" s="28">
        <f t="shared" si="487"/>
        <v>0</v>
      </c>
      <c r="K247" s="28">
        <f>440</f>
        <v>440</v>
      </c>
      <c r="L247" s="28">
        <f t="shared" ref="L247:Q247" si="488">0</f>
        <v>0</v>
      </c>
      <c r="M247" s="28">
        <f t="shared" si="488"/>
        <v>0</v>
      </c>
      <c r="N247" s="28">
        <f t="shared" si="488"/>
        <v>0</v>
      </c>
      <c r="O247" s="28">
        <f t="shared" si="488"/>
        <v>0</v>
      </c>
      <c r="P247" s="28">
        <f t="shared" si="488"/>
        <v>0</v>
      </c>
      <c r="Q247" s="28">
        <f t="shared" si="488"/>
        <v>0</v>
      </c>
    </row>
    <row r="248">
      <c r="B248" s="20">
        <v>46272.0</v>
      </c>
      <c r="C248" s="21">
        <v>60.0</v>
      </c>
      <c r="D248" s="28">
        <f t="shared" ref="D248:F248" si="489">0</f>
        <v>0</v>
      </c>
      <c r="E248" s="28">
        <f t="shared" si="489"/>
        <v>0</v>
      </c>
      <c r="F248" s="28">
        <f t="shared" si="489"/>
        <v>0</v>
      </c>
      <c r="G248" s="28">
        <f>12</f>
        <v>12</v>
      </c>
      <c r="H248" s="28">
        <f>18</f>
        <v>18</v>
      </c>
      <c r="I248" s="28">
        <f t="shared" ref="I248:P248" si="490">0</f>
        <v>0</v>
      </c>
      <c r="J248" s="28">
        <f t="shared" si="490"/>
        <v>0</v>
      </c>
      <c r="K248" s="28">
        <f t="shared" si="490"/>
        <v>0</v>
      </c>
      <c r="L248" s="28">
        <f t="shared" si="490"/>
        <v>0</v>
      </c>
      <c r="M248" s="28">
        <f t="shared" si="490"/>
        <v>0</v>
      </c>
      <c r="N248" s="28">
        <f t="shared" si="490"/>
        <v>0</v>
      </c>
      <c r="O248" s="28">
        <f t="shared" si="490"/>
        <v>0</v>
      </c>
      <c r="P248" s="28">
        <f t="shared" si="490"/>
        <v>0</v>
      </c>
      <c r="Q248" s="28">
        <f>30</f>
        <v>30</v>
      </c>
    </row>
    <row r="249">
      <c r="B249" s="20">
        <v>46272.0</v>
      </c>
      <c r="C249" s="21">
        <v>240.0</v>
      </c>
      <c r="D249" s="28">
        <f t="shared" ref="D249:G249" si="491">0</f>
        <v>0</v>
      </c>
      <c r="E249" s="28">
        <f t="shared" si="491"/>
        <v>0</v>
      </c>
      <c r="F249" s="28">
        <f t="shared" si="491"/>
        <v>0</v>
      </c>
      <c r="G249" s="28">
        <f t="shared" si="491"/>
        <v>0</v>
      </c>
      <c r="H249" s="28">
        <f>72</f>
        <v>72</v>
      </c>
      <c r="I249" s="28">
        <f t="shared" ref="I249:J249" si="492">48</f>
        <v>48</v>
      </c>
      <c r="J249" s="28">
        <f t="shared" si="492"/>
        <v>48</v>
      </c>
      <c r="K249" s="28">
        <f t="shared" ref="K249:N249" si="493">0</f>
        <v>0</v>
      </c>
      <c r="L249" s="28">
        <f t="shared" si="493"/>
        <v>0</v>
      </c>
      <c r="M249" s="28">
        <f t="shared" si="493"/>
        <v>0</v>
      </c>
      <c r="N249" s="28">
        <f t="shared" si="493"/>
        <v>0</v>
      </c>
      <c r="O249" s="28">
        <f>24</f>
        <v>24</v>
      </c>
      <c r="P249" s="28">
        <f t="shared" ref="P249:P250" si="496">0</f>
        <v>0</v>
      </c>
      <c r="Q249" s="28">
        <f>48</f>
        <v>48</v>
      </c>
    </row>
    <row r="250">
      <c r="B250" s="20">
        <v>46273.0</v>
      </c>
      <c r="C250" s="21">
        <v>80.0</v>
      </c>
      <c r="D250" s="28">
        <f>8</f>
        <v>8</v>
      </c>
      <c r="E250" s="28">
        <f t="shared" ref="E250:G250" si="494">0</f>
        <v>0</v>
      </c>
      <c r="F250" s="28">
        <f t="shared" si="494"/>
        <v>0</v>
      </c>
      <c r="G250" s="28">
        <f t="shared" si="494"/>
        <v>0</v>
      </c>
      <c r="H250" s="28">
        <f>8</f>
        <v>8</v>
      </c>
      <c r="I250" s="28">
        <f>4</f>
        <v>4</v>
      </c>
      <c r="J250" s="28">
        <f>56</f>
        <v>56</v>
      </c>
      <c r="K250" s="28">
        <f t="shared" ref="K250:N250" si="495">0</f>
        <v>0</v>
      </c>
      <c r="L250" s="28">
        <f t="shared" si="495"/>
        <v>0</v>
      </c>
      <c r="M250" s="28">
        <f t="shared" si="495"/>
        <v>0</v>
      </c>
      <c r="N250" s="28">
        <f t="shared" si="495"/>
        <v>0</v>
      </c>
      <c r="O250" s="28">
        <f>4</f>
        <v>4</v>
      </c>
      <c r="P250" s="28">
        <f t="shared" si="496"/>
        <v>0</v>
      </c>
      <c r="Q250" s="28">
        <f>0</f>
        <v>0</v>
      </c>
    </row>
    <row r="251">
      <c r="B251" s="20">
        <v>46273.0</v>
      </c>
      <c r="C251" s="21">
        <v>620.0</v>
      </c>
      <c r="D251" s="28">
        <f>186</f>
        <v>186</v>
      </c>
      <c r="E251" s="28">
        <f t="shared" ref="E251:J251" si="497">0</f>
        <v>0</v>
      </c>
      <c r="F251" s="28">
        <f t="shared" si="497"/>
        <v>0</v>
      </c>
      <c r="G251" s="28">
        <f t="shared" si="497"/>
        <v>0</v>
      </c>
      <c r="H251" s="28">
        <f t="shared" si="497"/>
        <v>0</v>
      </c>
      <c r="I251" s="28">
        <f t="shared" si="497"/>
        <v>0</v>
      </c>
      <c r="J251" s="28">
        <f t="shared" si="497"/>
        <v>0</v>
      </c>
      <c r="K251" s="28">
        <f>434</f>
        <v>434</v>
      </c>
      <c r="L251" s="28">
        <f t="shared" ref="L251:Q251" si="498">0</f>
        <v>0</v>
      </c>
      <c r="M251" s="28">
        <f t="shared" si="498"/>
        <v>0</v>
      </c>
      <c r="N251" s="28">
        <f t="shared" si="498"/>
        <v>0</v>
      </c>
      <c r="O251" s="28">
        <f t="shared" si="498"/>
        <v>0</v>
      </c>
      <c r="P251" s="28">
        <f t="shared" si="498"/>
        <v>0</v>
      </c>
      <c r="Q251" s="28">
        <f t="shared" si="498"/>
        <v>0</v>
      </c>
    </row>
    <row r="252">
      <c r="B252" s="20">
        <v>46273.0</v>
      </c>
      <c r="C252" s="21">
        <v>60.0</v>
      </c>
      <c r="D252" s="28">
        <f>30</f>
        <v>30</v>
      </c>
      <c r="E252" s="28">
        <f t="shared" ref="E252:G252" si="499">0</f>
        <v>0</v>
      </c>
      <c r="F252" s="28">
        <f t="shared" si="499"/>
        <v>0</v>
      </c>
      <c r="G252" s="28">
        <f t="shared" si="499"/>
        <v>0</v>
      </c>
      <c r="H252" s="28">
        <f>6</f>
        <v>6</v>
      </c>
      <c r="I252" s="28">
        <f>0</f>
        <v>0</v>
      </c>
      <c r="J252" s="28">
        <f>12</f>
        <v>12</v>
      </c>
      <c r="K252" s="28">
        <f t="shared" ref="K252:P252" si="500">0</f>
        <v>0</v>
      </c>
      <c r="L252" s="28">
        <f t="shared" si="500"/>
        <v>0</v>
      </c>
      <c r="M252" s="28">
        <f t="shared" si="500"/>
        <v>0</v>
      </c>
      <c r="N252" s="28">
        <f t="shared" si="500"/>
        <v>0</v>
      </c>
      <c r="O252" s="28">
        <f t="shared" si="500"/>
        <v>0</v>
      </c>
      <c r="P252" s="28">
        <f t="shared" si="500"/>
        <v>0</v>
      </c>
      <c r="Q252" s="28">
        <f>12</f>
        <v>12</v>
      </c>
    </row>
    <row r="253">
      <c r="B253" s="20">
        <v>46274.0</v>
      </c>
      <c r="C253" s="21">
        <v>60.0</v>
      </c>
      <c r="D253" s="28">
        <f t="shared" ref="D253:F253" si="501">0</f>
        <v>0</v>
      </c>
      <c r="E253" s="28">
        <f t="shared" si="501"/>
        <v>0</v>
      </c>
      <c r="F253" s="28">
        <f t="shared" si="501"/>
        <v>0</v>
      </c>
      <c r="G253" s="28">
        <f>24</f>
        <v>24</v>
      </c>
      <c r="H253" s="28">
        <f t="shared" ref="H253:I253" si="502">0</f>
        <v>0</v>
      </c>
      <c r="I253" s="28">
        <f t="shared" si="502"/>
        <v>0</v>
      </c>
      <c r="J253" s="28">
        <f>30</f>
        <v>30</v>
      </c>
      <c r="K253" s="28">
        <f t="shared" ref="K253:P253" si="503">0</f>
        <v>0</v>
      </c>
      <c r="L253" s="28">
        <f t="shared" si="503"/>
        <v>0</v>
      </c>
      <c r="M253" s="28">
        <f t="shared" si="503"/>
        <v>0</v>
      </c>
      <c r="N253" s="28">
        <f t="shared" si="503"/>
        <v>0</v>
      </c>
      <c r="O253" s="28">
        <f t="shared" si="503"/>
        <v>0</v>
      </c>
      <c r="P253" s="28">
        <f t="shared" si="503"/>
        <v>0</v>
      </c>
      <c r="Q253" s="28">
        <f>6</f>
        <v>6</v>
      </c>
    </row>
    <row r="254">
      <c r="B254" s="20">
        <v>46274.0</v>
      </c>
      <c r="C254" s="21">
        <v>160.0</v>
      </c>
      <c r="D254" s="28">
        <f>32</f>
        <v>32</v>
      </c>
      <c r="E254" s="28">
        <f t="shared" ref="E254:G254" si="504">0</f>
        <v>0</v>
      </c>
      <c r="F254" s="28">
        <f t="shared" si="504"/>
        <v>0</v>
      </c>
      <c r="G254" s="28">
        <f t="shared" si="504"/>
        <v>0</v>
      </c>
      <c r="H254" s="28">
        <f t="shared" ref="H254:I254" si="505">32</f>
        <v>32</v>
      </c>
      <c r="I254" s="28">
        <f t="shared" si="505"/>
        <v>32</v>
      </c>
      <c r="J254" s="28">
        <f>64</f>
        <v>64</v>
      </c>
      <c r="K254" s="28">
        <f t="shared" ref="K254:Q254" si="506">0</f>
        <v>0</v>
      </c>
      <c r="L254" s="28">
        <f t="shared" si="506"/>
        <v>0</v>
      </c>
      <c r="M254" s="28">
        <f t="shared" si="506"/>
        <v>0</v>
      </c>
      <c r="N254" s="28">
        <f t="shared" si="506"/>
        <v>0</v>
      </c>
      <c r="O254" s="28">
        <f t="shared" si="506"/>
        <v>0</v>
      </c>
      <c r="P254" s="28">
        <f t="shared" si="506"/>
        <v>0</v>
      </c>
      <c r="Q254" s="28">
        <f t="shared" si="506"/>
        <v>0</v>
      </c>
    </row>
    <row r="255">
      <c r="B255" s="20">
        <v>46274.0</v>
      </c>
      <c r="C255" s="21">
        <v>40.0</v>
      </c>
      <c r="D255" s="28">
        <f t="shared" ref="D255:G255" si="507">0</f>
        <v>0</v>
      </c>
      <c r="E255" s="28">
        <f t="shared" si="507"/>
        <v>0</v>
      </c>
      <c r="F255" s="28">
        <f t="shared" si="507"/>
        <v>0</v>
      </c>
      <c r="G255" s="28">
        <f t="shared" si="507"/>
        <v>0</v>
      </c>
      <c r="H255" s="28">
        <f>40</f>
        <v>40</v>
      </c>
      <c r="I255" s="28">
        <f t="shared" ref="I255:Q255" si="508">0</f>
        <v>0</v>
      </c>
      <c r="J255" s="28">
        <f t="shared" si="508"/>
        <v>0</v>
      </c>
      <c r="K255" s="28">
        <f t="shared" si="508"/>
        <v>0</v>
      </c>
      <c r="L255" s="28">
        <f t="shared" si="508"/>
        <v>0</v>
      </c>
      <c r="M255" s="28">
        <f t="shared" si="508"/>
        <v>0</v>
      </c>
      <c r="N255" s="28">
        <f t="shared" si="508"/>
        <v>0</v>
      </c>
      <c r="O255" s="28">
        <f t="shared" si="508"/>
        <v>0</v>
      </c>
      <c r="P255" s="28">
        <f t="shared" si="508"/>
        <v>0</v>
      </c>
      <c r="Q255" s="28">
        <f t="shared" si="508"/>
        <v>0</v>
      </c>
    </row>
    <row r="256">
      <c r="B256" s="20">
        <v>46275.0</v>
      </c>
      <c r="C256" s="21">
        <v>200.0</v>
      </c>
      <c r="D256" s="28">
        <f>120</f>
        <v>120</v>
      </c>
      <c r="E256" s="28">
        <f t="shared" ref="E256:N256" si="509">0</f>
        <v>0</v>
      </c>
      <c r="F256" s="28">
        <f t="shared" si="509"/>
        <v>0</v>
      </c>
      <c r="G256" s="28">
        <f t="shared" si="509"/>
        <v>0</v>
      </c>
      <c r="H256" s="28">
        <f t="shared" si="509"/>
        <v>0</v>
      </c>
      <c r="I256" s="28">
        <f t="shared" si="509"/>
        <v>0</v>
      </c>
      <c r="J256" s="28">
        <f t="shared" si="509"/>
        <v>0</v>
      </c>
      <c r="K256" s="28">
        <f t="shared" si="509"/>
        <v>0</v>
      </c>
      <c r="L256" s="28">
        <f t="shared" si="509"/>
        <v>0</v>
      </c>
      <c r="M256" s="28">
        <f t="shared" si="509"/>
        <v>0</v>
      </c>
      <c r="N256" s="28">
        <f t="shared" si="509"/>
        <v>0</v>
      </c>
      <c r="O256" s="28">
        <f>80</f>
        <v>80</v>
      </c>
      <c r="P256" s="28">
        <f t="shared" ref="P256:Q256" si="510">0</f>
        <v>0</v>
      </c>
      <c r="Q256" s="28">
        <f t="shared" si="510"/>
        <v>0</v>
      </c>
    </row>
    <row r="257">
      <c r="B257" s="20">
        <v>46275.0</v>
      </c>
      <c r="C257" s="21">
        <v>140.0</v>
      </c>
      <c r="D257" s="28">
        <f>98</f>
        <v>98</v>
      </c>
      <c r="E257" s="28">
        <f>0</f>
        <v>0</v>
      </c>
      <c r="F257" s="28">
        <f>28</f>
        <v>28</v>
      </c>
      <c r="G257" s="28">
        <f>0</f>
        <v>0</v>
      </c>
      <c r="H257" s="28">
        <f>14</f>
        <v>14</v>
      </c>
      <c r="I257" s="28">
        <f t="shared" ref="I257:Q257" si="511">0</f>
        <v>0</v>
      </c>
      <c r="J257" s="28">
        <f t="shared" si="511"/>
        <v>0</v>
      </c>
      <c r="K257" s="28">
        <f t="shared" si="511"/>
        <v>0</v>
      </c>
      <c r="L257" s="28">
        <f t="shared" si="511"/>
        <v>0</v>
      </c>
      <c r="M257" s="28">
        <f t="shared" si="511"/>
        <v>0</v>
      </c>
      <c r="N257" s="28">
        <f t="shared" si="511"/>
        <v>0</v>
      </c>
      <c r="O257" s="28">
        <f t="shared" si="511"/>
        <v>0</v>
      </c>
      <c r="P257" s="28">
        <f t="shared" si="511"/>
        <v>0</v>
      </c>
      <c r="Q257" s="28">
        <f t="shared" si="511"/>
        <v>0</v>
      </c>
    </row>
    <row r="258">
      <c r="B258" s="20">
        <v>46275.0</v>
      </c>
      <c r="C258" s="21">
        <v>241.0</v>
      </c>
      <c r="D258" s="28">
        <f t="shared" ref="D258:J258" si="512">0</f>
        <v>0</v>
      </c>
      <c r="E258" s="28">
        <f t="shared" si="512"/>
        <v>0</v>
      </c>
      <c r="F258" s="28">
        <f t="shared" si="512"/>
        <v>0</v>
      </c>
      <c r="G258" s="28">
        <f t="shared" si="512"/>
        <v>0</v>
      </c>
      <c r="H258" s="28">
        <f t="shared" si="512"/>
        <v>0</v>
      </c>
      <c r="I258" s="28">
        <f t="shared" si="512"/>
        <v>0</v>
      </c>
      <c r="J258" s="28">
        <f t="shared" si="512"/>
        <v>0</v>
      </c>
      <c r="K258" s="28">
        <f>120.5</f>
        <v>120.5</v>
      </c>
      <c r="L258" s="28">
        <f t="shared" ref="L258:M258" si="513">0</f>
        <v>0</v>
      </c>
      <c r="M258" s="28">
        <f t="shared" si="513"/>
        <v>0</v>
      </c>
      <c r="N258" s="28">
        <f>120.5</f>
        <v>120.5</v>
      </c>
      <c r="O258" s="28">
        <f t="shared" ref="O258:Q258" si="514">0</f>
        <v>0</v>
      </c>
      <c r="P258" s="28">
        <f t="shared" si="514"/>
        <v>0</v>
      </c>
      <c r="Q258" s="28">
        <f t="shared" si="514"/>
        <v>0</v>
      </c>
    </row>
    <row r="259">
      <c r="B259" s="20">
        <v>46275.0</v>
      </c>
      <c r="C259" s="21">
        <v>260.0</v>
      </c>
      <c r="D259" s="28">
        <f t="shared" ref="D259:E259" si="515">0</f>
        <v>0</v>
      </c>
      <c r="E259" s="28">
        <f t="shared" si="515"/>
        <v>0</v>
      </c>
      <c r="F259" s="28">
        <f>260</f>
        <v>260</v>
      </c>
      <c r="G259" s="28">
        <f t="shared" ref="G259:Q259" si="516">0</f>
        <v>0</v>
      </c>
      <c r="H259" s="28">
        <f t="shared" si="516"/>
        <v>0</v>
      </c>
      <c r="I259" s="28">
        <f t="shared" si="516"/>
        <v>0</v>
      </c>
      <c r="J259" s="28">
        <f t="shared" si="516"/>
        <v>0</v>
      </c>
      <c r="K259" s="28">
        <f t="shared" si="516"/>
        <v>0</v>
      </c>
      <c r="L259" s="28">
        <f t="shared" si="516"/>
        <v>0</v>
      </c>
      <c r="M259" s="28">
        <f t="shared" si="516"/>
        <v>0</v>
      </c>
      <c r="N259" s="28">
        <f t="shared" si="516"/>
        <v>0</v>
      </c>
      <c r="O259" s="28">
        <f t="shared" si="516"/>
        <v>0</v>
      </c>
      <c r="P259" s="28">
        <f t="shared" si="516"/>
        <v>0</v>
      </c>
      <c r="Q259" s="28">
        <f t="shared" si="516"/>
        <v>0</v>
      </c>
    </row>
    <row r="260">
      <c r="B260" s="20">
        <v>46275.0</v>
      </c>
      <c r="C260" s="21">
        <v>840.0</v>
      </c>
      <c r="D260" s="28">
        <f>168</f>
        <v>168</v>
      </c>
      <c r="E260" s="28">
        <f t="shared" ref="E260:J260" si="517">0</f>
        <v>0</v>
      </c>
      <c r="F260" s="28">
        <f t="shared" si="517"/>
        <v>0</v>
      </c>
      <c r="G260" s="28">
        <f t="shared" si="517"/>
        <v>0</v>
      </c>
      <c r="H260" s="28">
        <f t="shared" si="517"/>
        <v>0</v>
      </c>
      <c r="I260" s="28">
        <f t="shared" si="517"/>
        <v>0</v>
      </c>
      <c r="J260" s="28">
        <f t="shared" si="517"/>
        <v>0</v>
      </c>
      <c r="K260" s="28">
        <f>672</f>
        <v>672</v>
      </c>
      <c r="L260" s="28">
        <f t="shared" ref="L260:Q260" si="518">0</f>
        <v>0</v>
      </c>
      <c r="M260" s="28">
        <f t="shared" si="518"/>
        <v>0</v>
      </c>
      <c r="N260" s="28">
        <f t="shared" si="518"/>
        <v>0</v>
      </c>
      <c r="O260" s="28">
        <f t="shared" si="518"/>
        <v>0</v>
      </c>
      <c r="P260" s="28">
        <f t="shared" si="518"/>
        <v>0</v>
      </c>
      <c r="Q260" s="28">
        <f t="shared" si="518"/>
        <v>0</v>
      </c>
    </row>
    <row r="261">
      <c r="B261" s="20">
        <v>46276.0</v>
      </c>
      <c r="C261" s="21">
        <v>120.0</v>
      </c>
      <c r="D261" s="28">
        <f>24</f>
        <v>24</v>
      </c>
      <c r="E261" s="28">
        <f t="shared" ref="E261:I261" si="519">0</f>
        <v>0</v>
      </c>
      <c r="F261" s="28">
        <f t="shared" si="519"/>
        <v>0</v>
      </c>
      <c r="G261" s="28">
        <f t="shared" si="519"/>
        <v>0</v>
      </c>
      <c r="H261" s="28">
        <f t="shared" si="519"/>
        <v>0</v>
      </c>
      <c r="I261" s="28">
        <f t="shared" si="519"/>
        <v>0</v>
      </c>
      <c r="J261" s="28">
        <f>36</f>
        <v>36</v>
      </c>
      <c r="K261" s="28">
        <f t="shared" ref="K261:P261" si="520">0</f>
        <v>0</v>
      </c>
      <c r="L261" s="28">
        <f t="shared" si="520"/>
        <v>0</v>
      </c>
      <c r="M261" s="28">
        <f t="shared" si="520"/>
        <v>0</v>
      </c>
      <c r="N261" s="28">
        <f t="shared" si="520"/>
        <v>0</v>
      </c>
      <c r="O261" s="28">
        <f t="shared" si="520"/>
        <v>0</v>
      </c>
      <c r="P261" s="28">
        <f t="shared" si="520"/>
        <v>0</v>
      </c>
      <c r="Q261" s="28">
        <f>60</f>
        <v>60</v>
      </c>
    </row>
    <row r="262">
      <c r="B262" s="20">
        <v>46276.0</v>
      </c>
      <c r="C262" s="21">
        <v>140.0</v>
      </c>
      <c r="D262" s="28">
        <f t="shared" ref="D262:E262" si="521">0</f>
        <v>0</v>
      </c>
      <c r="E262" s="28">
        <f t="shared" si="521"/>
        <v>0</v>
      </c>
      <c r="F262" s="28">
        <f>140</f>
        <v>140</v>
      </c>
      <c r="G262" s="28">
        <f t="shared" ref="G262:Q262" si="522">0</f>
        <v>0</v>
      </c>
      <c r="H262" s="28">
        <f t="shared" si="522"/>
        <v>0</v>
      </c>
      <c r="I262" s="28">
        <f t="shared" si="522"/>
        <v>0</v>
      </c>
      <c r="J262" s="28">
        <f t="shared" si="522"/>
        <v>0</v>
      </c>
      <c r="K262" s="28">
        <f t="shared" si="522"/>
        <v>0</v>
      </c>
      <c r="L262" s="28">
        <f t="shared" si="522"/>
        <v>0</v>
      </c>
      <c r="M262" s="28">
        <f t="shared" si="522"/>
        <v>0</v>
      </c>
      <c r="N262" s="28">
        <f t="shared" si="522"/>
        <v>0</v>
      </c>
      <c r="O262" s="28">
        <f t="shared" si="522"/>
        <v>0</v>
      </c>
      <c r="P262" s="28">
        <f t="shared" si="522"/>
        <v>0</v>
      </c>
      <c r="Q262" s="28">
        <f t="shared" si="522"/>
        <v>0</v>
      </c>
    </row>
    <row r="263">
      <c r="B263" s="20">
        <v>46276.0</v>
      </c>
      <c r="C263" s="21">
        <v>120.0</v>
      </c>
      <c r="D263" s="28">
        <f t="shared" ref="D263:E263" si="523">0</f>
        <v>0</v>
      </c>
      <c r="E263" s="28">
        <f t="shared" si="523"/>
        <v>0</v>
      </c>
      <c r="F263" s="28">
        <f>6</f>
        <v>6</v>
      </c>
      <c r="G263" s="28">
        <f t="shared" ref="G263:I263" si="524">0</f>
        <v>0</v>
      </c>
      <c r="H263" s="28">
        <f t="shared" si="524"/>
        <v>0</v>
      </c>
      <c r="I263" s="28">
        <f t="shared" si="524"/>
        <v>0</v>
      </c>
      <c r="J263" s="28">
        <f>114</f>
        <v>114</v>
      </c>
      <c r="K263" s="28">
        <f t="shared" ref="K263:Q263" si="525">0</f>
        <v>0</v>
      </c>
      <c r="L263" s="28">
        <f t="shared" si="525"/>
        <v>0</v>
      </c>
      <c r="M263" s="28">
        <f t="shared" si="525"/>
        <v>0</v>
      </c>
      <c r="N263" s="28">
        <f t="shared" si="525"/>
        <v>0</v>
      </c>
      <c r="O263" s="28">
        <f t="shared" si="525"/>
        <v>0</v>
      </c>
      <c r="P263" s="28">
        <f t="shared" si="525"/>
        <v>0</v>
      </c>
      <c r="Q263" s="28">
        <f t="shared" si="525"/>
        <v>0</v>
      </c>
    </row>
    <row r="264">
      <c r="B264" s="20">
        <v>46276.0</v>
      </c>
      <c r="C264" s="21">
        <v>60.0</v>
      </c>
      <c r="D264" s="28">
        <f>60</f>
        <v>60</v>
      </c>
      <c r="E264" s="28">
        <f t="shared" ref="E264:Q264" si="526">0</f>
        <v>0</v>
      </c>
      <c r="F264" s="28">
        <f t="shared" si="526"/>
        <v>0</v>
      </c>
      <c r="G264" s="28">
        <f t="shared" si="526"/>
        <v>0</v>
      </c>
      <c r="H264" s="28">
        <f t="shared" si="526"/>
        <v>0</v>
      </c>
      <c r="I264" s="28">
        <f t="shared" si="526"/>
        <v>0</v>
      </c>
      <c r="J264" s="28">
        <f t="shared" si="526"/>
        <v>0</v>
      </c>
      <c r="K264" s="28">
        <f t="shared" si="526"/>
        <v>0</v>
      </c>
      <c r="L264" s="28">
        <f t="shared" si="526"/>
        <v>0</v>
      </c>
      <c r="M264" s="28">
        <f t="shared" si="526"/>
        <v>0</v>
      </c>
      <c r="N264" s="28">
        <f t="shared" si="526"/>
        <v>0</v>
      </c>
      <c r="O264" s="28">
        <f t="shared" si="526"/>
        <v>0</v>
      </c>
      <c r="P264" s="28">
        <f t="shared" si="526"/>
        <v>0</v>
      </c>
      <c r="Q264" s="28">
        <f t="shared" si="526"/>
        <v>0</v>
      </c>
    </row>
    <row r="265">
      <c r="B265" s="20">
        <v>46276.0</v>
      </c>
      <c r="C265" s="21">
        <v>80.0</v>
      </c>
      <c r="D265" s="21">
        <v>0.0</v>
      </c>
      <c r="E265" s="21">
        <v>0.0</v>
      </c>
      <c r="F265" s="21">
        <v>0.0</v>
      </c>
      <c r="G265" s="21">
        <v>0.0</v>
      </c>
      <c r="H265" s="21">
        <v>0.0</v>
      </c>
      <c r="I265" s="21">
        <v>0.0</v>
      </c>
      <c r="J265" s="21">
        <v>0.0</v>
      </c>
      <c r="K265" s="21">
        <v>0.0</v>
      </c>
      <c r="L265" s="21">
        <v>0.0</v>
      </c>
      <c r="M265" s="21">
        <v>0.0</v>
      </c>
      <c r="N265" s="21">
        <v>0.0</v>
      </c>
      <c r="O265" s="21">
        <v>0.0</v>
      </c>
      <c r="P265" s="21">
        <v>0.0</v>
      </c>
      <c r="Q265" s="21">
        <v>80.0</v>
      </c>
    </row>
    <row r="266">
      <c r="B266" s="20">
        <v>46277.0</v>
      </c>
      <c r="C266" s="21">
        <v>200.0</v>
      </c>
      <c r="D266" s="28">
        <f>120</f>
        <v>120</v>
      </c>
      <c r="E266" s="28">
        <f>20</f>
        <v>20</v>
      </c>
      <c r="F266" s="28">
        <f>0</f>
        <v>0</v>
      </c>
      <c r="G266" s="28">
        <f>20</f>
        <v>20</v>
      </c>
      <c r="H266" s="28">
        <f t="shared" ref="H266:I266" si="527">0</f>
        <v>0</v>
      </c>
      <c r="I266" s="28">
        <f t="shared" si="527"/>
        <v>0</v>
      </c>
      <c r="J266" s="28">
        <f>20</f>
        <v>20</v>
      </c>
      <c r="K266" s="28">
        <f t="shared" ref="K266:N266" si="528">0</f>
        <v>0</v>
      </c>
      <c r="L266" s="28">
        <f t="shared" si="528"/>
        <v>0</v>
      </c>
      <c r="M266" s="28">
        <f t="shared" si="528"/>
        <v>0</v>
      </c>
      <c r="N266" s="28">
        <f t="shared" si="528"/>
        <v>0</v>
      </c>
      <c r="O266" s="28">
        <f>20</f>
        <v>20</v>
      </c>
      <c r="P266" s="28">
        <f t="shared" ref="P266:Q266" si="529">0</f>
        <v>0</v>
      </c>
      <c r="Q266" s="28">
        <f t="shared" si="529"/>
        <v>0</v>
      </c>
    </row>
    <row r="267">
      <c r="B267" s="20">
        <v>46277.0</v>
      </c>
      <c r="C267" s="21">
        <v>40.0</v>
      </c>
      <c r="D267" s="28">
        <f>28</f>
        <v>28</v>
      </c>
      <c r="E267" s="28">
        <f t="shared" ref="E267:O267" si="530">0</f>
        <v>0</v>
      </c>
      <c r="F267" s="28">
        <f t="shared" si="530"/>
        <v>0</v>
      </c>
      <c r="G267" s="28">
        <f t="shared" si="530"/>
        <v>0</v>
      </c>
      <c r="H267" s="28">
        <f t="shared" si="530"/>
        <v>0</v>
      </c>
      <c r="I267" s="28">
        <f t="shared" si="530"/>
        <v>0</v>
      </c>
      <c r="J267" s="28">
        <f t="shared" si="530"/>
        <v>0</v>
      </c>
      <c r="K267" s="28">
        <f t="shared" si="530"/>
        <v>0</v>
      </c>
      <c r="L267" s="28">
        <f t="shared" si="530"/>
        <v>0</v>
      </c>
      <c r="M267" s="28">
        <f t="shared" si="530"/>
        <v>0</v>
      </c>
      <c r="N267" s="28">
        <f t="shared" si="530"/>
        <v>0</v>
      </c>
      <c r="O267" s="28">
        <f t="shared" si="530"/>
        <v>0</v>
      </c>
      <c r="P267" s="28">
        <f>4</f>
        <v>4</v>
      </c>
      <c r="Q267" s="28">
        <f>8</f>
        <v>8</v>
      </c>
    </row>
    <row r="268">
      <c r="B268" s="20">
        <v>46277.0</v>
      </c>
      <c r="C268" s="21">
        <v>120.0</v>
      </c>
      <c r="D268" s="28">
        <f>12</f>
        <v>12</v>
      </c>
      <c r="E268" s="28">
        <f t="shared" ref="E268:I268" si="531">0</f>
        <v>0</v>
      </c>
      <c r="F268" s="28">
        <f t="shared" si="531"/>
        <v>0</v>
      </c>
      <c r="G268" s="28">
        <f t="shared" si="531"/>
        <v>0</v>
      </c>
      <c r="H268" s="28">
        <f t="shared" si="531"/>
        <v>0</v>
      </c>
      <c r="I268" s="28">
        <f t="shared" si="531"/>
        <v>0</v>
      </c>
      <c r="J268" s="28">
        <f>36</f>
        <v>36</v>
      </c>
      <c r="K268" s="28">
        <f t="shared" ref="K268:N268" si="532">0</f>
        <v>0</v>
      </c>
      <c r="L268" s="28">
        <f t="shared" si="532"/>
        <v>0</v>
      </c>
      <c r="M268" s="28">
        <f t="shared" si="532"/>
        <v>0</v>
      </c>
      <c r="N268" s="28">
        <f t="shared" si="532"/>
        <v>0</v>
      </c>
      <c r="O268" s="28">
        <f>24</f>
        <v>24</v>
      </c>
      <c r="P268" s="28">
        <f>0</f>
        <v>0</v>
      </c>
      <c r="Q268" s="28">
        <f>48</f>
        <v>48</v>
      </c>
    </row>
    <row r="269">
      <c r="B269" s="20">
        <v>46278.0</v>
      </c>
      <c r="C269" s="21">
        <v>80.0</v>
      </c>
      <c r="D269" s="21">
        <v>0.0</v>
      </c>
      <c r="E269" s="21">
        <v>0.0</v>
      </c>
      <c r="F269" s="21">
        <v>0.0</v>
      </c>
      <c r="G269" s="21">
        <v>0.0</v>
      </c>
      <c r="H269" s="21">
        <v>0.0</v>
      </c>
      <c r="I269" s="21">
        <v>0.0</v>
      </c>
      <c r="J269" s="21">
        <v>0.0</v>
      </c>
      <c r="K269" s="21">
        <v>0.0</v>
      </c>
      <c r="L269" s="21">
        <v>0.0</v>
      </c>
      <c r="M269" s="21">
        <v>0.0</v>
      </c>
      <c r="N269" s="21">
        <v>0.0</v>
      </c>
      <c r="O269" s="21">
        <v>0.0</v>
      </c>
      <c r="P269" s="21">
        <v>0.0</v>
      </c>
      <c r="Q269" s="21">
        <v>80.0</v>
      </c>
    </row>
    <row r="270">
      <c r="B270" s="20">
        <v>46278.0</v>
      </c>
      <c r="C270" s="21">
        <v>180.0</v>
      </c>
      <c r="D270" s="21">
        <v>0.0</v>
      </c>
      <c r="E270" s="21">
        <v>0.0</v>
      </c>
      <c r="F270" s="21">
        <v>0.0</v>
      </c>
      <c r="G270" s="21">
        <v>0.0</v>
      </c>
      <c r="H270" s="21">
        <v>0.0</v>
      </c>
      <c r="I270" s="21">
        <v>0.0</v>
      </c>
      <c r="J270" s="21">
        <v>0.0</v>
      </c>
      <c r="K270" s="21">
        <v>0.0</v>
      </c>
      <c r="L270" s="21">
        <v>0.0</v>
      </c>
      <c r="M270" s="21">
        <v>0.0</v>
      </c>
      <c r="N270" s="21">
        <v>0.0</v>
      </c>
      <c r="O270" s="21">
        <v>0.0</v>
      </c>
      <c r="P270" s="21">
        <v>0.0</v>
      </c>
      <c r="Q270" s="21">
        <v>180.0</v>
      </c>
    </row>
    <row r="271">
      <c r="B271" s="20">
        <v>46279.0</v>
      </c>
      <c r="C271" s="21">
        <v>160.0</v>
      </c>
      <c r="D271" s="28">
        <f t="shared" ref="D271:F271" si="533">0</f>
        <v>0</v>
      </c>
      <c r="E271" s="28">
        <f t="shared" si="533"/>
        <v>0</v>
      </c>
      <c r="F271" s="28">
        <f t="shared" si="533"/>
        <v>0</v>
      </c>
      <c r="G271" s="28">
        <f>48</f>
        <v>48</v>
      </c>
      <c r="H271" s="28">
        <f>0</f>
        <v>0</v>
      </c>
      <c r="I271" s="28">
        <f>80</f>
        <v>80</v>
      </c>
      <c r="J271" s="28">
        <f t="shared" ref="J271:P271" si="534">0</f>
        <v>0</v>
      </c>
      <c r="K271" s="28">
        <f t="shared" si="534"/>
        <v>0</v>
      </c>
      <c r="L271" s="28">
        <f t="shared" si="534"/>
        <v>0</v>
      </c>
      <c r="M271" s="28">
        <f t="shared" si="534"/>
        <v>0</v>
      </c>
      <c r="N271" s="28">
        <f t="shared" si="534"/>
        <v>0</v>
      </c>
      <c r="O271" s="28">
        <f t="shared" si="534"/>
        <v>0</v>
      </c>
      <c r="P271" s="28">
        <f t="shared" si="534"/>
        <v>0</v>
      </c>
      <c r="Q271" s="28">
        <f>32</f>
        <v>32</v>
      </c>
    </row>
    <row r="272">
      <c r="B272" s="20">
        <v>46279.0</v>
      </c>
      <c r="C272" s="21">
        <v>360.0</v>
      </c>
      <c r="D272" s="28">
        <f t="shared" ref="D272:I272" si="535">0</f>
        <v>0</v>
      </c>
      <c r="E272" s="28">
        <f t="shared" si="535"/>
        <v>0</v>
      </c>
      <c r="F272" s="28">
        <f t="shared" si="535"/>
        <v>0</v>
      </c>
      <c r="G272" s="28">
        <f t="shared" si="535"/>
        <v>0</v>
      </c>
      <c r="H272" s="28">
        <f t="shared" si="535"/>
        <v>0</v>
      </c>
      <c r="I272" s="28">
        <f t="shared" si="535"/>
        <v>0</v>
      </c>
      <c r="J272" s="28">
        <f>72</f>
        <v>72</v>
      </c>
      <c r="K272" s="28">
        <f>252</f>
        <v>252</v>
      </c>
      <c r="L272" s="28">
        <f t="shared" ref="L272:P272" si="536">0</f>
        <v>0</v>
      </c>
      <c r="M272" s="28">
        <f t="shared" si="536"/>
        <v>0</v>
      </c>
      <c r="N272" s="28">
        <f t="shared" si="536"/>
        <v>0</v>
      </c>
      <c r="O272" s="28">
        <f t="shared" si="536"/>
        <v>0</v>
      </c>
      <c r="P272" s="28">
        <f t="shared" si="536"/>
        <v>0</v>
      </c>
      <c r="Q272" s="28">
        <f>36</f>
        <v>36</v>
      </c>
    </row>
    <row r="273">
      <c r="B273" s="20">
        <v>46279.0</v>
      </c>
      <c r="C273" s="21">
        <v>120.0</v>
      </c>
      <c r="D273" s="28">
        <f t="shared" ref="D273:G273" si="537">0</f>
        <v>0</v>
      </c>
      <c r="E273" s="28">
        <f t="shared" si="537"/>
        <v>0</v>
      </c>
      <c r="F273" s="28">
        <f t="shared" si="537"/>
        <v>0</v>
      </c>
      <c r="G273" s="28">
        <f t="shared" si="537"/>
        <v>0</v>
      </c>
      <c r="H273" s="28">
        <f>96</f>
        <v>96</v>
      </c>
      <c r="I273" s="28">
        <f>12</f>
        <v>12</v>
      </c>
      <c r="J273" s="28">
        <f t="shared" ref="J273:M273" si="538">0</f>
        <v>0</v>
      </c>
      <c r="K273" s="28">
        <f t="shared" si="538"/>
        <v>0</v>
      </c>
      <c r="L273" s="28">
        <f t="shared" si="538"/>
        <v>0</v>
      </c>
      <c r="M273" s="28">
        <f t="shared" si="538"/>
        <v>0</v>
      </c>
      <c r="N273" s="28">
        <f>12</f>
        <v>12</v>
      </c>
      <c r="O273" s="28">
        <f t="shared" ref="O273:Q273" si="539">0</f>
        <v>0</v>
      </c>
      <c r="P273" s="28">
        <f t="shared" si="539"/>
        <v>0</v>
      </c>
      <c r="Q273" s="28">
        <f t="shared" si="539"/>
        <v>0</v>
      </c>
    </row>
    <row r="274">
      <c r="B274" s="20">
        <v>46279.0</v>
      </c>
      <c r="C274" s="21">
        <v>120.0</v>
      </c>
      <c r="D274" s="28">
        <f>60</f>
        <v>60</v>
      </c>
      <c r="E274" s="28">
        <f t="shared" ref="E274:P274" si="540">0</f>
        <v>0</v>
      </c>
      <c r="F274" s="28">
        <f t="shared" si="540"/>
        <v>0</v>
      </c>
      <c r="G274" s="28">
        <f t="shared" si="540"/>
        <v>0</v>
      </c>
      <c r="H274" s="28">
        <f t="shared" si="540"/>
        <v>0</v>
      </c>
      <c r="I274" s="28">
        <f t="shared" si="540"/>
        <v>0</v>
      </c>
      <c r="J274" s="28">
        <f t="shared" si="540"/>
        <v>0</v>
      </c>
      <c r="K274" s="28">
        <f t="shared" si="540"/>
        <v>0</v>
      </c>
      <c r="L274" s="28">
        <f t="shared" si="540"/>
        <v>0</v>
      </c>
      <c r="M274" s="28">
        <f t="shared" si="540"/>
        <v>0</v>
      </c>
      <c r="N274" s="28">
        <f t="shared" si="540"/>
        <v>0</v>
      </c>
      <c r="O274" s="28">
        <f t="shared" si="540"/>
        <v>0</v>
      </c>
      <c r="P274" s="28">
        <f t="shared" si="540"/>
        <v>0</v>
      </c>
      <c r="Q274" s="28">
        <f>60</f>
        <v>60</v>
      </c>
    </row>
    <row r="275">
      <c r="B275" s="20">
        <v>46280.0</v>
      </c>
      <c r="C275" s="21">
        <v>180.0</v>
      </c>
      <c r="D275" s="21">
        <v>0.0</v>
      </c>
      <c r="E275" s="21">
        <v>0.0</v>
      </c>
      <c r="F275" s="21">
        <v>0.0</v>
      </c>
      <c r="G275" s="21">
        <v>0.0</v>
      </c>
      <c r="H275" s="21">
        <v>0.0</v>
      </c>
      <c r="I275" s="21">
        <v>0.0</v>
      </c>
      <c r="J275" s="21">
        <v>0.0</v>
      </c>
      <c r="K275" s="21">
        <v>0.0</v>
      </c>
      <c r="L275" s="21">
        <v>0.0</v>
      </c>
      <c r="M275" s="21">
        <v>0.0</v>
      </c>
      <c r="N275" s="21">
        <v>0.0</v>
      </c>
      <c r="O275" s="21">
        <v>0.0</v>
      </c>
      <c r="P275" s="21">
        <v>0.0</v>
      </c>
      <c r="Q275" s="21">
        <v>180.0</v>
      </c>
    </row>
    <row r="276">
      <c r="B276" s="20">
        <v>46282.0</v>
      </c>
      <c r="C276" s="21">
        <v>180.0</v>
      </c>
      <c r="D276" s="28">
        <f>144</f>
        <v>144</v>
      </c>
      <c r="E276" s="28">
        <f t="shared" ref="E276:E277" si="542">0</f>
        <v>0</v>
      </c>
      <c r="F276" s="28">
        <f>36</f>
        <v>36</v>
      </c>
      <c r="G276" s="28">
        <f t="shared" ref="G276:Q276" si="541">0</f>
        <v>0</v>
      </c>
      <c r="H276" s="28">
        <f t="shared" si="541"/>
        <v>0</v>
      </c>
      <c r="I276" s="28">
        <f t="shared" si="541"/>
        <v>0</v>
      </c>
      <c r="J276" s="28">
        <f t="shared" si="541"/>
        <v>0</v>
      </c>
      <c r="K276" s="28">
        <f t="shared" si="541"/>
        <v>0</v>
      </c>
      <c r="L276" s="28">
        <f t="shared" si="541"/>
        <v>0</v>
      </c>
      <c r="M276" s="28">
        <f t="shared" si="541"/>
        <v>0</v>
      </c>
      <c r="N276" s="28">
        <f t="shared" si="541"/>
        <v>0</v>
      </c>
      <c r="O276" s="28">
        <f t="shared" si="541"/>
        <v>0</v>
      </c>
      <c r="P276" s="28">
        <f t="shared" si="541"/>
        <v>0</v>
      </c>
      <c r="Q276" s="28">
        <f t="shared" si="541"/>
        <v>0</v>
      </c>
    </row>
    <row r="277">
      <c r="B277" s="20">
        <v>46282.0</v>
      </c>
      <c r="C277" s="21">
        <v>80.0</v>
      </c>
      <c r="D277" s="28">
        <f>64</f>
        <v>64</v>
      </c>
      <c r="E277" s="28">
        <f t="shared" si="542"/>
        <v>0</v>
      </c>
      <c r="F277" s="28">
        <f t="shared" ref="F277:H277" si="543">0</f>
        <v>0</v>
      </c>
      <c r="G277" s="28">
        <f t="shared" si="543"/>
        <v>0</v>
      </c>
      <c r="H277" s="28">
        <f t="shared" si="543"/>
        <v>0</v>
      </c>
      <c r="I277" s="28">
        <f>16</f>
        <v>16</v>
      </c>
      <c r="J277" s="28">
        <f t="shared" ref="J277:Q277" si="544">0</f>
        <v>0</v>
      </c>
      <c r="K277" s="28">
        <f t="shared" si="544"/>
        <v>0</v>
      </c>
      <c r="L277" s="28">
        <f t="shared" si="544"/>
        <v>0</v>
      </c>
      <c r="M277" s="28">
        <f t="shared" si="544"/>
        <v>0</v>
      </c>
      <c r="N277" s="28">
        <f t="shared" si="544"/>
        <v>0</v>
      </c>
      <c r="O277" s="28">
        <f t="shared" si="544"/>
        <v>0</v>
      </c>
      <c r="P277" s="28">
        <f t="shared" si="544"/>
        <v>0</v>
      </c>
      <c r="Q277" s="28">
        <f t="shared" si="544"/>
        <v>0</v>
      </c>
    </row>
    <row r="278">
      <c r="B278" s="20">
        <v>46282.0</v>
      </c>
      <c r="C278" s="21">
        <v>620.0</v>
      </c>
      <c r="D278" s="28">
        <f t="shared" ref="D278:J278" si="545">0</f>
        <v>0</v>
      </c>
      <c r="E278" s="28">
        <f t="shared" si="545"/>
        <v>0</v>
      </c>
      <c r="F278" s="28">
        <f t="shared" si="545"/>
        <v>0</v>
      </c>
      <c r="G278" s="28">
        <f t="shared" si="545"/>
        <v>0</v>
      </c>
      <c r="H278" s="28">
        <f t="shared" si="545"/>
        <v>0</v>
      </c>
      <c r="I278" s="28">
        <f t="shared" si="545"/>
        <v>0</v>
      </c>
      <c r="J278" s="28">
        <f t="shared" si="545"/>
        <v>0</v>
      </c>
      <c r="K278" s="28">
        <f>558</f>
        <v>558</v>
      </c>
      <c r="L278" s="28">
        <f t="shared" ref="L278:P278" si="546">0</f>
        <v>0</v>
      </c>
      <c r="M278" s="28">
        <f t="shared" si="546"/>
        <v>0</v>
      </c>
      <c r="N278" s="28">
        <f t="shared" si="546"/>
        <v>0</v>
      </c>
      <c r="O278" s="28">
        <f t="shared" si="546"/>
        <v>0</v>
      </c>
      <c r="P278" s="28">
        <f t="shared" si="546"/>
        <v>0</v>
      </c>
      <c r="Q278" s="28">
        <f>62</f>
        <v>62</v>
      </c>
    </row>
    <row r="279">
      <c r="B279" s="20">
        <v>46282.0</v>
      </c>
      <c r="C279" s="21">
        <v>100.0</v>
      </c>
      <c r="D279" s="28">
        <f t="shared" ref="D279:G279" si="547">0</f>
        <v>0</v>
      </c>
      <c r="E279" s="28">
        <f t="shared" si="547"/>
        <v>0</v>
      </c>
      <c r="F279" s="28">
        <f t="shared" si="547"/>
        <v>0</v>
      </c>
      <c r="G279" s="28">
        <f t="shared" si="547"/>
        <v>0</v>
      </c>
      <c r="H279" s="28">
        <f>50</f>
        <v>50</v>
      </c>
      <c r="I279" s="28">
        <f t="shared" ref="I279:P279" si="548">0</f>
        <v>0</v>
      </c>
      <c r="J279" s="28">
        <f t="shared" si="548"/>
        <v>0</v>
      </c>
      <c r="K279" s="28">
        <f t="shared" si="548"/>
        <v>0</v>
      </c>
      <c r="L279" s="28">
        <f t="shared" si="548"/>
        <v>0</v>
      </c>
      <c r="M279" s="28">
        <f t="shared" si="548"/>
        <v>0</v>
      </c>
      <c r="N279" s="28">
        <f t="shared" si="548"/>
        <v>0</v>
      </c>
      <c r="O279" s="28">
        <f t="shared" si="548"/>
        <v>0</v>
      </c>
      <c r="P279" s="28">
        <f t="shared" si="548"/>
        <v>0</v>
      </c>
      <c r="Q279" s="28">
        <f>50</f>
        <v>50</v>
      </c>
    </row>
    <row r="280">
      <c r="B280" s="20">
        <v>46283.0</v>
      </c>
      <c r="C280" s="21">
        <v>40.0</v>
      </c>
      <c r="D280" s="28">
        <f t="shared" ref="D280:H280" si="549">0</f>
        <v>0</v>
      </c>
      <c r="E280" s="28">
        <f t="shared" si="549"/>
        <v>0</v>
      </c>
      <c r="F280" s="28">
        <f t="shared" si="549"/>
        <v>0</v>
      </c>
      <c r="G280" s="28">
        <f t="shared" si="549"/>
        <v>0</v>
      </c>
      <c r="H280" s="28">
        <f t="shared" si="549"/>
        <v>0</v>
      </c>
      <c r="I280" s="28">
        <f>40</f>
        <v>40</v>
      </c>
      <c r="J280" s="28">
        <f t="shared" ref="J280:Q280" si="550">0</f>
        <v>0</v>
      </c>
      <c r="K280" s="28">
        <f t="shared" si="550"/>
        <v>0</v>
      </c>
      <c r="L280" s="28">
        <f t="shared" si="550"/>
        <v>0</v>
      </c>
      <c r="M280" s="28">
        <f t="shared" si="550"/>
        <v>0</v>
      </c>
      <c r="N280" s="28">
        <f t="shared" si="550"/>
        <v>0</v>
      </c>
      <c r="O280" s="28">
        <f t="shared" si="550"/>
        <v>0</v>
      </c>
      <c r="P280" s="28">
        <f t="shared" si="550"/>
        <v>0</v>
      </c>
      <c r="Q280" s="28">
        <f t="shared" si="550"/>
        <v>0</v>
      </c>
    </row>
    <row r="281">
      <c r="B281" s="20">
        <v>46284.0</v>
      </c>
      <c r="C281" s="21">
        <v>200.0</v>
      </c>
      <c r="D281" s="28">
        <f t="shared" ref="D281:H281" si="551">0</f>
        <v>0</v>
      </c>
      <c r="E281" s="28">
        <f t="shared" si="551"/>
        <v>0</v>
      </c>
      <c r="F281" s="28">
        <f t="shared" si="551"/>
        <v>0</v>
      </c>
      <c r="G281" s="28">
        <f t="shared" si="551"/>
        <v>0</v>
      </c>
      <c r="H281" s="28">
        <f t="shared" si="551"/>
        <v>0</v>
      </c>
      <c r="I281" s="28">
        <f t="shared" ref="I281:J281" si="552">100</f>
        <v>100</v>
      </c>
      <c r="J281" s="28">
        <f t="shared" si="552"/>
        <v>100</v>
      </c>
      <c r="K281" s="28">
        <f t="shared" ref="K281:Q281" si="553">0</f>
        <v>0</v>
      </c>
      <c r="L281" s="28">
        <f t="shared" si="553"/>
        <v>0</v>
      </c>
      <c r="M281" s="28">
        <f t="shared" si="553"/>
        <v>0</v>
      </c>
      <c r="N281" s="28">
        <f t="shared" si="553"/>
        <v>0</v>
      </c>
      <c r="O281" s="28">
        <f t="shared" si="553"/>
        <v>0</v>
      </c>
      <c r="P281" s="28">
        <f t="shared" si="553"/>
        <v>0</v>
      </c>
      <c r="Q281" s="28">
        <f t="shared" si="553"/>
        <v>0</v>
      </c>
    </row>
    <row r="282">
      <c r="B282" s="20">
        <v>46284.0</v>
      </c>
      <c r="C282" s="21">
        <v>80.0</v>
      </c>
      <c r="D282" s="28">
        <f t="shared" ref="D282:H282" si="554">0</f>
        <v>0</v>
      </c>
      <c r="E282" s="28">
        <f t="shared" si="554"/>
        <v>0</v>
      </c>
      <c r="F282" s="28">
        <f t="shared" si="554"/>
        <v>0</v>
      </c>
      <c r="G282" s="28">
        <f t="shared" si="554"/>
        <v>0</v>
      </c>
      <c r="H282" s="28">
        <f t="shared" si="554"/>
        <v>0</v>
      </c>
      <c r="I282" s="28">
        <f>80</f>
        <v>80</v>
      </c>
      <c r="J282" s="28">
        <f t="shared" ref="J282:Q282" si="555">0</f>
        <v>0</v>
      </c>
      <c r="K282" s="28">
        <f t="shared" si="555"/>
        <v>0</v>
      </c>
      <c r="L282" s="28">
        <f t="shared" si="555"/>
        <v>0</v>
      </c>
      <c r="M282" s="28">
        <f t="shared" si="555"/>
        <v>0</v>
      </c>
      <c r="N282" s="28">
        <f t="shared" si="555"/>
        <v>0</v>
      </c>
      <c r="O282" s="28">
        <f t="shared" si="555"/>
        <v>0</v>
      </c>
      <c r="P282" s="28">
        <f t="shared" si="555"/>
        <v>0</v>
      </c>
      <c r="Q282" s="28">
        <f t="shared" si="555"/>
        <v>0</v>
      </c>
    </row>
    <row r="283">
      <c r="B283" s="20">
        <v>46284.0</v>
      </c>
      <c r="C283" s="21">
        <v>120.0</v>
      </c>
      <c r="D283" s="28">
        <f>24</f>
        <v>24</v>
      </c>
      <c r="E283" s="28">
        <f t="shared" ref="E283:H283" si="556">0</f>
        <v>0</v>
      </c>
      <c r="F283" s="28">
        <f t="shared" si="556"/>
        <v>0</v>
      </c>
      <c r="G283" s="28">
        <f t="shared" si="556"/>
        <v>0</v>
      </c>
      <c r="H283" s="28">
        <f t="shared" si="556"/>
        <v>0</v>
      </c>
      <c r="I283" s="28">
        <f>12</f>
        <v>12</v>
      </c>
      <c r="J283" s="28">
        <f>48</f>
        <v>48</v>
      </c>
      <c r="K283" s="28">
        <f>36</f>
        <v>36</v>
      </c>
      <c r="L283" s="28">
        <f t="shared" ref="L283:Q283" si="557">0</f>
        <v>0</v>
      </c>
      <c r="M283" s="28">
        <f t="shared" si="557"/>
        <v>0</v>
      </c>
      <c r="N283" s="28">
        <f t="shared" si="557"/>
        <v>0</v>
      </c>
      <c r="O283" s="28">
        <f t="shared" si="557"/>
        <v>0</v>
      </c>
      <c r="P283" s="28">
        <f t="shared" si="557"/>
        <v>0</v>
      </c>
      <c r="Q283" s="28">
        <f t="shared" si="557"/>
        <v>0</v>
      </c>
    </row>
    <row r="284">
      <c r="B284" s="20">
        <v>46285.0</v>
      </c>
      <c r="C284" s="21">
        <v>60.0</v>
      </c>
      <c r="D284" s="28">
        <f t="shared" ref="D284:F284" si="558">0</f>
        <v>0</v>
      </c>
      <c r="E284" s="28">
        <f t="shared" si="558"/>
        <v>0</v>
      </c>
      <c r="F284" s="28">
        <f t="shared" si="558"/>
        <v>0</v>
      </c>
      <c r="G284" s="28">
        <f>30</f>
        <v>30</v>
      </c>
      <c r="H284" s="28">
        <f t="shared" ref="H284:I284" si="559">0</f>
        <v>0</v>
      </c>
      <c r="I284" s="28">
        <f t="shared" si="559"/>
        <v>0</v>
      </c>
      <c r="J284" s="28">
        <f>30</f>
        <v>30</v>
      </c>
      <c r="K284" s="28">
        <f t="shared" ref="K284:Q284" si="560">0</f>
        <v>0</v>
      </c>
      <c r="L284" s="28">
        <f t="shared" si="560"/>
        <v>0</v>
      </c>
      <c r="M284" s="28">
        <f t="shared" si="560"/>
        <v>0</v>
      </c>
      <c r="N284" s="28">
        <f t="shared" si="560"/>
        <v>0</v>
      </c>
      <c r="O284" s="28">
        <f t="shared" si="560"/>
        <v>0</v>
      </c>
      <c r="P284" s="28">
        <f t="shared" si="560"/>
        <v>0</v>
      </c>
      <c r="Q284" s="28">
        <f t="shared" si="560"/>
        <v>0</v>
      </c>
    </row>
    <row r="285">
      <c r="B285" s="20">
        <v>46286.0</v>
      </c>
      <c r="C285" s="21">
        <v>20.0</v>
      </c>
      <c r="D285" s="21">
        <v>0.0</v>
      </c>
      <c r="E285" s="21">
        <v>0.0</v>
      </c>
      <c r="F285" s="21">
        <v>0.0</v>
      </c>
      <c r="G285" s="21">
        <v>0.0</v>
      </c>
      <c r="H285" s="21">
        <v>0.0</v>
      </c>
      <c r="I285" s="21">
        <v>0.0</v>
      </c>
      <c r="J285" s="21">
        <v>0.0</v>
      </c>
      <c r="K285" s="21">
        <v>0.0</v>
      </c>
      <c r="L285" s="21">
        <v>0.0</v>
      </c>
      <c r="M285" s="21">
        <v>0.0</v>
      </c>
      <c r="N285" s="21">
        <v>0.0</v>
      </c>
      <c r="O285" s="21">
        <v>0.0</v>
      </c>
      <c r="P285" s="21">
        <v>0.0</v>
      </c>
      <c r="Q285" s="21">
        <v>20.0</v>
      </c>
    </row>
    <row r="286">
      <c r="B286" s="20">
        <v>46287.0</v>
      </c>
      <c r="C286" s="21">
        <v>160.0</v>
      </c>
      <c r="D286" s="28">
        <f t="shared" ref="D286:P286" si="561">0</f>
        <v>0</v>
      </c>
      <c r="E286" s="28">
        <f t="shared" si="561"/>
        <v>0</v>
      </c>
      <c r="F286" s="28">
        <f t="shared" si="561"/>
        <v>0</v>
      </c>
      <c r="G286" s="28">
        <f t="shared" si="561"/>
        <v>0</v>
      </c>
      <c r="H286" s="28">
        <f t="shared" si="561"/>
        <v>0</v>
      </c>
      <c r="I286" s="28">
        <f t="shared" si="561"/>
        <v>0</v>
      </c>
      <c r="J286" s="28">
        <f t="shared" si="561"/>
        <v>0</v>
      </c>
      <c r="K286" s="28">
        <f t="shared" si="561"/>
        <v>0</v>
      </c>
      <c r="L286" s="28">
        <f t="shared" si="561"/>
        <v>0</v>
      </c>
      <c r="M286" s="28">
        <f t="shared" si="561"/>
        <v>0</v>
      </c>
      <c r="N286" s="28">
        <f t="shared" si="561"/>
        <v>0</v>
      </c>
      <c r="O286" s="28">
        <f t="shared" si="561"/>
        <v>0</v>
      </c>
      <c r="P286" s="28">
        <f t="shared" si="561"/>
        <v>0</v>
      </c>
      <c r="Q286" s="28">
        <f>160</f>
        <v>160</v>
      </c>
    </row>
    <row r="287">
      <c r="B287" s="20">
        <v>46288.0</v>
      </c>
      <c r="C287" s="21">
        <v>80.0</v>
      </c>
      <c r="D287" s="21">
        <v>0.0</v>
      </c>
      <c r="E287" s="21">
        <v>0.0</v>
      </c>
      <c r="F287" s="21">
        <v>0.0</v>
      </c>
      <c r="G287" s="21">
        <v>0.0</v>
      </c>
      <c r="H287" s="21">
        <v>0.0</v>
      </c>
      <c r="I287" s="21">
        <v>0.0</v>
      </c>
      <c r="J287" s="21">
        <v>0.0</v>
      </c>
      <c r="K287" s="21">
        <v>0.0</v>
      </c>
      <c r="L287" s="21">
        <v>0.0</v>
      </c>
      <c r="M287" s="21">
        <v>0.0</v>
      </c>
      <c r="N287" s="21">
        <v>0.0</v>
      </c>
      <c r="O287" s="21">
        <v>0.0</v>
      </c>
      <c r="P287" s="21">
        <v>0.0</v>
      </c>
      <c r="Q287" s="21">
        <v>80.0</v>
      </c>
    </row>
    <row r="288">
      <c r="B288" s="20">
        <v>46288.0</v>
      </c>
      <c r="C288" s="21">
        <v>380.0</v>
      </c>
      <c r="D288" s="28">
        <f t="shared" ref="D288:H288" si="562">0</f>
        <v>0</v>
      </c>
      <c r="E288" s="28">
        <f t="shared" si="562"/>
        <v>0</v>
      </c>
      <c r="F288" s="28">
        <f t="shared" si="562"/>
        <v>0</v>
      </c>
      <c r="G288" s="28">
        <f t="shared" si="562"/>
        <v>0</v>
      </c>
      <c r="H288" s="28">
        <f t="shared" si="562"/>
        <v>0</v>
      </c>
      <c r="I288" s="28">
        <f t="shared" ref="I288:J288" si="563">38</f>
        <v>38</v>
      </c>
      <c r="J288" s="28">
        <f t="shared" si="563"/>
        <v>38</v>
      </c>
      <c r="K288" s="28">
        <f>304</f>
        <v>304</v>
      </c>
      <c r="L288" s="28">
        <f t="shared" ref="L288:Q288" si="564">0</f>
        <v>0</v>
      </c>
      <c r="M288" s="28">
        <f t="shared" si="564"/>
        <v>0</v>
      </c>
      <c r="N288" s="28">
        <f t="shared" si="564"/>
        <v>0</v>
      </c>
      <c r="O288" s="28">
        <f t="shared" si="564"/>
        <v>0</v>
      </c>
      <c r="P288" s="28">
        <f t="shared" si="564"/>
        <v>0</v>
      </c>
      <c r="Q288" s="28">
        <f t="shared" si="564"/>
        <v>0</v>
      </c>
    </row>
    <row r="289">
      <c r="B289" s="20">
        <v>46288.0</v>
      </c>
      <c r="C289" s="21">
        <v>120.0</v>
      </c>
      <c r="D289" s="28">
        <f>24</f>
        <v>24</v>
      </c>
      <c r="E289" s="28">
        <f>0</f>
        <v>0</v>
      </c>
      <c r="F289" s="28">
        <f>24</f>
        <v>24</v>
      </c>
      <c r="G289" s="28">
        <f t="shared" ref="G289:N289" si="565">0</f>
        <v>0</v>
      </c>
      <c r="H289" s="28">
        <f t="shared" si="565"/>
        <v>0</v>
      </c>
      <c r="I289" s="28">
        <f t="shared" si="565"/>
        <v>0</v>
      </c>
      <c r="J289" s="28">
        <f t="shared" si="565"/>
        <v>0</v>
      </c>
      <c r="K289" s="28">
        <f t="shared" si="565"/>
        <v>0</v>
      </c>
      <c r="L289" s="28">
        <f t="shared" si="565"/>
        <v>0</v>
      </c>
      <c r="M289" s="28">
        <f t="shared" si="565"/>
        <v>0</v>
      </c>
      <c r="N289" s="28">
        <f t="shared" si="565"/>
        <v>0</v>
      </c>
      <c r="O289" s="28">
        <f>36</f>
        <v>36</v>
      </c>
      <c r="P289" s="28">
        <f>0</f>
        <v>0</v>
      </c>
      <c r="Q289" s="28">
        <f>36</f>
        <v>36</v>
      </c>
    </row>
    <row r="290">
      <c r="B290" s="20">
        <v>46289.0</v>
      </c>
      <c r="C290" s="21">
        <v>380.0</v>
      </c>
      <c r="D290" s="28">
        <f t="shared" ref="D290:I290" si="566">0</f>
        <v>0</v>
      </c>
      <c r="E290" s="28">
        <f t="shared" si="566"/>
        <v>0</v>
      </c>
      <c r="F290" s="28">
        <f t="shared" si="566"/>
        <v>0</v>
      </c>
      <c r="G290" s="28">
        <f t="shared" si="566"/>
        <v>0</v>
      </c>
      <c r="H290" s="28">
        <f t="shared" si="566"/>
        <v>0</v>
      </c>
      <c r="I290" s="28">
        <f t="shared" si="566"/>
        <v>0</v>
      </c>
      <c r="J290" s="28">
        <f>380</f>
        <v>380</v>
      </c>
      <c r="K290" s="28">
        <f t="shared" ref="K290:Q290" si="567">0</f>
        <v>0</v>
      </c>
      <c r="L290" s="28">
        <f t="shared" si="567"/>
        <v>0</v>
      </c>
      <c r="M290" s="28">
        <f t="shared" si="567"/>
        <v>0</v>
      </c>
      <c r="N290" s="28">
        <f t="shared" si="567"/>
        <v>0</v>
      </c>
      <c r="O290" s="28">
        <f t="shared" si="567"/>
        <v>0</v>
      </c>
      <c r="P290" s="28">
        <f t="shared" si="567"/>
        <v>0</v>
      </c>
      <c r="Q290" s="28">
        <f t="shared" si="567"/>
        <v>0</v>
      </c>
    </row>
    <row r="291">
      <c r="B291" s="20">
        <v>46289.0</v>
      </c>
      <c r="C291" s="21">
        <v>280.0</v>
      </c>
      <c r="D291" s="28">
        <f>112</f>
        <v>112</v>
      </c>
      <c r="E291" s="28">
        <f t="shared" ref="E291:I291" si="568">0</f>
        <v>0</v>
      </c>
      <c r="F291" s="28">
        <f t="shared" si="568"/>
        <v>0</v>
      </c>
      <c r="G291" s="28">
        <f t="shared" si="568"/>
        <v>0</v>
      </c>
      <c r="H291" s="28">
        <f t="shared" si="568"/>
        <v>0</v>
      </c>
      <c r="I291" s="28">
        <f t="shared" si="568"/>
        <v>0</v>
      </c>
      <c r="J291" s="28">
        <f>56</f>
        <v>56</v>
      </c>
      <c r="K291" s="28">
        <f t="shared" ref="K291:N291" si="569">0</f>
        <v>0</v>
      </c>
      <c r="L291" s="28">
        <f t="shared" si="569"/>
        <v>0</v>
      </c>
      <c r="M291" s="28">
        <f t="shared" si="569"/>
        <v>0</v>
      </c>
      <c r="N291" s="28">
        <f t="shared" si="569"/>
        <v>0</v>
      </c>
      <c r="O291" s="28">
        <f>56</f>
        <v>56</v>
      </c>
      <c r="P291" s="28">
        <f>0</f>
        <v>0</v>
      </c>
      <c r="Q291" s="28">
        <f>56</f>
        <v>56</v>
      </c>
    </row>
    <row r="292">
      <c r="B292" s="20">
        <v>46289.0</v>
      </c>
      <c r="C292" s="21">
        <v>80.0</v>
      </c>
      <c r="D292" s="28">
        <f t="shared" ref="D292:I292" si="570">0</f>
        <v>0</v>
      </c>
      <c r="E292" s="28">
        <f t="shared" si="570"/>
        <v>0</v>
      </c>
      <c r="F292" s="28">
        <f t="shared" si="570"/>
        <v>0</v>
      </c>
      <c r="G292" s="28">
        <f t="shared" si="570"/>
        <v>0</v>
      </c>
      <c r="H292" s="28">
        <f t="shared" si="570"/>
        <v>0</v>
      </c>
      <c r="I292" s="28">
        <f t="shared" si="570"/>
        <v>0</v>
      </c>
      <c r="J292" s="28">
        <f>64</f>
        <v>64</v>
      </c>
      <c r="K292" s="28">
        <f t="shared" ref="K292:P292" si="571">0</f>
        <v>0</v>
      </c>
      <c r="L292" s="28">
        <f t="shared" si="571"/>
        <v>0</v>
      </c>
      <c r="M292" s="28">
        <f t="shared" si="571"/>
        <v>0</v>
      </c>
      <c r="N292" s="28">
        <f t="shared" si="571"/>
        <v>0</v>
      </c>
      <c r="O292" s="28">
        <f t="shared" si="571"/>
        <v>0</v>
      </c>
      <c r="P292" s="28">
        <f t="shared" si="571"/>
        <v>0</v>
      </c>
      <c r="Q292" s="28">
        <f>16</f>
        <v>16</v>
      </c>
    </row>
    <row r="293">
      <c r="B293" s="20">
        <v>46289.0</v>
      </c>
      <c r="C293" s="21">
        <v>140.0</v>
      </c>
      <c r="D293" s="28">
        <f>84</f>
        <v>84</v>
      </c>
      <c r="E293" s="28">
        <f t="shared" ref="E293:I293" si="572">0</f>
        <v>0</v>
      </c>
      <c r="F293" s="28">
        <f t="shared" si="572"/>
        <v>0</v>
      </c>
      <c r="G293" s="28">
        <f t="shared" si="572"/>
        <v>0</v>
      </c>
      <c r="H293" s="28">
        <f t="shared" si="572"/>
        <v>0</v>
      </c>
      <c r="I293" s="28">
        <f t="shared" si="572"/>
        <v>0</v>
      </c>
      <c r="J293" s="28">
        <f>28</f>
        <v>28</v>
      </c>
      <c r="K293" s="28">
        <f t="shared" ref="K293:P293" si="573">0</f>
        <v>0</v>
      </c>
      <c r="L293" s="28">
        <f t="shared" si="573"/>
        <v>0</v>
      </c>
      <c r="M293" s="28">
        <f t="shared" si="573"/>
        <v>0</v>
      </c>
      <c r="N293" s="28">
        <f t="shared" si="573"/>
        <v>0</v>
      </c>
      <c r="O293" s="28">
        <f t="shared" si="573"/>
        <v>0</v>
      </c>
      <c r="P293" s="28">
        <f t="shared" si="573"/>
        <v>0</v>
      </c>
      <c r="Q293" s="28">
        <f>28</f>
        <v>28</v>
      </c>
    </row>
    <row r="294">
      <c r="B294" s="20">
        <v>46290.0</v>
      </c>
      <c r="C294" s="21">
        <v>420.0</v>
      </c>
      <c r="D294" s="28">
        <f t="shared" ref="D294:I294" si="574">0</f>
        <v>0</v>
      </c>
      <c r="E294" s="28">
        <f t="shared" si="574"/>
        <v>0</v>
      </c>
      <c r="F294" s="28">
        <f t="shared" si="574"/>
        <v>0</v>
      </c>
      <c r="G294" s="28">
        <f t="shared" si="574"/>
        <v>0</v>
      </c>
      <c r="H294" s="28">
        <f t="shared" si="574"/>
        <v>0</v>
      </c>
      <c r="I294" s="28">
        <f t="shared" si="574"/>
        <v>0</v>
      </c>
      <c r="J294" s="28">
        <f>84</f>
        <v>84</v>
      </c>
      <c r="K294" s="28">
        <f>294</f>
        <v>294</v>
      </c>
      <c r="L294" s="28">
        <f t="shared" ref="L294:P294" si="575">0</f>
        <v>0</v>
      </c>
      <c r="M294" s="28">
        <f t="shared" si="575"/>
        <v>0</v>
      </c>
      <c r="N294" s="28">
        <f t="shared" si="575"/>
        <v>0</v>
      </c>
      <c r="O294" s="28">
        <f t="shared" si="575"/>
        <v>0</v>
      </c>
      <c r="P294" s="28">
        <f t="shared" si="575"/>
        <v>0</v>
      </c>
      <c r="Q294" s="28">
        <f>42</f>
        <v>42</v>
      </c>
    </row>
    <row r="295">
      <c r="B295" s="20">
        <v>46290.0</v>
      </c>
      <c r="C295" s="21">
        <v>400.0</v>
      </c>
      <c r="D295" s="28">
        <f t="shared" ref="D295:H295" si="576">0</f>
        <v>0</v>
      </c>
      <c r="E295" s="28">
        <f t="shared" si="576"/>
        <v>0</v>
      </c>
      <c r="F295" s="28">
        <f t="shared" si="576"/>
        <v>0</v>
      </c>
      <c r="G295" s="28">
        <f t="shared" si="576"/>
        <v>0</v>
      </c>
      <c r="H295" s="28">
        <f t="shared" si="576"/>
        <v>0</v>
      </c>
      <c r="I295" s="28">
        <f>60</f>
        <v>60</v>
      </c>
      <c r="J295" s="28">
        <f>320</f>
        <v>320</v>
      </c>
      <c r="K295" s="28">
        <f t="shared" ref="K295:N295" si="577">0</f>
        <v>0</v>
      </c>
      <c r="L295" s="28">
        <f t="shared" si="577"/>
        <v>0</v>
      </c>
      <c r="M295" s="28">
        <f t="shared" si="577"/>
        <v>0</v>
      </c>
      <c r="N295" s="28">
        <f t="shared" si="577"/>
        <v>0</v>
      </c>
      <c r="O295" s="28">
        <f>20</f>
        <v>20</v>
      </c>
      <c r="P295" s="28">
        <f t="shared" ref="P295:Q295" si="578">0</f>
        <v>0</v>
      </c>
      <c r="Q295" s="28">
        <f t="shared" si="578"/>
        <v>0</v>
      </c>
    </row>
    <row r="296">
      <c r="B296" s="20">
        <v>46290.0</v>
      </c>
      <c r="C296" s="21">
        <v>180.0</v>
      </c>
      <c r="D296" s="28">
        <f>144</f>
        <v>144</v>
      </c>
      <c r="E296" s="28">
        <f t="shared" ref="E296:H296" si="579">0</f>
        <v>0</v>
      </c>
      <c r="F296" s="28">
        <f t="shared" si="579"/>
        <v>0</v>
      </c>
      <c r="G296" s="28">
        <f t="shared" si="579"/>
        <v>0</v>
      </c>
      <c r="H296" s="28">
        <f t="shared" si="579"/>
        <v>0</v>
      </c>
      <c r="I296" s="28">
        <f>18</f>
        <v>18</v>
      </c>
      <c r="J296" s="28">
        <f>9</f>
        <v>9</v>
      </c>
      <c r="K296" s="28">
        <f t="shared" ref="K296:P296" si="580">0</f>
        <v>0</v>
      </c>
      <c r="L296" s="28">
        <f t="shared" si="580"/>
        <v>0</v>
      </c>
      <c r="M296" s="28">
        <f t="shared" si="580"/>
        <v>0</v>
      </c>
      <c r="N296" s="28">
        <f t="shared" si="580"/>
        <v>0</v>
      </c>
      <c r="O296" s="28">
        <f t="shared" si="580"/>
        <v>0</v>
      </c>
      <c r="P296" s="28">
        <f t="shared" si="580"/>
        <v>0</v>
      </c>
      <c r="Q296" s="28">
        <f>9</f>
        <v>9</v>
      </c>
    </row>
    <row r="297">
      <c r="B297" s="20">
        <v>46290.0</v>
      </c>
      <c r="C297" s="21">
        <v>660.0</v>
      </c>
      <c r="D297" s="28">
        <f t="shared" ref="D297:J297" si="581">0</f>
        <v>0</v>
      </c>
      <c r="E297" s="28">
        <f t="shared" si="581"/>
        <v>0</v>
      </c>
      <c r="F297" s="28">
        <f t="shared" si="581"/>
        <v>0</v>
      </c>
      <c r="G297" s="28">
        <f t="shared" si="581"/>
        <v>0</v>
      </c>
      <c r="H297" s="28">
        <f t="shared" si="581"/>
        <v>0</v>
      </c>
      <c r="I297" s="28">
        <f t="shared" si="581"/>
        <v>0</v>
      </c>
      <c r="J297" s="28">
        <f t="shared" si="581"/>
        <v>0</v>
      </c>
      <c r="K297" s="28">
        <f>660</f>
        <v>660</v>
      </c>
      <c r="L297" s="28">
        <f t="shared" ref="L297:Q297" si="582">0</f>
        <v>0</v>
      </c>
      <c r="M297" s="28">
        <f t="shared" si="582"/>
        <v>0</v>
      </c>
      <c r="N297" s="28">
        <f t="shared" si="582"/>
        <v>0</v>
      </c>
      <c r="O297" s="28">
        <f t="shared" si="582"/>
        <v>0</v>
      </c>
      <c r="P297" s="28">
        <f t="shared" si="582"/>
        <v>0</v>
      </c>
      <c r="Q297" s="28">
        <f t="shared" si="582"/>
        <v>0</v>
      </c>
    </row>
    <row r="298">
      <c r="B298" s="20">
        <v>46291.0</v>
      </c>
      <c r="C298" s="21">
        <v>240.0</v>
      </c>
      <c r="D298" s="28">
        <f>96</f>
        <v>96</v>
      </c>
      <c r="E298" s="28">
        <f t="shared" ref="E298:G298" si="583">0</f>
        <v>0</v>
      </c>
      <c r="F298" s="28">
        <f t="shared" si="583"/>
        <v>0</v>
      </c>
      <c r="G298" s="28">
        <f t="shared" si="583"/>
        <v>0</v>
      </c>
      <c r="H298" s="28">
        <f>12</f>
        <v>12</v>
      </c>
      <c r="I298" s="28">
        <f t="shared" ref="I298:N298" si="584">0</f>
        <v>0</v>
      </c>
      <c r="J298" s="28">
        <f t="shared" si="584"/>
        <v>0</v>
      </c>
      <c r="K298" s="28">
        <f t="shared" si="584"/>
        <v>0</v>
      </c>
      <c r="L298" s="28">
        <f t="shared" si="584"/>
        <v>0</v>
      </c>
      <c r="M298" s="28">
        <f t="shared" si="584"/>
        <v>0</v>
      </c>
      <c r="N298" s="28">
        <f t="shared" si="584"/>
        <v>0</v>
      </c>
      <c r="O298" s="28">
        <f>96</f>
        <v>96</v>
      </c>
      <c r="P298" s="28">
        <f>0</f>
        <v>0</v>
      </c>
      <c r="Q298" s="28">
        <f>36</f>
        <v>36</v>
      </c>
    </row>
    <row r="299">
      <c r="B299" s="20">
        <v>46291.0</v>
      </c>
      <c r="C299" s="21">
        <v>180.0</v>
      </c>
      <c r="D299" s="28">
        <f>90</f>
        <v>90</v>
      </c>
      <c r="E299" s="28">
        <f t="shared" ref="E299:I299" si="585">0</f>
        <v>0</v>
      </c>
      <c r="F299" s="28">
        <f t="shared" si="585"/>
        <v>0</v>
      </c>
      <c r="G299" s="28">
        <f t="shared" si="585"/>
        <v>0</v>
      </c>
      <c r="H299" s="28">
        <f t="shared" si="585"/>
        <v>0</v>
      </c>
      <c r="I299" s="28">
        <f t="shared" si="585"/>
        <v>0</v>
      </c>
      <c r="J299" s="28">
        <f>90</f>
        <v>90</v>
      </c>
      <c r="K299" s="28">
        <f t="shared" ref="K299:Q299" si="586">0</f>
        <v>0</v>
      </c>
      <c r="L299" s="28">
        <f t="shared" si="586"/>
        <v>0</v>
      </c>
      <c r="M299" s="28">
        <f t="shared" si="586"/>
        <v>0</v>
      </c>
      <c r="N299" s="28">
        <f t="shared" si="586"/>
        <v>0</v>
      </c>
      <c r="O299" s="28">
        <f t="shared" si="586"/>
        <v>0</v>
      </c>
      <c r="P299" s="28">
        <f t="shared" si="586"/>
        <v>0</v>
      </c>
      <c r="Q299" s="28">
        <f t="shared" si="586"/>
        <v>0</v>
      </c>
    </row>
    <row r="300">
      <c r="B300" s="20">
        <v>46291.0</v>
      </c>
      <c r="C300" s="21">
        <v>100.0</v>
      </c>
      <c r="D300" s="28">
        <f>50</f>
        <v>50</v>
      </c>
      <c r="E300" s="28">
        <f t="shared" ref="E300:I300" si="587">0</f>
        <v>0</v>
      </c>
      <c r="F300" s="28">
        <f t="shared" si="587"/>
        <v>0</v>
      </c>
      <c r="G300" s="28">
        <f t="shared" si="587"/>
        <v>0</v>
      </c>
      <c r="H300" s="28">
        <f t="shared" si="587"/>
        <v>0</v>
      </c>
      <c r="I300" s="28">
        <f t="shared" si="587"/>
        <v>0</v>
      </c>
      <c r="J300" s="28">
        <f>40</f>
        <v>40</v>
      </c>
      <c r="K300" s="28">
        <f t="shared" ref="K300:P300" si="588">0</f>
        <v>0</v>
      </c>
      <c r="L300" s="28">
        <f t="shared" si="588"/>
        <v>0</v>
      </c>
      <c r="M300" s="28">
        <f t="shared" si="588"/>
        <v>0</v>
      </c>
      <c r="N300" s="28">
        <f t="shared" si="588"/>
        <v>0</v>
      </c>
      <c r="O300" s="28">
        <f t="shared" si="588"/>
        <v>0</v>
      </c>
      <c r="P300" s="28">
        <f t="shared" si="588"/>
        <v>0</v>
      </c>
      <c r="Q300" s="28">
        <f>10</f>
        <v>10</v>
      </c>
    </row>
    <row r="301">
      <c r="B301" s="20">
        <v>46292.0</v>
      </c>
      <c r="C301" s="21">
        <v>80.0</v>
      </c>
      <c r="D301" s="28">
        <f t="shared" ref="D301:E301" si="589">0</f>
        <v>0</v>
      </c>
      <c r="E301" s="28">
        <f t="shared" si="589"/>
        <v>0</v>
      </c>
      <c r="F301" s="28">
        <f>24</f>
        <v>24</v>
      </c>
      <c r="G301" s="28">
        <f t="shared" ref="G301:H301" si="590">0</f>
        <v>0</v>
      </c>
      <c r="H301" s="28">
        <f t="shared" si="590"/>
        <v>0</v>
      </c>
      <c r="I301" s="28">
        <f>48</f>
        <v>48</v>
      </c>
      <c r="J301" s="28">
        <f>8</f>
        <v>8</v>
      </c>
      <c r="K301" s="28">
        <f t="shared" ref="K301:Q301" si="591">0</f>
        <v>0</v>
      </c>
      <c r="L301" s="28">
        <f t="shared" si="591"/>
        <v>0</v>
      </c>
      <c r="M301" s="28">
        <f t="shared" si="591"/>
        <v>0</v>
      </c>
      <c r="N301" s="28">
        <f t="shared" si="591"/>
        <v>0</v>
      </c>
      <c r="O301" s="28">
        <f t="shared" si="591"/>
        <v>0</v>
      </c>
      <c r="P301" s="28">
        <f t="shared" si="591"/>
        <v>0</v>
      </c>
      <c r="Q301" s="28">
        <f t="shared" si="591"/>
        <v>0</v>
      </c>
    </row>
    <row r="302">
      <c r="B302" s="20">
        <v>46292.0</v>
      </c>
      <c r="C302" s="21">
        <v>100.0</v>
      </c>
      <c r="D302" s="28">
        <f>80</f>
        <v>80</v>
      </c>
      <c r="E302" s="28">
        <f>0</f>
        <v>0</v>
      </c>
      <c r="F302" s="28">
        <f>10</f>
        <v>10</v>
      </c>
      <c r="G302" s="28">
        <f t="shared" ref="G302:N302" si="592">0</f>
        <v>0</v>
      </c>
      <c r="H302" s="28">
        <f t="shared" si="592"/>
        <v>0</v>
      </c>
      <c r="I302" s="28">
        <f t="shared" si="592"/>
        <v>0</v>
      </c>
      <c r="J302" s="28">
        <f t="shared" si="592"/>
        <v>0</v>
      </c>
      <c r="K302" s="28">
        <f t="shared" si="592"/>
        <v>0</v>
      </c>
      <c r="L302" s="28">
        <f t="shared" si="592"/>
        <v>0</v>
      </c>
      <c r="M302" s="28">
        <f t="shared" si="592"/>
        <v>0</v>
      </c>
      <c r="N302" s="28">
        <f t="shared" si="592"/>
        <v>0</v>
      </c>
      <c r="O302" s="28">
        <f t="shared" ref="O302:O303" si="596">10</f>
        <v>10</v>
      </c>
      <c r="P302" s="28">
        <f t="shared" ref="P302:Q302" si="593">0</f>
        <v>0</v>
      </c>
      <c r="Q302" s="28">
        <f t="shared" si="593"/>
        <v>0</v>
      </c>
    </row>
    <row r="303">
      <c r="B303" s="20">
        <v>46292.0</v>
      </c>
      <c r="C303" s="21">
        <v>100.0</v>
      </c>
      <c r="D303" s="28">
        <f t="shared" ref="D303:F303" si="594">0</f>
        <v>0</v>
      </c>
      <c r="E303" s="28">
        <f t="shared" si="594"/>
        <v>0</v>
      </c>
      <c r="F303" s="28">
        <f t="shared" si="594"/>
        <v>0</v>
      </c>
      <c r="G303" s="28">
        <f>40</f>
        <v>40</v>
      </c>
      <c r="H303" s="28">
        <f t="shared" ref="H303:N303" si="595">0</f>
        <v>0</v>
      </c>
      <c r="I303" s="28">
        <f t="shared" si="595"/>
        <v>0</v>
      </c>
      <c r="J303" s="28">
        <f t="shared" si="595"/>
        <v>0</v>
      </c>
      <c r="K303" s="28">
        <f t="shared" si="595"/>
        <v>0</v>
      </c>
      <c r="L303" s="28">
        <f t="shared" si="595"/>
        <v>0</v>
      </c>
      <c r="M303" s="28">
        <f t="shared" si="595"/>
        <v>0</v>
      </c>
      <c r="N303" s="28">
        <f t="shared" si="595"/>
        <v>0</v>
      </c>
      <c r="O303" s="28">
        <f t="shared" si="596"/>
        <v>10</v>
      </c>
      <c r="P303" s="28">
        <f>0</f>
        <v>0</v>
      </c>
      <c r="Q303" s="28">
        <f>50</f>
        <v>50</v>
      </c>
    </row>
    <row r="304">
      <c r="B304" s="20">
        <v>46292.0</v>
      </c>
      <c r="C304" s="21">
        <v>100.0</v>
      </c>
      <c r="D304" s="28">
        <f>60</f>
        <v>60</v>
      </c>
      <c r="E304" s="28">
        <f t="shared" ref="E304:H304" si="597">0</f>
        <v>0</v>
      </c>
      <c r="F304" s="28">
        <f t="shared" si="597"/>
        <v>0</v>
      </c>
      <c r="G304" s="28">
        <f t="shared" si="597"/>
        <v>0</v>
      </c>
      <c r="H304" s="28">
        <f t="shared" si="597"/>
        <v>0</v>
      </c>
      <c r="I304" s="28">
        <f>30</f>
        <v>30</v>
      </c>
      <c r="J304" s="28">
        <f t="shared" ref="J304:P304" si="598">0</f>
        <v>0</v>
      </c>
      <c r="K304" s="28">
        <f t="shared" si="598"/>
        <v>0</v>
      </c>
      <c r="L304" s="28">
        <f t="shared" si="598"/>
        <v>0</v>
      </c>
      <c r="M304" s="28">
        <f t="shared" si="598"/>
        <v>0</v>
      </c>
      <c r="N304" s="28">
        <f t="shared" si="598"/>
        <v>0</v>
      </c>
      <c r="O304" s="28">
        <f t="shared" si="598"/>
        <v>0</v>
      </c>
      <c r="P304" s="28">
        <f t="shared" si="598"/>
        <v>0</v>
      </c>
      <c r="Q304" s="28">
        <f>10</f>
        <v>10</v>
      </c>
    </row>
    <row r="305">
      <c r="B305" s="20">
        <v>46293.0</v>
      </c>
      <c r="C305" s="21">
        <v>60.0</v>
      </c>
      <c r="D305" s="28">
        <f t="shared" ref="D305:G305" si="599">0</f>
        <v>0</v>
      </c>
      <c r="E305" s="28">
        <f t="shared" si="599"/>
        <v>0</v>
      </c>
      <c r="F305" s="28">
        <f t="shared" si="599"/>
        <v>0</v>
      </c>
      <c r="G305" s="28">
        <f t="shared" si="599"/>
        <v>0</v>
      </c>
      <c r="H305" s="28">
        <f>60</f>
        <v>60</v>
      </c>
      <c r="I305" s="28">
        <f t="shared" ref="I305:Q305" si="600">0</f>
        <v>0</v>
      </c>
      <c r="J305" s="28">
        <f t="shared" si="600"/>
        <v>0</v>
      </c>
      <c r="K305" s="28">
        <f t="shared" si="600"/>
        <v>0</v>
      </c>
      <c r="L305" s="28">
        <f t="shared" si="600"/>
        <v>0</v>
      </c>
      <c r="M305" s="28">
        <f t="shared" si="600"/>
        <v>0</v>
      </c>
      <c r="N305" s="28">
        <f t="shared" si="600"/>
        <v>0</v>
      </c>
      <c r="O305" s="28">
        <f t="shared" si="600"/>
        <v>0</v>
      </c>
      <c r="P305" s="28">
        <f t="shared" si="600"/>
        <v>0</v>
      </c>
      <c r="Q305" s="28">
        <f t="shared" si="600"/>
        <v>0</v>
      </c>
    </row>
    <row r="306">
      <c r="B306" s="20">
        <v>46293.0</v>
      </c>
      <c r="C306" s="21">
        <v>460.0</v>
      </c>
      <c r="D306" s="28">
        <f>138</f>
        <v>138</v>
      </c>
      <c r="E306" s="28">
        <f t="shared" ref="E306:G306" si="601">0</f>
        <v>0</v>
      </c>
      <c r="F306" s="28">
        <f t="shared" si="601"/>
        <v>0</v>
      </c>
      <c r="G306" s="28">
        <f t="shared" si="601"/>
        <v>0</v>
      </c>
      <c r="H306" s="28">
        <f>46</f>
        <v>46</v>
      </c>
      <c r="I306" s="28">
        <f>0</f>
        <v>0</v>
      </c>
      <c r="J306" s="28">
        <f>138</f>
        <v>138</v>
      </c>
      <c r="K306" s="28">
        <f t="shared" ref="K306:P306" si="602">0</f>
        <v>0</v>
      </c>
      <c r="L306" s="28">
        <f t="shared" si="602"/>
        <v>0</v>
      </c>
      <c r="M306" s="28">
        <f t="shared" si="602"/>
        <v>0</v>
      </c>
      <c r="N306" s="28">
        <f t="shared" si="602"/>
        <v>0</v>
      </c>
      <c r="O306" s="28">
        <f t="shared" si="602"/>
        <v>0</v>
      </c>
      <c r="P306" s="28">
        <f t="shared" si="602"/>
        <v>0</v>
      </c>
      <c r="Q306" s="28">
        <f>138</f>
        <v>138</v>
      </c>
    </row>
    <row r="307">
      <c r="B307" s="20">
        <v>46293.0</v>
      </c>
      <c r="C307" s="21">
        <v>300.0</v>
      </c>
      <c r="D307" s="28">
        <f t="shared" ref="D307:H307" si="603">0</f>
        <v>0</v>
      </c>
      <c r="E307" s="28">
        <f t="shared" si="603"/>
        <v>0</v>
      </c>
      <c r="F307" s="28">
        <f t="shared" si="603"/>
        <v>0</v>
      </c>
      <c r="G307" s="28">
        <f t="shared" si="603"/>
        <v>0</v>
      </c>
      <c r="H307" s="28">
        <f t="shared" si="603"/>
        <v>0</v>
      </c>
      <c r="I307" s="28">
        <f>30</f>
        <v>30</v>
      </c>
      <c r="J307" s="28">
        <f>210</f>
        <v>210</v>
      </c>
      <c r="K307" s="28">
        <f t="shared" ref="K307:P307" si="604">0</f>
        <v>0</v>
      </c>
      <c r="L307" s="28">
        <f t="shared" si="604"/>
        <v>0</v>
      </c>
      <c r="M307" s="28">
        <f t="shared" si="604"/>
        <v>0</v>
      </c>
      <c r="N307" s="28">
        <f t="shared" si="604"/>
        <v>0</v>
      </c>
      <c r="O307" s="28">
        <f t="shared" si="604"/>
        <v>0</v>
      </c>
      <c r="P307" s="28">
        <f t="shared" si="604"/>
        <v>0</v>
      </c>
      <c r="Q307" s="28">
        <f>60</f>
        <v>60</v>
      </c>
    </row>
    <row r="308">
      <c r="B308" s="20">
        <v>46293.0</v>
      </c>
      <c r="C308" s="21">
        <v>60.0</v>
      </c>
      <c r="D308" s="28">
        <f t="shared" ref="D308:G308" si="605">0</f>
        <v>0</v>
      </c>
      <c r="E308" s="28">
        <f t="shared" si="605"/>
        <v>0</v>
      </c>
      <c r="F308" s="28">
        <f t="shared" si="605"/>
        <v>0</v>
      </c>
      <c r="G308" s="28">
        <f t="shared" si="605"/>
        <v>0</v>
      </c>
      <c r="H308" s="28">
        <f>12</f>
        <v>12</v>
      </c>
      <c r="I308" s="28">
        <f t="shared" ref="I308:K308" si="606">0</f>
        <v>0</v>
      </c>
      <c r="J308" s="28">
        <f t="shared" si="606"/>
        <v>0</v>
      </c>
      <c r="K308" s="28">
        <f t="shared" si="606"/>
        <v>0</v>
      </c>
      <c r="L308" s="28">
        <f>24</f>
        <v>24</v>
      </c>
      <c r="M308" s="28">
        <f t="shared" ref="M308:P308" si="607">0</f>
        <v>0</v>
      </c>
      <c r="N308" s="28">
        <f t="shared" si="607"/>
        <v>0</v>
      </c>
      <c r="O308" s="28">
        <f t="shared" si="607"/>
        <v>0</v>
      </c>
      <c r="P308" s="28">
        <f t="shared" si="607"/>
        <v>0</v>
      </c>
      <c r="Q308" s="28">
        <f>24</f>
        <v>24</v>
      </c>
    </row>
    <row r="309">
      <c r="B309" s="20">
        <v>46294.0</v>
      </c>
      <c r="C309" s="21">
        <v>300.0</v>
      </c>
      <c r="D309" s="28">
        <f>120</f>
        <v>120</v>
      </c>
      <c r="E309" s="28">
        <f t="shared" ref="E309:G309" si="608">0</f>
        <v>0</v>
      </c>
      <c r="F309" s="28">
        <f t="shared" si="608"/>
        <v>0</v>
      </c>
      <c r="G309" s="28">
        <f t="shared" si="608"/>
        <v>0</v>
      </c>
      <c r="H309" s="28">
        <f>120</f>
        <v>120</v>
      </c>
      <c r="I309" s="28">
        <f t="shared" ref="I309:N309" si="609">0</f>
        <v>0</v>
      </c>
      <c r="J309" s="28">
        <f t="shared" si="609"/>
        <v>0</v>
      </c>
      <c r="K309" s="28">
        <f t="shared" si="609"/>
        <v>0</v>
      </c>
      <c r="L309" s="28">
        <f t="shared" si="609"/>
        <v>0</v>
      </c>
      <c r="M309" s="28">
        <f t="shared" si="609"/>
        <v>0</v>
      </c>
      <c r="N309" s="28">
        <f t="shared" si="609"/>
        <v>0</v>
      </c>
      <c r="O309" s="28">
        <f>30</f>
        <v>30</v>
      </c>
      <c r="P309" s="28">
        <f>0</f>
        <v>0</v>
      </c>
      <c r="Q309" s="28">
        <f>30</f>
        <v>30</v>
      </c>
    </row>
    <row r="310">
      <c r="B310" s="20">
        <v>46294.0</v>
      </c>
      <c r="C310" s="21">
        <v>20.0</v>
      </c>
      <c r="D310" s="28">
        <f>0</f>
        <v>0</v>
      </c>
      <c r="E310" s="28">
        <f>20</f>
        <v>20</v>
      </c>
      <c r="F310" s="28">
        <f t="shared" ref="F310:Q310" si="610">0</f>
        <v>0</v>
      </c>
      <c r="G310" s="28">
        <f t="shared" si="610"/>
        <v>0</v>
      </c>
      <c r="H310" s="28">
        <f t="shared" si="610"/>
        <v>0</v>
      </c>
      <c r="I310" s="28">
        <f t="shared" si="610"/>
        <v>0</v>
      </c>
      <c r="J310" s="28">
        <f t="shared" si="610"/>
        <v>0</v>
      </c>
      <c r="K310" s="28">
        <f t="shared" si="610"/>
        <v>0</v>
      </c>
      <c r="L310" s="28">
        <f t="shared" si="610"/>
        <v>0</v>
      </c>
      <c r="M310" s="28">
        <f t="shared" si="610"/>
        <v>0</v>
      </c>
      <c r="N310" s="28">
        <f t="shared" si="610"/>
        <v>0</v>
      </c>
      <c r="O310" s="28">
        <f t="shared" si="610"/>
        <v>0</v>
      </c>
      <c r="P310" s="28">
        <f t="shared" si="610"/>
        <v>0</v>
      </c>
      <c r="Q310" s="28">
        <f t="shared" si="610"/>
        <v>0</v>
      </c>
    </row>
    <row r="311">
      <c r="B311" s="20">
        <v>46294.0</v>
      </c>
      <c r="C311" s="21">
        <v>40.0</v>
      </c>
      <c r="D311" s="21">
        <v>0.0</v>
      </c>
      <c r="E311" s="21">
        <v>0.0</v>
      </c>
      <c r="F311" s="21">
        <v>0.0</v>
      </c>
      <c r="G311" s="21">
        <v>0.0</v>
      </c>
      <c r="H311" s="21">
        <v>0.0</v>
      </c>
      <c r="I311" s="21">
        <v>0.0</v>
      </c>
      <c r="J311" s="21">
        <v>0.0</v>
      </c>
      <c r="K311" s="21">
        <v>0.0</v>
      </c>
      <c r="L311" s="21">
        <v>0.0</v>
      </c>
      <c r="M311" s="21">
        <v>0.0</v>
      </c>
      <c r="N311" s="21">
        <v>0.0</v>
      </c>
      <c r="O311" s="21">
        <v>0.0</v>
      </c>
      <c r="P311" s="21">
        <v>0.0</v>
      </c>
      <c r="Q311" s="21">
        <v>40.0</v>
      </c>
    </row>
    <row r="312">
      <c r="B312" s="20">
        <v>46294.0</v>
      </c>
      <c r="C312" s="21">
        <v>120.0</v>
      </c>
      <c r="D312" s="28">
        <f t="shared" ref="D312:F312" si="611">0</f>
        <v>0</v>
      </c>
      <c r="E312" s="28">
        <f t="shared" si="611"/>
        <v>0</v>
      </c>
      <c r="F312" s="28">
        <f t="shared" si="611"/>
        <v>0</v>
      </c>
      <c r="G312" s="28">
        <f t="shared" ref="G312:H312" si="612">42</f>
        <v>42</v>
      </c>
      <c r="H312" s="28">
        <f t="shared" si="612"/>
        <v>42</v>
      </c>
      <c r="I312" s="28">
        <f t="shared" ref="I312:P312" si="613">0</f>
        <v>0</v>
      </c>
      <c r="J312" s="28">
        <f t="shared" si="613"/>
        <v>0</v>
      </c>
      <c r="K312" s="28">
        <f t="shared" si="613"/>
        <v>0</v>
      </c>
      <c r="L312" s="28">
        <f t="shared" si="613"/>
        <v>0</v>
      </c>
      <c r="M312" s="28">
        <f t="shared" si="613"/>
        <v>0</v>
      </c>
      <c r="N312" s="28">
        <f t="shared" si="613"/>
        <v>0</v>
      </c>
      <c r="O312" s="28">
        <f t="shared" si="613"/>
        <v>0</v>
      </c>
      <c r="P312" s="28">
        <f t="shared" si="613"/>
        <v>0</v>
      </c>
      <c r="Q312" s="28">
        <f>36</f>
        <v>36</v>
      </c>
    </row>
    <row r="313">
      <c r="B313" s="20">
        <v>46295.0</v>
      </c>
      <c r="C313" s="21">
        <v>20.0</v>
      </c>
      <c r="D313" s="28">
        <f t="shared" ref="D313:F313" si="614">0</f>
        <v>0</v>
      </c>
      <c r="E313" s="28">
        <f t="shared" si="614"/>
        <v>0</v>
      </c>
      <c r="F313" s="28">
        <f t="shared" si="614"/>
        <v>0</v>
      </c>
      <c r="G313" s="28">
        <f>20</f>
        <v>20</v>
      </c>
      <c r="H313" s="28">
        <f t="shared" ref="H313:Q313" si="615">0</f>
        <v>0</v>
      </c>
      <c r="I313" s="28">
        <f t="shared" si="615"/>
        <v>0</v>
      </c>
      <c r="J313" s="28">
        <f t="shared" si="615"/>
        <v>0</v>
      </c>
      <c r="K313" s="28">
        <f t="shared" si="615"/>
        <v>0</v>
      </c>
      <c r="L313" s="28">
        <f t="shared" si="615"/>
        <v>0</v>
      </c>
      <c r="M313" s="28">
        <f t="shared" si="615"/>
        <v>0</v>
      </c>
      <c r="N313" s="28">
        <f t="shared" si="615"/>
        <v>0</v>
      </c>
      <c r="O313" s="28">
        <f t="shared" si="615"/>
        <v>0</v>
      </c>
      <c r="P313" s="28">
        <f t="shared" si="615"/>
        <v>0</v>
      </c>
      <c r="Q313" s="28">
        <f t="shared" si="615"/>
        <v>0</v>
      </c>
    </row>
    <row r="314">
      <c r="B314" s="20">
        <v>46295.0</v>
      </c>
      <c r="C314" s="21">
        <v>100.0</v>
      </c>
      <c r="D314" s="28">
        <f t="shared" ref="D314:I314" si="616">0</f>
        <v>0</v>
      </c>
      <c r="E314" s="28">
        <f t="shared" si="616"/>
        <v>0</v>
      </c>
      <c r="F314" s="28">
        <f t="shared" si="616"/>
        <v>0</v>
      </c>
      <c r="G314" s="28">
        <f t="shared" si="616"/>
        <v>0</v>
      </c>
      <c r="H314" s="28">
        <f t="shared" si="616"/>
        <v>0</v>
      </c>
      <c r="I314" s="28">
        <f t="shared" si="616"/>
        <v>0</v>
      </c>
      <c r="J314" s="28">
        <f>40</f>
        <v>40</v>
      </c>
      <c r="K314" s="28">
        <f t="shared" ref="K314:P314" si="617">0</f>
        <v>0</v>
      </c>
      <c r="L314" s="28">
        <f t="shared" si="617"/>
        <v>0</v>
      </c>
      <c r="M314" s="28">
        <f t="shared" si="617"/>
        <v>0</v>
      </c>
      <c r="N314" s="28">
        <f t="shared" si="617"/>
        <v>0</v>
      </c>
      <c r="O314" s="28">
        <f t="shared" si="617"/>
        <v>0</v>
      </c>
      <c r="P314" s="28">
        <f t="shared" si="617"/>
        <v>0</v>
      </c>
      <c r="Q314" s="28">
        <f>60</f>
        <v>60</v>
      </c>
    </row>
    <row r="315">
      <c r="B315" s="20">
        <v>46295.0</v>
      </c>
      <c r="C315" s="21">
        <v>220.0</v>
      </c>
      <c r="D315" s="28">
        <f>198</f>
        <v>198</v>
      </c>
      <c r="E315" s="28">
        <f>22</f>
        <v>22</v>
      </c>
      <c r="F315" s="28">
        <f t="shared" ref="F315:Q315" si="618">0</f>
        <v>0</v>
      </c>
      <c r="G315" s="28">
        <f t="shared" si="618"/>
        <v>0</v>
      </c>
      <c r="H315" s="28">
        <f t="shared" si="618"/>
        <v>0</v>
      </c>
      <c r="I315" s="28">
        <f t="shared" si="618"/>
        <v>0</v>
      </c>
      <c r="J315" s="28">
        <f t="shared" si="618"/>
        <v>0</v>
      </c>
      <c r="K315" s="28">
        <f t="shared" si="618"/>
        <v>0</v>
      </c>
      <c r="L315" s="28">
        <f t="shared" si="618"/>
        <v>0</v>
      </c>
      <c r="M315" s="28">
        <f t="shared" si="618"/>
        <v>0</v>
      </c>
      <c r="N315" s="28">
        <f t="shared" si="618"/>
        <v>0</v>
      </c>
      <c r="O315" s="28">
        <f t="shared" si="618"/>
        <v>0</v>
      </c>
      <c r="P315" s="28">
        <f t="shared" si="618"/>
        <v>0</v>
      </c>
      <c r="Q315" s="28">
        <f t="shared" si="618"/>
        <v>0</v>
      </c>
    </row>
    <row r="316">
      <c r="B316" s="20">
        <v>46295.0</v>
      </c>
      <c r="C316" s="21">
        <v>200.0</v>
      </c>
      <c r="D316" s="28">
        <f t="shared" ref="D316:P316" si="619">0</f>
        <v>0</v>
      </c>
      <c r="E316" s="28">
        <f t="shared" si="619"/>
        <v>0</v>
      </c>
      <c r="F316" s="28">
        <f t="shared" si="619"/>
        <v>0</v>
      </c>
      <c r="G316" s="28">
        <f t="shared" si="619"/>
        <v>0</v>
      </c>
      <c r="H316" s="28">
        <f t="shared" si="619"/>
        <v>0</v>
      </c>
      <c r="I316" s="28">
        <f t="shared" si="619"/>
        <v>0</v>
      </c>
      <c r="J316" s="28">
        <f t="shared" si="619"/>
        <v>0</v>
      </c>
      <c r="K316" s="28">
        <f t="shared" si="619"/>
        <v>0</v>
      </c>
      <c r="L316" s="28">
        <f t="shared" si="619"/>
        <v>0</v>
      </c>
      <c r="M316" s="28">
        <f t="shared" si="619"/>
        <v>0</v>
      </c>
      <c r="N316" s="28">
        <f t="shared" si="619"/>
        <v>0</v>
      </c>
      <c r="O316" s="28">
        <f t="shared" si="619"/>
        <v>0</v>
      </c>
      <c r="P316" s="28">
        <f t="shared" si="619"/>
        <v>0</v>
      </c>
      <c r="Q316" s="28">
        <f>200</f>
        <v>200</v>
      </c>
    </row>
    <row r="317">
      <c r="B317" s="20">
        <v>46296.0</v>
      </c>
      <c r="C317" s="21">
        <v>360.0</v>
      </c>
      <c r="D317" s="28">
        <f t="shared" ref="D317:F317" si="620">0</f>
        <v>0</v>
      </c>
      <c r="E317" s="28">
        <f t="shared" si="620"/>
        <v>0</v>
      </c>
      <c r="F317" s="28">
        <f t="shared" si="620"/>
        <v>0</v>
      </c>
      <c r="G317" s="28">
        <f>72</f>
        <v>72</v>
      </c>
      <c r="H317" s="28">
        <f>0</f>
        <v>0</v>
      </c>
      <c r="I317" s="28">
        <f>36</f>
        <v>36</v>
      </c>
      <c r="J317" s="28">
        <f>252</f>
        <v>252</v>
      </c>
      <c r="K317" s="28">
        <f t="shared" ref="K317:Q317" si="621">0</f>
        <v>0</v>
      </c>
      <c r="L317" s="28">
        <f t="shared" si="621"/>
        <v>0</v>
      </c>
      <c r="M317" s="28">
        <f t="shared" si="621"/>
        <v>0</v>
      </c>
      <c r="N317" s="28">
        <f t="shared" si="621"/>
        <v>0</v>
      </c>
      <c r="O317" s="28">
        <f t="shared" si="621"/>
        <v>0</v>
      </c>
      <c r="P317" s="28">
        <f t="shared" si="621"/>
        <v>0</v>
      </c>
      <c r="Q317" s="28">
        <f t="shared" si="621"/>
        <v>0</v>
      </c>
    </row>
    <row r="318">
      <c r="B318" s="20">
        <v>46296.0</v>
      </c>
      <c r="C318" s="21">
        <v>240.0</v>
      </c>
      <c r="D318" s="28">
        <f t="shared" ref="D318:F318" si="622">24</f>
        <v>24</v>
      </c>
      <c r="E318" s="28">
        <f t="shared" si="622"/>
        <v>24</v>
      </c>
      <c r="F318" s="28">
        <f t="shared" si="622"/>
        <v>24</v>
      </c>
      <c r="G318" s="28">
        <f t="shared" ref="G318:H318" si="623">0</f>
        <v>0</v>
      </c>
      <c r="H318" s="28">
        <f t="shared" si="623"/>
        <v>0</v>
      </c>
      <c r="I318" s="28">
        <f>48</f>
        <v>48</v>
      </c>
      <c r="J318" s="28">
        <f>96</f>
        <v>96</v>
      </c>
      <c r="K318" s="28">
        <f t="shared" ref="K318:M318" si="624">0</f>
        <v>0</v>
      </c>
      <c r="L318" s="28">
        <f t="shared" si="624"/>
        <v>0</v>
      </c>
      <c r="M318" s="28">
        <f t="shared" si="624"/>
        <v>0</v>
      </c>
      <c r="N318" s="28">
        <f>24</f>
        <v>24</v>
      </c>
      <c r="O318" s="28">
        <f t="shared" ref="O318:Q318" si="625">0</f>
        <v>0</v>
      </c>
      <c r="P318" s="28">
        <f t="shared" si="625"/>
        <v>0</v>
      </c>
      <c r="Q318" s="28">
        <f t="shared" si="625"/>
        <v>0</v>
      </c>
    </row>
    <row r="319">
      <c r="B319" s="20">
        <v>46296.0</v>
      </c>
      <c r="C319" s="21">
        <v>60.0</v>
      </c>
      <c r="D319" s="28">
        <f t="shared" ref="D319:G319" si="626">0</f>
        <v>0</v>
      </c>
      <c r="E319" s="28">
        <f t="shared" si="626"/>
        <v>0</v>
      </c>
      <c r="F319" s="28">
        <f t="shared" si="626"/>
        <v>0</v>
      </c>
      <c r="G319" s="28">
        <f t="shared" si="626"/>
        <v>0</v>
      </c>
      <c r="H319" s="28">
        <f>60</f>
        <v>60</v>
      </c>
      <c r="I319" s="28">
        <f t="shared" ref="I319:Q319" si="627">0</f>
        <v>0</v>
      </c>
      <c r="J319" s="28">
        <f t="shared" si="627"/>
        <v>0</v>
      </c>
      <c r="K319" s="28">
        <f t="shared" si="627"/>
        <v>0</v>
      </c>
      <c r="L319" s="28">
        <f t="shared" si="627"/>
        <v>0</v>
      </c>
      <c r="M319" s="28">
        <f t="shared" si="627"/>
        <v>0</v>
      </c>
      <c r="N319" s="28">
        <f t="shared" si="627"/>
        <v>0</v>
      </c>
      <c r="O319" s="28">
        <f t="shared" si="627"/>
        <v>0</v>
      </c>
      <c r="P319" s="28">
        <f t="shared" si="627"/>
        <v>0</v>
      </c>
      <c r="Q319" s="28">
        <f t="shared" si="627"/>
        <v>0</v>
      </c>
    </row>
    <row r="320">
      <c r="B320" s="20">
        <v>46296.0</v>
      </c>
      <c r="C320" s="21">
        <v>240.0</v>
      </c>
      <c r="D320" s="28">
        <f t="shared" ref="D320:I320" si="628">0</f>
        <v>0</v>
      </c>
      <c r="E320" s="28">
        <f t="shared" si="628"/>
        <v>0</v>
      </c>
      <c r="F320" s="28">
        <f t="shared" si="628"/>
        <v>0</v>
      </c>
      <c r="G320" s="28">
        <f t="shared" si="628"/>
        <v>0</v>
      </c>
      <c r="H320" s="28">
        <f t="shared" si="628"/>
        <v>0</v>
      </c>
      <c r="I320" s="28">
        <f t="shared" si="628"/>
        <v>0</v>
      </c>
      <c r="J320" s="28">
        <f>240</f>
        <v>240</v>
      </c>
      <c r="K320" s="28">
        <f t="shared" ref="K320:Q320" si="629">0</f>
        <v>0</v>
      </c>
      <c r="L320" s="28">
        <f t="shared" si="629"/>
        <v>0</v>
      </c>
      <c r="M320" s="28">
        <f t="shared" si="629"/>
        <v>0</v>
      </c>
      <c r="N320" s="28">
        <f t="shared" si="629"/>
        <v>0</v>
      </c>
      <c r="O320" s="28">
        <f t="shared" si="629"/>
        <v>0</v>
      </c>
      <c r="P320" s="28">
        <f t="shared" si="629"/>
        <v>0</v>
      </c>
      <c r="Q320" s="28">
        <f t="shared" si="629"/>
        <v>0</v>
      </c>
    </row>
    <row r="321">
      <c r="B321" s="20">
        <v>46297.0</v>
      </c>
      <c r="C321" s="21">
        <v>400.0</v>
      </c>
      <c r="D321" s="28">
        <f t="shared" ref="D321:G321" si="630">0</f>
        <v>0</v>
      </c>
      <c r="E321" s="28">
        <f t="shared" si="630"/>
        <v>0</v>
      </c>
      <c r="F321" s="28">
        <f t="shared" si="630"/>
        <v>0</v>
      </c>
      <c r="G321" s="28">
        <f t="shared" si="630"/>
        <v>0</v>
      </c>
      <c r="H321" s="28">
        <f>20</f>
        <v>20</v>
      </c>
      <c r="I321" s="28">
        <f t="shared" ref="I321:J321" si="631">0</f>
        <v>0</v>
      </c>
      <c r="J321" s="28">
        <f t="shared" si="631"/>
        <v>0</v>
      </c>
      <c r="K321" s="28">
        <f>380</f>
        <v>380</v>
      </c>
      <c r="L321" s="28">
        <f t="shared" ref="L321:Q321" si="632">0</f>
        <v>0</v>
      </c>
      <c r="M321" s="28">
        <f t="shared" si="632"/>
        <v>0</v>
      </c>
      <c r="N321" s="28">
        <f t="shared" si="632"/>
        <v>0</v>
      </c>
      <c r="O321" s="28">
        <f t="shared" si="632"/>
        <v>0</v>
      </c>
      <c r="P321" s="28">
        <f t="shared" si="632"/>
        <v>0</v>
      </c>
      <c r="Q321" s="28">
        <f t="shared" si="632"/>
        <v>0</v>
      </c>
    </row>
    <row r="322">
      <c r="B322" s="20">
        <v>46297.0</v>
      </c>
      <c r="C322" s="21">
        <v>940.0</v>
      </c>
      <c r="D322" s="28">
        <f t="shared" ref="D322:M322" si="633">0</f>
        <v>0</v>
      </c>
      <c r="E322" s="28">
        <f t="shared" si="633"/>
        <v>0</v>
      </c>
      <c r="F322" s="28">
        <f t="shared" si="633"/>
        <v>0</v>
      </c>
      <c r="G322" s="28">
        <f t="shared" si="633"/>
        <v>0</v>
      </c>
      <c r="H322" s="28">
        <f t="shared" si="633"/>
        <v>0</v>
      </c>
      <c r="I322" s="28">
        <f t="shared" si="633"/>
        <v>0</v>
      </c>
      <c r="J322" s="28">
        <f t="shared" si="633"/>
        <v>0</v>
      </c>
      <c r="K322" s="28">
        <f t="shared" si="633"/>
        <v>0</v>
      </c>
      <c r="L322" s="28">
        <f t="shared" si="633"/>
        <v>0</v>
      </c>
      <c r="M322" s="28">
        <f t="shared" si="633"/>
        <v>0</v>
      </c>
      <c r="N322" s="28">
        <f>94</f>
        <v>94</v>
      </c>
      <c r="O322" s="28">
        <f>846</f>
        <v>846</v>
      </c>
      <c r="P322" s="28">
        <f t="shared" ref="P322:Q322" si="634">0</f>
        <v>0</v>
      </c>
      <c r="Q322" s="28">
        <f t="shared" si="634"/>
        <v>0</v>
      </c>
    </row>
    <row r="323">
      <c r="B323" s="20">
        <v>46297.0</v>
      </c>
      <c r="C323" s="21">
        <v>920.0</v>
      </c>
      <c r="D323" s="28">
        <f t="shared" ref="D323:G323" si="635">0</f>
        <v>0</v>
      </c>
      <c r="E323" s="28">
        <f t="shared" si="635"/>
        <v>0</v>
      </c>
      <c r="F323" s="28">
        <f t="shared" si="635"/>
        <v>0</v>
      </c>
      <c r="G323" s="28">
        <f t="shared" si="635"/>
        <v>0</v>
      </c>
      <c r="H323" s="28">
        <f>46</f>
        <v>46</v>
      </c>
      <c r="I323" s="28">
        <f t="shared" ref="I323:M323" si="636">0</f>
        <v>0</v>
      </c>
      <c r="J323" s="28">
        <f t="shared" si="636"/>
        <v>0</v>
      </c>
      <c r="K323" s="28">
        <f t="shared" si="636"/>
        <v>0</v>
      </c>
      <c r="L323" s="28">
        <f t="shared" si="636"/>
        <v>0</v>
      </c>
      <c r="M323" s="28">
        <f t="shared" si="636"/>
        <v>0</v>
      </c>
      <c r="N323" s="28">
        <f>92</f>
        <v>92</v>
      </c>
      <c r="O323" s="28">
        <f>782</f>
        <v>782</v>
      </c>
      <c r="P323" s="28">
        <f t="shared" ref="P323:Q323" si="637">0</f>
        <v>0</v>
      </c>
      <c r="Q323" s="28">
        <f t="shared" si="637"/>
        <v>0</v>
      </c>
    </row>
    <row r="324">
      <c r="B324" s="20">
        <v>46297.0</v>
      </c>
      <c r="C324" s="21">
        <v>80.0</v>
      </c>
      <c r="D324" s="28">
        <f>24</f>
        <v>24</v>
      </c>
      <c r="E324" s="28">
        <f t="shared" ref="E324:H324" si="638">0</f>
        <v>0</v>
      </c>
      <c r="F324" s="28">
        <f t="shared" si="638"/>
        <v>0</v>
      </c>
      <c r="G324" s="28">
        <f t="shared" si="638"/>
        <v>0</v>
      </c>
      <c r="H324" s="28">
        <f t="shared" si="638"/>
        <v>0</v>
      </c>
      <c r="I324" s="28">
        <f>48</f>
        <v>48</v>
      </c>
      <c r="J324" s="28">
        <f t="shared" ref="J324:N324" si="639">0</f>
        <v>0</v>
      </c>
      <c r="K324" s="28">
        <f t="shared" si="639"/>
        <v>0</v>
      </c>
      <c r="L324" s="28">
        <f t="shared" si="639"/>
        <v>0</v>
      </c>
      <c r="M324" s="28">
        <f t="shared" si="639"/>
        <v>0</v>
      </c>
      <c r="N324" s="28">
        <f t="shared" si="639"/>
        <v>0</v>
      </c>
      <c r="O324" s="28">
        <f>8</f>
        <v>8</v>
      </c>
      <c r="P324" s="28">
        <f t="shared" ref="P324:Q324" si="640">0</f>
        <v>0</v>
      </c>
      <c r="Q324" s="28">
        <f t="shared" si="640"/>
        <v>0</v>
      </c>
    </row>
    <row r="325">
      <c r="B325" s="20">
        <v>46297.0</v>
      </c>
      <c r="C325" s="21">
        <v>100.0</v>
      </c>
      <c r="D325" s="28">
        <f t="shared" ref="D325:H325" si="641">0</f>
        <v>0</v>
      </c>
      <c r="E325" s="28">
        <f t="shared" si="641"/>
        <v>0</v>
      </c>
      <c r="F325" s="28">
        <f t="shared" si="641"/>
        <v>0</v>
      </c>
      <c r="G325" s="28">
        <f t="shared" si="641"/>
        <v>0</v>
      </c>
      <c r="H325" s="28">
        <f t="shared" si="641"/>
        <v>0</v>
      </c>
      <c r="I325" s="28">
        <f>20</f>
        <v>20</v>
      </c>
      <c r="J325" s="28">
        <f>80</f>
        <v>80</v>
      </c>
      <c r="K325" s="28">
        <f t="shared" ref="K325:Q325" si="642">0</f>
        <v>0</v>
      </c>
      <c r="L325" s="28">
        <f t="shared" si="642"/>
        <v>0</v>
      </c>
      <c r="M325" s="28">
        <f t="shared" si="642"/>
        <v>0</v>
      </c>
      <c r="N325" s="28">
        <f t="shared" si="642"/>
        <v>0</v>
      </c>
      <c r="O325" s="28">
        <f t="shared" si="642"/>
        <v>0</v>
      </c>
      <c r="P325" s="28">
        <f t="shared" si="642"/>
        <v>0</v>
      </c>
      <c r="Q325" s="28">
        <f t="shared" si="642"/>
        <v>0</v>
      </c>
    </row>
    <row r="326">
      <c r="B326" s="20">
        <v>46298.0</v>
      </c>
      <c r="C326" s="21">
        <v>120.0</v>
      </c>
      <c r="D326" s="21">
        <v>0.0</v>
      </c>
      <c r="E326" s="21">
        <v>0.0</v>
      </c>
      <c r="F326" s="21">
        <v>0.0</v>
      </c>
      <c r="G326" s="21">
        <v>0.0</v>
      </c>
      <c r="H326" s="21">
        <v>0.0</v>
      </c>
      <c r="I326" s="21">
        <v>0.0</v>
      </c>
      <c r="J326" s="21">
        <v>0.0</v>
      </c>
      <c r="K326" s="21">
        <v>0.0</v>
      </c>
      <c r="L326" s="21">
        <v>0.0</v>
      </c>
      <c r="M326" s="21">
        <v>0.0</v>
      </c>
      <c r="N326" s="21">
        <v>0.0</v>
      </c>
      <c r="O326" s="21">
        <v>0.0</v>
      </c>
      <c r="P326" s="21">
        <v>0.0</v>
      </c>
      <c r="Q326" s="21">
        <v>120.0</v>
      </c>
    </row>
    <row r="327">
      <c r="B327" s="20">
        <v>46299.0</v>
      </c>
      <c r="C327" s="21">
        <v>260.0</v>
      </c>
      <c r="D327" s="28">
        <f>78</f>
        <v>78</v>
      </c>
      <c r="E327" s="28">
        <f t="shared" ref="E327:F327" si="643">26</f>
        <v>26</v>
      </c>
      <c r="F327" s="28">
        <f t="shared" si="643"/>
        <v>26</v>
      </c>
      <c r="G327" s="28">
        <f t="shared" ref="G327:H327" si="644">0</f>
        <v>0</v>
      </c>
      <c r="H327" s="28">
        <f t="shared" si="644"/>
        <v>0</v>
      </c>
      <c r="I327" s="28">
        <f>78</f>
        <v>78</v>
      </c>
      <c r="J327" s="28">
        <f>52</f>
        <v>52</v>
      </c>
      <c r="K327" s="28">
        <f t="shared" ref="K327:Q327" si="645">0</f>
        <v>0</v>
      </c>
      <c r="L327" s="28">
        <f t="shared" si="645"/>
        <v>0</v>
      </c>
      <c r="M327" s="28">
        <f t="shared" si="645"/>
        <v>0</v>
      </c>
      <c r="N327" s="28">
        <f t="shared" si="645"/>
        <v>0</v>
      </c>
      <c r="O327" s="28">
        <f t="shared" si="645"/>
        <v>0</v>
      </c>
      <c r="P327" s="28">
        <f t="shared" si="645"/>
        <v>0</v>
      </c>
      <c r="Q327" s="28">
        <f t="shared" si="645"/>
        <v>0</v>
      </c>
    </row>
    <row r="328">
      <c r="B328" s="20">
        <v>46299.0</v>
      </c>
      <c r="C328" s="21">
        <v>120.0</v>
      </c>
      <c r="D328" s="28">
        <f>24</f>
        <v>24</v>
      </c>
      <c r="E328" s="28">
        <f>0</f>
        <v>0</v>
      </c>
      <c r="F328" s="28">
        <f>24</f>
        <v>24</v>
      </c>
      <c r="G328" s="28">
        <f>0</f>
        <v>0</v>
      </c>
      <c r="H328" s="28">
        <f>24</f>
        <v>24</v>
      </c>
      <c r="I328" s="28">
        <f>0</f>
        <v>0</v>
      </c>
      <c r="J328" s="28">
        <f t="shared" ref="J328:J329" si="649">24</f>
        <v>24</v>
      </c>
      <c r="K328" s="28">
        <f t="shared" ref="K328:N328" si="646">0</f>
        <v>0</v>
      </c>
      <c r="L328" s="28">
        <f t="shared" si="646"/>
        <v>0</v>
      </c>
      <c r="M328" s="28">
        <f t="shared" si="646"/>
        <v>0</v>
      </c>
      <c r="N328" s="28">
        <f t="shared" si="646"/>
        <v>0</v>
      </c>
      <c r="O328" s="28">
        <f>24</f>
        <v>24</v>
      </c>
      <c r="P328" s="28">
        <f t="shared" ref="P328:Q328" si="647">0</f>
        <v>0</v>
      </c>
      <c r="Q328" s="28">
        <f t="shared" si="647"/>
        <v>0</v>
      </c>
    </row>
    <row r="329">
      <c r="B329" s="20">
        <v>46299.0</v>
      </c>
      <c r="C329" s="21">
        <v>80.0</v>
      </c>
      <c r="D329" s="28">
        <f t="shared" ref="D329:I329" si="648">0</f>
        <v>0</v>
      </c>
      <c r="E329" s="28">
        <f t="shared" si="648"/>
        <v>0</v>
      </c>
      <c r="F329" s="28">
        <f t="shared" si="648"/>
        <v>0</v>
      </c>
      <c r="G329" s="28">
        <f t="shared" si="648"/>
        <v>0</v>
      </c>
      <c r="H329" s="28">
        <f t="shared" si="648"/>
        <v>0</v>
      </c>
      <c r="I329" s="28">
        <f t="shared" si="648"/>
        <v>0</v>
      </c>
      <c r="J329" s="28">
        <f t="shared" si="649"/>
        <v>24</v>
      </c>
      <c r="K329" s="28">
        <f t="shared" ref="K329:P329" si="650">0</f>
        <v>0</v>
      </c>
      <c r="L329" s="28">
        <f t="shared" si="650"/>
        <v>0</v>
      </c>
      <c r="M329" s="28">
        <f t="shared" si="650"/>
        <v>0</v>
      </c>
      <c r="N329" s="28">
        <f t="shared" si="650"/>
        <v>0</v>
      </c>
      <c r="O329" s="28">
        <f t="shared" si="650"/>
        <v>0</v>
      </c>
      <c r="P329" s="28">
        <f t="shared" si="650"/>
        <v>0</v>
      </c>
      <c r="Q329" s="28">
        <f>56</f>
        <v>56</v>
      </c>
    </row>
    <row r="330">
      <c r="B330" s="20">
        <v>46300.0</v>
      </c>
      <c r="C330" s="21">
        <v>80.0</v>
      </c>
      <c r="D330" s="28">
        <f>56</f>
        <v>56</v>
      </c>
      <c r="E330" s="28">
        <f t="shared" ref="E330:G330" si="651">0</f>
        <v>0</v>
      </c>
      <c r="F330" s="28">
        <f t="shared" si="651"/>
        <v>0</v>
      </c>
      <c r="G330" s="28">
        <f t="shared" si="651"/>
        <v>0</v>
      </c>
      <c r="H330" s="28">
        <f>16</f>
        <v>16</v>
      </c>
      <c r="I330" s="28">
        <f t="shared" ref="I330:N330" si="652">0</f>
        <v>0</v>
      </c>
      <c r="J330" s="28">
        <f t="shared" si="652"/>
        <v>0</v>
      </c>
      <c r="K330" s="28">
        <f t="shared" si="652"/>
        <v>0</v>
      </c>
      <c r="L330" s="28">
        <f t="shared" si="652"/>
        <v>0</v>
      </c>
      <c r="M330" s="28">
        <f t="shared" si="652"/>
        <v>0</v>
      </c>
      <c r="N330" s="28">
        <f t="shared" si="652"/>
        <v>0</v>
      </c>
      <c r="O330" s="28">
        <f>8</f>
        <v>8</v>
      </c>
      <c r="P330" s="28">
        <f t="shared" ref="P330:Q330" si="653">0</f>
        <v>0</v>
      </c>
      <c r="Q330" s="28">
        <f t="shared" si="653"/>
        <v>0</v>
      </c>
    </row>
    <row r="331">
      <c r="B331" s="20">
        <v>46300.0</v>
      </c>
      <c r="C331" s="21">
        <v>20.0</v>
      </c>
      <c r="D331" s="21">
        <v>0.0</v>
      </c>
      <c r="E331" s="21">
        <v>0.0</v>
      </c>
      <c r="F331" s="21">
        <v>0.0</v>
      </c>
      <c r="G331" s="21">
        <v>0.0</v>
      </c>
      <c r="H331" s="21">
        <v>0.0</v>
      </c>
      <c r="I331" s="21">
        <v>0.0</v>
      </c>
      <c r="J331" s="21">
        <v>0.0</v>
      </c>
      <c r="K331" s="21">
        <v>0.0</v>
      </c>
      <c r="L331" s="21">
        <v>0.0</v>
      </c>
      <c r="M331" s="21">
        <v>0.0</v>
      </c>
      <c r="N331" s="21">
        <v>0.0</v>
      </c>
      <c r="O331" s="21">
        <v>0.0</v>
      </c>
      <c r="P331" s="21">
        <v>0.0</v>
      </c>
      <c r="Q331" s="21">
        <v>20.0</v>
      </c>
    </row>
    <row r="332">
      <c r="B332" s="20">
        <v>46300.0</v>
      </c>
      <c r="C332" s="21">
        <v>220.0</v>
      </c>
      <c r="D332" s="28">
        <f>110</f>
        <v>110</v>
      </c>
      <c r="E332" s="28">
        <f t="shared" ref="E332:E333" si="656">0</f>
        <v>0</v>
      </c>
      <c r="F332" s="28">
        <f>22</f>
        <v>22</v>
      </c>
      <c r="G332" s="28">
        <f>0</f>
        <v>0</v>
      </c>
      <c r="H332" s="28">
        <f t="shared" ref="H332:J332" si="654">22</f>
        <v>22</v>
      </c>
      <c r="I332" s="28">
        <f t="shared" si="654"/>
        <v>22</v>
      </c>
      <c r="J332" s="28">
        <f t="shared" si="654"/>
        <v>22</v>
      </c>
      <c r="K332" s="28">
        <f t="shared" ref="K332:P332" si="655">0</f>
        <v>0</v>
      </c>
      <c r="L332" s="28">
        <f t="shared" si="655"/>
        <v>0</v>
      </c>
      <c r="M332" s="28">
        <f t="shared" si="655"/>
        <v>0</v>
      </c>
      <c r="N332" s="28">
        <f t="shared" si="655"/>
        <v>0</v>
      </c>
      <c r="O332" s="28">
        <f t="shared" si="655"/>
        <v>0</v>
      </c>
      <c r="P332" s="28">
        <f t="shared" si="655"/>
        <v>0</v>
      </c>
      <c r="Q332" s="28">
        <f>22</f>
        <v>22</v>
      </c>
    </row>
    <row r="333">
      <c r="B333" s="20">
        <v>46300.0</v>
      </c>
      <c r="C333" s="21">
        <v>420.0</v>
      </c>
      <c r="D333" s="28">
        <f>168</f>
        <v>168</v>
      </c>
      <c r="E333" s="28">
        <f t="shared" si="656"/>
        <v>0</v>
      </c>
      <c r="F333" s="28">
        <f t="shared" ref="F333:H333" si="657">0</f>
        <v>0</v>
      </c>
      <c r="G333" s="28">
        <f t="shared" si="657"/>
        <v>0</v>
      </c>
      <c r="H333" s="28">
        <f t="shared" si="657"/>
        <v>0</v>
      </c>
      <c r="I333" s="28">
        <f>42</f>
        <v>42</v>
      </c>
      <c r="J333" s="28">
        <f>126</f>
        <v>126</v>
      </c>
      <c r="K333" s="28">
        <f t="shared" ref="K333:P333" si="658">0</f>
        <v>0</v>
      </c>
      <c r="L333" s="28">
        <f t="shared" si="658"/>
        <v>0</v>
      </c>
      <c r="M333" s="28">
        <f t="shared" si="658"/>
        <v>0</v>
      </c>
      <c r="N333" s="28">
        <f t="shared" si="658"/>
        <v>0</v>
      </c>
      <c r="O333" s="28">
        <f t="shared" si="658"/>
        <v>0</v>
      </c>
      <c r="P333" s="28">
        <f t="shared" si="658"/>
        <v>0</v>
      </c>
      <c r="Q333" s="28">
        <f>84</f>
        <v>84</v>
      </c>
    </row>
    <row r="334">
      <c r="B334" s="20">
        <v>46301.0</v>
      </c>
      <c r="C334" s="21">
        <v>60.0</v>
      </c>
      <c r="D334" s="21">
        <v>0.0</v>
      </c>
      <c r="E334" s="21">
        <v>0.0</v>
      </c>
      <c r="F334" s="21">
        <v>0.0</v>
      </c>
      <c r="G334" s="21">
        <v>0.0</v>
      </c>
      <c r="H334" s="21">
        <v>0.0</v>
      </c>
      <c r="I334" s="21">
        <v>0.0</v>
      </c>
      <c r="J334" s="21">
        <v>0.0</v>
      </c>
      <c r="K334" s="21">
        <v>0.0</v>
      </c>
      <c r="L334" s="21">
        <v>0.0</v>
      </c>
      <c r="M334" s="21">
        <v>0.0</v>
      </c>
      <c r="N334" s="21">
        <v>0.0</v>
      </c>
      <c r="O334" s="21">
        <v>0.0</v>
      </c>
      <c r="P334" s="21">
        <v>0.0</v>
      </c>
      <c r="Q334" s="21">
        <v>60.0</v>
      </c>
    </row>
    <row r="335">
      <c r="B335" s="20">
        <v>46302.0</v>
      </c>
      <c r="C335" s="21">
        <v>20.0</v>
      </c>
      <c r="D335" s="28">
        <f t="shared" ref="D335:P335" si="659">0</f>
        <v>0</v>
      </c>
      <c r="E335" s="28">
        <f t="shared" si="659"/>
        <v>0</v>
      </c>
      <c r="F335" s="28">
        <f t="shared" si="659"/>
        <v>0</v>
      </c>
      <c r="G335" s="28">
        <f t="shared" si="659"/>
        <v>0</v>
      </c>
      <c r="H335" s="28">
        <f t="shared" si="659"/>
        <v>0</v>
      </c>
      <c r="I335" s="28">
        <f t="shared" si="659"/>
        <v>0</v>
      </c>
      <c r="J335" s="28">
        <f t="shared" si="659"/>
        <v>0</v>
      </c>
      <c r="K335" s="28">
        <f t="shared" si="659"/>
        <v>0</v>
      </c>
      <c r="L335" s="28">
        <f t="shared" si="659"/>
        <v>0</v>
      </c>
      <c r="M335" s="28">
        <f t="shared" si="659"/>
        <v>0</v>
      </c>
      <c r="N335" s="28">
        <f t="shared" si="659"/>
        <v>0</v>
      </c>
      <c r="O335" s="28">
        <f t="shared" si="659"/>
        <v>0</v>
      </c>
      <c r="P335" s="28">
        <f t="shared" si="659"/>
        <v>0</v>
      </c>
      <c r="Q335" s="28">
        <f>20</f>
        <v>20</v>
      </c>
    </row>
    <row r="336">
      <c r="B336" s="20">
        <v>46302.0</v>
      </c>
      <c r="C336" s="21">
        <v>320.0</v>
      </c>
      <c r="D336" s="28">
        <f>256</f>
        <v>256</v>
      </c>
      <c r="E336" s="28">
        <f t="shared" ref="E336:I336" si="660">0</f>
        <v>0</v>
      </c>
      <c r="F336" s="28">
        <f t="shared" si="660"/>
        <v>0</v>
      </c>
      <c r="G336" s="28">
        <f t="shared" si="660"/>
        <v>0</v>
      </c>
      <c r="H336" s="28">
        <f t="shared" si="660"/>
        <v>0</v>
      </c>
      <c r="I336" s="28">
        <f t="shared" si="660"/>
        <v>0</v>
      </c>
      <c r="J336" s="28">
        <f>64</f>
        <v>64</v>
      </c>
      <c r="K336" s="28">
        <f t="shared" ref="K336:Q336" si="661">0</f>
        <v>0</v>
      </c>
      <c r="L336" s="28">
        <f t="shared" si="661"/>
        <v>0</v>
      </c>
      <c r="M336" s="28">
        <f t="shared" si="661"/>
        <v>0</v>
      </c>
      <c r="N336" s="28">
        <f t="shared" si="661"/>
        <v>0</v>
      </c>
      <c r="O336" s="28">
        <f t="shared" si="661"/>
        <v>0</v>
      </c>
      <c r="P336" s="28">
        <f t="shared" si="661"/>
        <v>0</v>
      </c>
      <c r="Q336" s="28">
        <f t="shared" si="661"/>
        <v>0</v>
      </c>
    </row>
    <row r="337">
      <c r="B337" s="20">
        <v>46302.0</v>
      </c>
      <c r="C337" s="21">
        <v>200.0</v>
      </c>
      <c r="D337" s="28">
        <f t="shared" ref="D337:G337" si="662">0</f>
        <v>0</v>
      </c>
      <c r="E337" s="28">
        <f t="shared" si="662"/>
        <v>0</v>
      </c>
      <c r="F337" s="28">
        <f t="shared" si="662"/>
        <v>0</v>
      </c>
      <c r="G337" s="28">
        <f t="shared" si="662"/>
        <v>0</v>
      </c>
      <c r="H337" s="28">
        <f>60</f>
        <v>60</v>
      </c>
      <c r="I337" s="28">
        <f t="shared" ref="I337:P337" si="663">0</f>
        <v>0</v>
      </c>
      <c r="J337" s="28">
        <f t="shared" si="663"/>
        <v>0</v>
      </c>
      <c r="K337" s="28">
        <f t="shared" si="663"/>
        <v>0</v>
      </c>
      <c r="L337" s="28">
        <f t="shared" si="663"/>
        <v>0</v>
      </c>
      <c r="M337" s="28">
        <f t="shared" si="663"/>
        <v>0</v>
      </c>
      <c r="N337" s="28">
        <f t="shared" si="663"/>
        <v>0</v>
      </c>
      <c r="O337" s="28">
        <f t="shared" si="663"/>
        <v>0</v>
      </c>
      <c r="P337" s="28">
        <f t="shared" si="663"/>
        <v>0</v>
      </c>
      <c r="Q337" s="28">
        <f>140</f>
        <v>140</v>
      </c>
    </row>
    <row r="338">
      <c r="B338" s="20">
        <v>46302.0</v>
      </c>
      <c r="C338" s="21">
        <v>700.0</v>
      </c>
      <c r="D338" s="28">
        <f t="shared" ref="D338:G338" si="664">0</f>
        <v>0</v>
      </c>
      <c r="E338" s="28">
        <f t="shared" si="664"/>
        <v>0</v>
      </c>
      <c r="F338" s="28">
        <f t="shared" si="664"/>
        <v>0</v>
      </c>
      <c r="G338" s="28">
        <f t="shared" si="664"/>
        <v>0</v>
      </c>
      <c r="H338" s="28">
        <f>35</f>
        <v>35</v>
      </c>
      <c r="I338" s="28">
        <f t="shared" ref="I338:J338" si="665">0</f>
        <v>0</v>
      </c>
      <c r="J338" s="28">
        <f t="shared" si="665"/>
        <v>0</v>
      </c>
      <c r="K338" s="28">
        <f>665</f>
        <v>665</v>
      </c>
      <c r="L338" s="28">
        <f t="shared" ref="L338:Q338" si="666">0</f>
        <v>0</v>
      </c>
      <c r="M338" s="28">
        <f t="shared" si="666"/>
        <v>0</v>
      </c>
      <c r="N338" s="28">
        <f t="shared" si="666"/>
        <v>0</v>
      </c>
      <c r="O338" s="28">
        <f t="shared" si="666"/>
        <v>0</v>
      </c>
      <c r="P338" s="28">
        <f t="shared" si="666"/>
        <v>0</v>
      </c>
      <c r="Q338" s="28">
        <f t="shared" si="666"/>
        <v>0</v>
      </c>
    </row>
    <row r="339">
      <c r="B339" s="20">
        <v>46303.0</v>
      </c>
      <c r="C339" s="21">
        <v>220.0</v>
      </c>
      <c r="D339" s="28">
        <f t="shared" ref="D339:D341" si="669">0</f>
        <v>0</v>
      </c>
      <c r="E339" s="28">
        <f>4.4</f>
        <v>4.4</v>
      </c>
      <c r="F339" s="28">
        <f t="shared" ref="F339:I339" si="667">0</f>
        <v>0</v>
      </c>
      <c r="G339" s="28">
        <f t="shared" si="667"/>
        <v>0</v>
      </c>
      <c r="H339" s="28">
        <f t="shared" si="667"/>
        <v>0</v>
      </c>
      <c r="I339" s="28">
        <f t="shared" si="667"/>
        <v>0</v>
      </c>
      <c r="J339" s="28">
        <f>215.6</f>
        <v>215.6</v>
      </c>
      <c r="K339" s="28">
        <f t="shared" ref="K339:Q339" si="668">0</f>
        <v>0</v>
      </c>
      <c r="L339" s="28">
        <f t="shared" si="668"/>
        <v>0</v>
      </c>
      <c r="M339" s="28">
        <f t="shared" si="668"/>
        <v>0</v>
      </c>
      <c r="N339" s="28">
        <f t="shared" si="668"/>
        <v>0</v>
      </c>
      <c r="O339" s="28">
        <f t="shared" si="668"/>
        <v>0</v>
      </c>
      <c r="P339" s="28">
        <f t="shared" si="668"/>
        <v>0</v>
      </c>
      <c r="Q339" s="28">
        <f t="shared" si="668"/>
        <v>0</v>
      </c>
    </row>
    <row r="340">
      <c r="B340" s="20">
        <v>46303.0</v>
      </c>
      <c r="C340" s="21">
        <v>80.0</v>
      </c>
      <c r="D340" s="28">
        <f t="shared" si="669"/>
        <v>0</v>
      </c>
      <c r="E340" s="28">
        <f t="shared" ref="E340:F340" si="670">0</f>
        <v>0</v>
      </c>
      <c r="F340" s="28">
        <f t="shared" si="670"/>
        <v>0</v>
      </c>
      <c r="G340" s="28">
        <f>4</f>
        <v>4</v>
      </c>
      <c r="H340" s="28">
        <f t="shared" ref="H340:I340" si="671">0</f>
        <v>0</v>
      </c>
      <c r="I340" s="28">
        <f t="shared" si="671"/>
        <v>0</v>
      </c>
      <c r="J340" s="28">
        <f>72</f>
        <v>72</v>
      </c>
      <c r="K340" s="28">
        <f t="shared" ref="K340:N340" si="672">0</f>
        <v>0</v>
      </c>
      <c r="L340" s="28">
        <f t="shared" si="672"/>
        <v>0</v>
      </c>
      <c r="M340" s="28">
        <f t="shared" si="672"/>
        <v>0</v>
      </c>
      <c r="N340" s="28">
        <f t="shared" si="672"/>
        <v>0</v>
      </c>
      <c r="O340" s="28">
        <f>4</f>
        <v>4</v>
      </c>
      <c r="P340" s="28">
        <f t="shared" ref="P340:Q340" si="673">0</f>
        <v>0</v>
      </c>
      <c r="Q340" s="28">
        <f t="shared" si="673"/>
        <v>0</v>
      </c>
    </row>
    <row r="341">
      <c r="B341" s="20">
        <v>46303.0</v>
      </c>
      <c r="C341" s="21">
        <v>140.0</v>
      </c>
      <c r="D341" s="28">
        <f t="shared" si="669"/>
        <v>0</v>
      </c>
      <c r="E341" s="28">
        <f t="shared" ref="E341:G341" si="674">0</f>
        <v>0</v>
      </c>
      <c r="F341" s="28">
        <f t="shared" si="674"/>
        <v>0</v>
      </c>
      <c r="G341" s="28">
        <f t="shared" si="674"/>
        <v>0</v>
      </c>
      <c r="H341" s="28">
        <f>14</f>
        <v>14</v>
      </c>
      <c r="I341" s="28">
        <f>0</f>
        <v>0</v>
      </c>
      <c r="J341" s="28">
        <f>126</f>
        <v>126</v>
      </c>
      <c r="K341" s="28">
        <f t="shared" ref="K341:Q341" si="675">0</f>
        <v>0</v>
      </c>
      <c r="L341" s="28">
        <f t="shared" si="675"/>
        <v>0</v>
      </c>
      <c r="M341" s="28">
        <f t="shared" si="675"/>
        <v>0</v>
      </c>
      <c r="N341" s="28">
        <f t="shared" si="675"/>
        <v>0</v>
      </c>
      <c r="O341" s="28">
        <f t="shared" si="675"/>
        <v>0</v>
      </c>
      <c r="P341" s="28">
        <f t="shared" si="675"/>
        <v>0</v>
      </c>
      <c r="Q341" s="28">
        <f t="shared" si="675"/>
        <v>0</v>
      </c>
    </row>
    <row r="342">
      <c r="B342" s="20">
        <v>46303.0</v>
      </c>
      <c r="C342" s="21">
        <v>120.0</v>
      </c>
      <c r="D342" s="28">
        <f>48</f>
        <v>48</v>
      </c>
      <c r="E342" s="28">
        <f t="shared" ref="E342:I342" si="676">0</f>
        <v>0</v>
      </c>
      <c r="F342" s="28">
        <f t="shared" si="676"/>
        <v>0</v>
      </c>
      <c r="G342" s="28">
        <f t="shared" si="676"/>
        <v>0</v>
      </c>
      <c r="H342" s="28">
        <f t="shared" si="676"/>
        <v>0</v>
      </c>
      <c r="I342" s="28">
        <f t="shared" si="676"/>
        <v>0</v>
      </c>
      <c r="J342" s="28">
        <f>24</f>
        <v>24</v>
      </c>
      <c r="K342" s="28">
        <f t="shared" ref="K342:N342" si="677">0</f>
        <v>0</v>
      </c>
      <c r="L342" s="28">
        <f t="shared" si="677"/>
        <v>0</v>
      </c>
      <c r="M342" s="28">
        <f t="shared" si="677"/>
        <v>0</v>
      </c>
      <c r="N342" s="28">
        <f t="shared" si="677"/>
        <v>0</v>
      </c>
      <c r="O342" s="28">
        <f>48</f>
        <v>48</v>
      </c>
      <c r="P342" s="28">
        <f t="shared" ref="P342:Q342" si="678">0</f>
        <v>0</v>
      </c>
      <c r="Q342" s="28">
        <f t="shared" si="678"/>
        <v>0</v>
      </c>
    </row>
    <row r="343">
      <c r="B343" s="20"/>
      <c r="C343" s="21"/>
    </row>
    <row r="344">
      <c r="B344" s="20"/>
      <c r="C344" s="21"/>
    </row>
    <row r="345">
      <c r="B345" s="20"/>
      <c r="C345" s="21"/>
    </row>
    <row r="346">
      <c r="B346" s="20"/>
      <c r="C346" s="21"/>
    </row>
    <row r="347">
      <c r="B347" s="20"/>
      <c r="C347" s="21"/>
    </row>
    <row r="348">
      <c r="B348" s="20"/>
      <c r="C348" s="21"/>
    </row>
    <row r="349">
      <c r="B349" s="20"/>
      <c r="C349" s="21"/>
    </row>
    <row r="350">
      <c r="B350" s="20"/>
      <c r="C350" s="21"/>
    </row>
    <row r="351">
      <c r="B351" s="20"/>
      <c r="C351" s="21"/>
    </row>
    <row r="352">
      <c r="B352" s="20"/>
      <c r="C352" s="21"/>
    </row>
    <row r="353">
      <c r="B353" s="20"/>
      <c r="C353" s="21"/>
    </row>
    <row r="354">
      <c r="B354" s="20"/>
      <c r="C354" s="21"/>
    </row>
    <row r="355">
      <c r="B355" s="20"/>
      <c r="C355" s="21"/>
    </row>
    <row r="356">
      <c r="B356" s="20"/>
      <c r="C356" s="21"/>
    </row>
    <row r="357">
      <c r="B357" s="20"/>
      <c r="C357" s="21"/>
    </row>
    <row r="358">
      <c r="B358" s="20"/>
      <c r="C358" s="21"/>
    </row>
    <row r="359">
      <c r="B359" s="20"/>
      <c r="C359" s="21"/>
    </row>
    <row r="360">
      <c r="B360" s="20"/>
      <c r="C360" s="21"/>
    </row>
    <row r="361">
      <c r="B361" s="20"/>
      <c r="C361" s="21"/>
    </row>
    <row r="362">
      <c r="B362" s="20"/>
      <c r="C362" s="21"/>
    </row>
    <row r="363">
      <c r="B363" s="20"/>
      <c r="C363" s="21"/>
    </row>
    <row r="364">
      <c r="B364" s="20"/>
      <c r="C364" s="21"/>
    </row>
    <row r="365">
      <c r="B365" s="20"/>
      <c r="C365" s="21"/>
    </row>
    <row r="366">
      <c r="B366" s="20"/>
      <c r="C366" s="21"/>
    </row>
    <row r="367">
      <c r="B367" s="20"/>
      <c r="C367" s="21"/>
    </row>
    <row r="368">
      <c r="B368" s="20"/>
      <c r="C368" s="21"/>
    </row>
    <row r="369">
      <c r="B369" s="20"/>
      <c r="C369" s="21"/>
    </row>
    <row r="370">
      <c r="B370" s="20"/>
      <c r="C370" s="21"/>
    </row>
    <row r="371">
      <c r="B371" s="20"/>
      <c r="C371" s="21"/>
    </row>
    <row r="372">
      <c r="B372" s="20"/>
      <c r="C372" s="21"/>
    </row>
    <row r="373">
      <c r="B373" s="20"/>
      <c r="C373" s="21"/>
    </row>
    <row r="374">
      <c r="B374" s="20"/>
      <c r="C374" s="21"/>
    </row>
    <row r="375">
      <c r="B375" s="20"/>
      <c r="C375" s="21"/>
    </row>
    <row r="376">
      <c r="B376" s="20"/>
      <c r="C376" s="21"/>
    </row>
    <row r="377">
      <c r="B377" s="20"/>
      <c r="C377" s="21"/>
    </row>
    <row r="378">
      <c r="B378" s="20"/>
      <c r="C378" s="21"/>
    </row>
    <row r="379">
      <c r="B379" s="20"/>
      <c r="C379" s="21"/>
    </row>
    <row r="380">
      <c r="B380" s="20"/>
      <c r="C380" s="21"/>
    </row>
    <row r="381">
      <c r="B381" s="20"/>
      <c r="C381" s="21"/>
    </row>
    <row r="382">
      <c r="B382" s="20"/>
      <c r="C382" s="21"/>
    </row>
    <row r="383">
      <c r="B383" s="20"/>
      <c r="C383" s="21"/>
    </row>
    <row r="384">
      <c r="B384" s="20"/>
      <c r="C384" s="21"/>
    </row>
    <row r="385">
      <c r="B385" s="20"/>
      <c r="C385" s="21"/>
    </row>
    <row r="386">
      <c r="B386" s="20"/>
      <c r="C386" s="21"/>
    </row>
    <row r="387">
      <c r="B387" s="20"/>
      <c r="C387" s="21"/>
    </row>
    <row r="388">
      <c r="B388" s="20"/>
      <c r="C388" s="21"/>
    </row>
    <row r="389">
      <c r="B389" s="20"/>
      <c r="C389" s="21"/>
    </row>
    <row r="390">
      <c r="B390" s="20"/>
      <c r="C390" s="21"/>
    </row>
    <row r="391">
      <c r="B391" s="20"/>
      <c r="C391" s="21"/>
    </row>
    <row r="392">
      <c r="B392" s="20"/>
      <c r="C392" s="21"/>
    </row>
    <row r="393">
      <c r="B393" s="20"/>
      <c r="C393" s="21"/>
    </row>
    <row r="394">
      <c r="B394" s="20"/>
      <c r="C394" s="21"/>
    </row>
    <row r="395">
      <c r="B395" s="20"/>
      <c r="C395" s="21"/>
    </row>
    <row r="396">
      <c r="B396" s="20"/>
      <c r="C396" s="21"/>
    </row>
    <row r="397">
      <c r="B397" s="20"/>
      <c r="C397" s="21"/>
    </row>
    <row r="398">
      <c r="B398" s="20"/>
      <c r="C398" s="21"/>
    </row>
    <row r="399">
      <c r="B399" s="20"/>
      <c r="C399" s="21"/>
    </row>
    <row r="400">
      <c r="B400" s="20"/>
      <c r="C400" s="21"/>
    </row>
    <row r="401">
      <c r="B401" s="20"/>
      <c r="C401" s="21"/>
    </row>
    <row r="402">
      <c r="B402" s="20"/>
      <c r="C402" s="21"/>
    </row>
    <row r="403">
      <c r="B403" s="20"/>
      <c r="C403" s="21"/>
    </row>
    <row r="404">
      <c r="B404" s="20"/>
      <c r="C404" s="21"/>
    </row>
    <row r="405">
      <c r="B405" s="20"/>
      <c r="C405" s="21"/>
    </row>
    <row r="406">
      <c r="B406" s="20"/>
      <c r="C406" s="21"/>
    </row>
    <row r="407">
      <c r="B407" s="20"/>
      <c r="C407" s="21"/>
    </row>
    <row r="408">
      <c r="B408" s="20"/>
      <c r="C408" s="21"/>
    </row>
    <row r="409">
      <c r="B409" s="20"/>
      <c r="C409" s="21"/>
    </row>
    <row r="410">
      <c r="B410" s="20"/>
      <c r="C410" s="21"/>
    </row>
    <row r="411">
      <c r="B411" s="20"/>
      <c r="C411" s="21"/>
    </row>
    <row r="412">
      <c r="B412" s="20"/>
      <c r="C412" s="21"/>
    </row>
    <row r="413">
      <c r="B413" s="20"/>
      <c r="C413" s="21"/>
    </row>
    <row r="414">
      <c r="B414" s="20"/>
      <c r="C414" s="21"/>
    </row>
    <row r="415">
      <c r="B415" s="20"/>
      <c r="C415" s="21"/>
    </row>
    <row r="416">
      <c r="B416" s="20"/>
      <c r="C416" s="21"/>
    </row>
    <row r="417">
      <c r="B417" s="20"/>
      <c r="C417" s="21"/>
    </row>
    <row r="418">
      <c r="B418" s="20"/>
      <c r="C418" s="21"/>
    </row>
    <row r="419">
      <c r="B419" s="20"/>
      <c r="C419" s="21"/>
    </row>
    <row r="420">
      <c r="B420" s="20"/>
      <c r="C420" s="21"/>
    </row>
    <row r="421">
      <c r="B421" s="20"/>
      <c r="C421" s="21"/>
    </row>
    <row r="422">
      <c r="B422" s="20"/>
      <c r="C422" s="21"/>
    </row>
    <row r="423">
      <c r="B423" s="20"/>
      <c r="C423" s="21"/>
    </row>
    <row r="424">
      <c r="B424" s="20"/>
      <c r="C424" s="21"/>
    </row>
    <row r="425">
      <c r="B425" s="20"/>
      <c r="C425" s="21"/>
    </row>
    <row r="426">
      <c r="B426" s="20"/>
      <c r="C426" s="21"/>
    </row>
    <row r="427">
      <c r="B427" s="20"/>
      <c r="C427" s="21"/>
    </row>
    <row r="428">
      <c r="B428" s="20"/>
      <c r="C428" s="21"/>
    </row>
    <row r="429">
      <c r="B429" s="20"/>
      <c r="C429" s="21"/>
    </row>
    <row r="430">
      <c r="B430" s="20"/>
      <c r="C430" s="21"/>
    </row>
    <row r="431">
      <c r="B431" s="20"/>
      <c r="C431" s="21"/>
    </row>
    <row r="432">
      <c r="B432" s="20"/>
      <c r="C432" s="21"/>
    </row>
    <row r="433">
      <c r="B433" s="20"/>
      <c r="C433" s="21"/>
    </row>
    <row r="434">
      <c r="B434" s="20"/>
      <c r="C434" s="21"/>
    </row>
    <row r="435">
      <c r="B435" s="20"/>
      <c r="C435" s="21"/>
    </row>
    <row r="436">
      <c r="B436" s="20"/>
      <c r="C436" s="21"/>
    </row>
    <row r="437">
      <c r="B437" s="20"/>
      <c r="C437" s="21"/>
    </row>
    <row r="438">
      <c r="B438" s="20"/>
      <c r="C438" s="21"/>
    </row>
    <row r="439">
      <c r="B439" s="20"/>
      <c r="C439" s="21"/>
    </row>
    <row r="440">
      <c r="B440" s="20"/>
      <c r="C440" s="21"/>
    </row>
    <row r="441">
      <c r="B441" s="20"/>
      <c r="C441" s="21"/>
    </row>
    <row r="442">
      <c r="B442" s="20"/>
      <c r="C442" s="21"/>
    </row>
    <row r="443">
      <c r="B443" s="20"/>
      <c r="C443" s="21"/>
    </row>
    <row r="444">
      <c r="B444" s="20"/>
      <c r="C444" s="21"/>
    </row>
    <row r="445">
      <c r="B445" s="20"/>
      <c r="C445" s="21"/>
    </row>
    <row r="446">
      <c r="B446" s="20"/>
      <c r="C446" s="21"/>
    </row>
    <row r="447">
      <c r="B447" s="20"/>
      <c r="C447" s="21"/>
    </row>
    <row r="448">
      <c r="B448" s="20"/>
      <c r="C448" s="21"/>
    </row>
    <row r="449">
      <c r="B449" s="20"/>
      <c r="C449" s="21"/>
    </row>
    <row r="450">
      <c r="B450" s="20"/>
      <c r="C450" s="21"/>
    </row>
    <row r="451">
      <c r="B451" s="20"/>
      <c r="C451" s="21"/>
    </row>
    <row r="452">
      <c r="B452" s="20"/>
      <c r="C452" s="21"/>
    </row>
    <row r="453">
      <c r="B453" s="20"/>
      <c r="C453" s="21"/>
    </row>
    <row r="454">
      <c r="B454" s="20"/>
      <c r="C454" s="21"/>
    </row>
    <row r="455">
      <c r="B455" s="20"/>
      <c r="C455" s="21"/>
    </row>
    <row r="456">
      <c r="B456" s="20"/>
      <c r="C456" s="21"/>
    </row>
    <row r="457">
      <c r="B457" s="20"/>
      <c r="C457" s="21"/>
    </row>
    <row r="458">
      <c r="B458" s="20"/>
      <c r="C458" s="21"/>
    </row>
    <row r="459">
      <c r="B459" s="20"/>
      <c r="C459" s="21"/>
    </row>
    <row r="460">
      <c r="B460" s="20"/>
      <c r="C460" s="21"/>
    </row>
    <row r="461">
      <c r="B461" s="20"/>
      <c r="C461" s="21"/>
    </row>
    <row r="462">
      <c r="B462" s="20"/>
      <c r="C462" s="21"/>
    </row>
    <row r="463">
      <c r="B463" s="20"/>
      <c r="C463" s="21"/>
    </row>
    <row r="464">
      <c r="B464" s="20"/>
      <c r="C464" s="21"/>
    </row>
    <row r="465">
      <c r="B465" s="20"/>
      <c r="C465" s="21"/>
    </row>
    <row r="466">
      <c r="B466" s="20"/>
      <c r="C466" s="21"/>
    </row>
    <row r="467">
      <c r="B467" s="20"/>
      <c r="C467" s="21"/>
    </row>
    <row r="468">
      <c r="B468" s="20"/>
      <c r="C468" s="21"/>
    </row>
    <row r="469">
      <c r="B469" s="20"/>
      <c r="C469" s="21"/>
    </row>
    <row r="470">
      <c r="B470" s="20"/>
      <c r="C470" s="21"/>
    </row>
    <row r="471">
      <c r="B471" s="20"/>
      <c r="C471" s="21"/>
    </row>
    <row r="472">
      <c r="B472" s="20"/>
      <c r="C472" s="21"/>
    </row>
    <row r="473">
      <c r="B473" s="20"/>
      <c r="C473" s="21"/>
    </row>
    <row r="474">
      <c r="B474" s="20"/>
      <c r="C474" s="21"/>
    </row>
    <row r="475">
      <c r="B475" s="20"/>
      <c r="C475" s="21"/>
    </row>
    <row r="476">
      <c r="B476" s="20"/>
      <c r="C476" s="21"/>
    </row>
    <row r="477">
      <c r="B477" s="20"/>
      <c r="C477" s="21"/>
    </row>
    <row r="478">
      <c r="B478" s="20"/>
      <c r="C478" s="21"/>
    </row>
    <row r="479">
      <c r="B479" s="20"/>
      <c r="C479" s="21"/>
    </row>
    <row r="480">
      <c r="B480" s="20"/>
      <c r="C480" s="21"/>
    </row>
    <row r="481">
      <c r="B481" s="20"/>
      <c r="C481" s="21"/>
    </row>
    <row r="482">
      <c r="B482" s="20"/>
      <c r="C482" s="21"/>
    </row>
    <row r="483">
      <c r="B483" s="20"/>
      <c r="C483" s="21"/>
    </row>
    <row r="484">
      <c r="B484" s="20"/>
      <c r="C484" s="21"/>
    </row>
    <row r="485">
      <c r="B485" s="20"/>
      <c r="C485" s="21"/>
    </row>
    <row r="486">
      <c r="B486" s="20"/>
      <c r="C486" s="21"/>
    </row>
    <row r="487">
      <c r="B487" s="20"/>
      <c r="C487" s="21"/>
    </row>
    <row r="488">
      <c r="B488" s="20"/>
      <c r="C488" s="21"/>
    </row>
    <row r="489">
      <c r="B489" s="20"/>
      <c r="C489" s="21"/>
    </row>
    <row r="490">
      <c r="B490" s="20"/>
      <c r="C490" s="21"/>
    </row>
    <row r="491">
      <c r="B491" s="20"/>
      <c r="C491" s="21"/>
    </row>
    <row r="492">
      <c r="B492" s="20"/>
      <c r="C492" s="21"/>
    </row>
    <row r="493">
      <c r="B493" s="20"/>
      <c r="C493" s="21"/>
    </row>
    <row r="494">
      <c r="B494" s="20"/>
      <c r="C494" s="21"/>
    </row>
    <row r="495">
      <c r="B495" s="20"/>
      <c r="C495" s="21"/>
    </row>
    <row r="496">
      <c r="B496" s="20"/>
      <c r="C496" s="21"/>
    </row>
    <row r="497">
      <c r="B497" s="20"/>
      <c r="C497" s="21"/>
    </row>
    <row r="498">
      <c r="B498" s="20"/>
      <c r="C498" s="21"/>
    </row>
    <row r="499">
      <c r="B499" s="20"/>
      <c r="C499" s="21"/>
    </row>
    <row r="500">
      <c r="B500" s="20"/>
      <c r="C500" s="21"/>
    </row>
    <row r="501">
      <c r="B501" s="20"/>
      <c r="C501" s="21"/>
    </row>
    <row r="502">
      <c r="B502" s="20"/>
      <c r="C502" s="21"/>
    </row>
    <row r="503">
      <c r="B503" s="20"/>
      <c r="C503" s="21"/>
    </row>
    <row r="504">
      <c r="B504" s="20"/>
      <c r="C504" s="21"/>
    </row>
    <row r="505">
      <c r="B505" s="20"/>
      <c r="C505" s="21"/>
    </row>
    <row r="506">
      <c r="B506" s="20"/>
      <c r="C506" s="21"/>
    </row>
    <row r="507">
      <c r="B507" s="20"/>
      <c r="C507" s="21"/>
    </row>
    <row r="508">
      <c r="B508" s="20"/>
      <c r="C508" s="21"/>
    </row>
    <row r="509">
      <c r="B509" s="20"/>
      <c r="C509" s="21"/>
    </row>
    <row r="510">
      <c r="B510" s="20"/>
      <c r="C510" s="21"/>
    </row>
    <row r="511">
      <c r="B511" s="20"/>
      <c r="C511" s="21"/>
    </row>
    <row r="512">
      <c r="B512" s="20"/>
      <c r="C512" s="21"/>
    </row>
    <row r="513">
      <c r="B513" s="20"/>
      <c r="C513" s="21"/>
    </row>
    <row r="514">
      <c r="B514" s="20"/>
      <c r="C514" s="21"/>
    </row>
    <row r="515">
      <c r="B515" s="20"/>
      <c r="C515" s="21"/>
    </row>
    <row r="516">
      <c r="B516" s="20"/>
      <c r="C516" s="21"/>
    </row>
    <row r="517">
      <c r="B517" s="20"/>
      <c r="C517" s="21"/>
    </row>
    <row r="518">
      <c r="B518" s="20"/>
      <c r="C518" s="21"/>
    </row>
    <row r="519">
      <c r="B519" s="20"/>
      <c r="C519" s="21"/>
    </row>
    <row r="520">
      <c r="B520" s="20"/>
      <c r="C520" s="21"/>
    </row>
    <row r="521">
      <c r="B521" s="20"/>
      <c r="C521" s="21"/>
    </row>
    <row r="522">
      <c r="B522" s="20"/>
      <c r="C522" s="21"/>
    </row>
    <row r="523">
      <c r="B523" s="20"/>
      <c r="C523" s="21"/>
    </row>
    <row r="524">
      <c r="B524" s="20"/>
      <c r="C524" s="21"/>
    </row>
    <row r="525">
      <c r="B525" s="20"/>
      <c r="C525" s="21"/>
    </row>
    <row r="526">
      <c r="B526" s="20"/>
      <c r="C526" s="21"/>
    </row>
    <row r="527">
      <c r="B527" s="20"/>
      <c r="C527" s="21"/>
    </row>
    <row r="528">
      <c r="B528" s="20"/>
      <c r="C528" s="21"/>
    </row>
    <row r="529">
      <c r="B529" s="20"/>
      <c r="C529" s="21"/>
    </row>
    <row r="530">
      <c r="B530" s="20"/>
      <c r="C530" s="21"/>
    </row>
    <row r="531">
      <c r="B531" s="20"/>
      <c r="C531" s="21"/>
    </row>
    <row r="532">
      <c r="B532" s="20"/>
      <c r="C532" s="21"/>
    </row>
    <row r="533">
      <c r="B533" s="20"/>
      <c r="C533" s="21"/>
    </row>
    <row r="534">
      <c r="B534" s="20"/>
      <c r="C534" s="21"/>
    </row>
    <row r="535">
      <c r="B535" s="20"/>
      <c r="C535" s="21"/>
    </row>
    <row r="536">
      <c r="B536" s="20"/>
      <c r="C536" s="21"/>
    </row>
    <row r="537">
      <c r="B537" s="20"/>
      <c r="C537" s="21"/>
    </row>
    <row r="538">
      <c r="B538" s="20"/>
      <c r="C538" s="21"/>
    </row>
    <row r="539">
      <c r="B539" s="20"/>
      <c r="C539" s="21"/>
    </row>
    <row r="540">
      <c r="B540" s="20"/>
      <c r="C540" s="21"/>
    </row>
    <row r="541">
      <c r="B541" s="20"/>
      <c r="C541" s="21"/>
    </row>
    <row r="542">
      <c r="B542" s="20"/>
      <c r="C542" s="21"/>
    </row>
    <row r="543">
      <c r="B543" s="20"/>
      <c r="C543" s="21"/>
    </row>
    <row r="544">
      <c r="B544" s="20"/>
      <c r="C544" s="21"/>
    </row>
    <row r="545">
      <c r="B545" s="20"/>
      <c r="C545" s="21"/>
    </row>
    <row r="546">
      <c r="B546" s="20"/>
      <c r="C546" s="21"/>
    </row>
    <row r="547">
      <c r="B547" s="20"/>
      <c r="C547" s="21"/>
    </row>
    <row r="548">
      <c r="B548" s="20"/>
      <c r="C548" s="21"/>
    </row>
    <row r="549">
      <c r="B549" s="20"/>
      <c r="C549" s="21"/>
    </row>
    <row r="550">
      <c r="B550" s="20"/>
      <c r="C550" s="21"/>
    </row>
    <row r="551">
      <c r="B551" s="20"/>
      <c r="C551" s="21"/>
    </row>
    <row r="552">
      <c r="B552" s="20"/>
      <c r="C552" s="21"/>
    </row>
    <row r="553">
      <c r="B553" s="20"/>
      <c r="C553" s="21"/>
    </row>
    <row r="554">
      <c r="B554" s="20"/>
      <c r="C554" s="21"/>
    </row>
    <row r="555">
      <c r="B555" s="20"/>
      <c r="C555" s="21"/>
    </row>
    <row r="556">
      <c r="B556" s="20"/>
      <c r="C556" s="21"/>
    </row>
    <row r="557">
      <c r="B557" s="20"/>
      <c r="C557" s="21"/>
    </row>
    <row r="558">
      <c r="B558" s="20"/>
      <c r="C558" s="21"/>
    </row>
    <row r="559">
      <c r="B559" s="20"/>
      <c r="C559" s="21"/>
    </row>
    <row r="560">
      <c r="B560" s="20"/>
      <c r="C560" s="21"/>
    </row>
    <row r="561">
      <c r="B561" s="20"/>
      <c r="C561" s="21"/>
    </row>
    <row r="562">
      <c r="B562" s="20"/>
      <c r="C562" s="21"/>
    </row>
    <row r="563">
      <c r="B563" s="20"/>
      <c r="C563" s="21"/>
    </row>
    <row r="564">
      <c r="B564" s="20"/>
      <c r="C564" s="21"/>
    </row>
    <row r="565">
      <c r="B565" s="20"/>
      <c r="C565" s="21"/>
    </row>
    <row r="566">
      <c r="B566" s="20"/>
      <c r="C566" s="21"/>
    </row>
    <row r="567">
      <c r="B567" s="20"/>
      <c r="C567" s="21"/>
    </row>
    <row r="568">
      <c r="B568" s="20"/>
      <c r="C568" s="21"/>
    </row>
    <row r="569">
      <c r="B569" s="20"/>
      <c r="C569" s="21"/>
    </row>
    <row r="570">
      <c r="B570" s="20"/>
      <c r="C570" s="21"/>
    </row>
    <row r="571">
      <c r="B571" s="20"/>
      <c r="C571" s="21"/>
    </row>
    <row r="572">
      <c r="B572" s="20"/>
      <c r="C572" s="21"/>
    </row>
    <row r="573">
      <c r="B573" s="20"/>
      <c r="C573" s="21"/>
    </row>
    <row r="574">
      <c r="B574" s="20"/>
      <c r="C574" s="21"/>
    </row>
    <row r="575">
      <c r="B575" s="20"/>
      <c r="C575" s="21"/>
    </row>
    <row r="576">
      <c r="B576" s="20"/>
      <c r="C576" s="21"/>
    </row>
    <row r="577">
      <c r="B577" s="20"/>
      <c r="C577" s="21"/>
    </row>
    <row r="578">
      <c r="B578" s="20"/>
      <c r="C578" s="21"/>
    </row>
    <row r="579">
      <c r="B579" s="20"/>
      <c r="C579" s="21"/>
    </row>
    <row r="580">
      <c r="B580" s="20"/>
      <c r="C580" s="21"/>
    </row>
    <row r="581">
      <c r="B581" s="20"/>
      <c r="C581" s="21"/>
    </row>
    <row r="582">
      <c r="B582" s="20"/>
      <c r="C582" s="21"/>
    </row>
    <row r="583">
      <c r="B583" s="20"/>
      <c r="C583" s="21"/>
    </row>
    <row r="584">
      <c r="B584" s="20"/>
      <c r="C584" s="21"/>
    </row>
    <row r="585">
      <c r="B585" s="20"/>
      <c r="C585" s="21"/>
    </row>
    <row r="586">
      <c r="B586" s="20"/>
      <c r="C586" s="21"/>
    </row>
    <row r="587">
      <c r="B587" s="20"/>
      <c r="C587" s="21"/>
    </row>
    <row r="588">
      <c r="B588" s="20"/>
      <c r="C588" s="21"/>
    </row>
    <row r="589">
      <c r="B589" s="20"/>
      <c r="C589" s="21"/>
    </row>
    <row r="590">
      <c r="B590" s="20"/>
      <c r="C590" s="21"/>
    </row>
    <row r="591">
      <c r="B591" s="20"/>
      <c r="C591" s="21"/>
    </row>
    <row r="592">
      <c r="B592" s="20"/>
      <c r="C592" s="21"/>
    </row>
    <row r="593">
      <c r="B593" s="20"/>
      <c r="C593" s="21"/>
    </row>
    <row r="594">
      <c r="B594" s="20"/>
      <c r="C594" s="21"/>
    </row>
    <row r="595">
      <c r="B595" s="20"/>
      <c r="C595" s="21"/>
    </row>
    <row r="596">
      <c r="B596" s="20"/>
      <c r="C596" s="21"/>
    </row>
    <row r="597">
      <c r="B597" s="20"/>
      <c r="C597" s="21"/>
    </row>
    <row r="598">
      <c r="B598" s="20"/>
      <c r="C598" s="21"/>
    </row>
    <row r="599">
      <c r="B599" s="20"/>
      <c r="C599" s="21"/>
    </row>
    <row r="600">
      <c r="B600" s="20"/>
      <c r="C600" s="21"/>
    </row>
    <row r="601">
      <c r="B601" s="20"/>
      <c r="C601" s="21"/>
    </row>
    <row r="602">
      <c r="B602" s="20"/>
      <c r="C602" s="21"/>
    </row>
    <row r="603">
      <c r="B603" s="20"/>
      <c r="C603" s="21"/>
    </row>
    <row r="604">
      <c r="B604" s="20"/>
      <c r="C604" s="21"/>
    </row>
    <row r="605">
      <c r="B605" s="20"/>
      <c r="C605" s="21"/>
    </row>
    <row r="606">
      <c r="B606" s="20"/>
      <c r="C606" s="21"/>
    </row>
    <row r="607">
      <c r="B607" s="20"/>
      <c r="C607" s="21"/>
    </row>
    <row r="608">
      <c r="B608" s="20"/>
      <c r="C608" s="21"/>
    </row>
    <row r="609">
      <c r="B609" s="20"/>
      <c r="C609" s="21"/>
    </row>
    <row r="610">
      <c r="B610" s="20"/>
      <c r="C610" s="21"/>
    </row>
    <row r="611">
      <c r="B611" s="20"/>
      <c r="C611" s="21"/>
    </row>
    <row r="612">
      <c r="B612" s="20"/>
      <c r="C612" s="21"/>
    </row>
    <row r="613">
      <c r="B613" s="20"/>
      <c r="C613" s="21"/>
    </row>
    <row r="614">
      <c r="B614" s="20"/>
      <c r="C614" s="21"/>
    </row>
    <row r="615">
      <c r="B615" s="20"/>
      <c r="C615" s="21"/>
    </row>
    <row r="616">
      <c r="B616" s="20"/>
      <c r="C616" s="21"/>
    </row>
    <row r="617">
      <c r="B617" s="20"/>
      <c r="C617" s="21"/>
    </row>
    <row r="618">
      <c r="B618" s="20"/>
      <c r="C618" s="21"/>
    </row>
    <row r="619">
      <c r="B619" s="20"/>
      <c r="C619" s="21"/>
    </row>
    <row r="620">
      <c r="B620" s="20"/>
      <c r="C620" s="21"/>
    </row>
    <row r="621">
      <c r="B621" s="20"/>
      <c r="C621" s="21"/>
    </row>
    <row r="622">
      <c r="B622" s="20"/>
      <c r="C622" s="21"/>
    </row>
    <row r="623">
      <c r="B623" s="20"/>
      <c r="C623" s="21"/>
    </row>
    <row r="624">
      <c r="B624" s="20"/>
      <c r="C624" s="21"/>
    </row>
    <row r="625">
      <c r="B625" s="20"/>
      <c r="C625" s="21"/>
    </row>
    <row r="626">
      <c r="B626" s="20"/>
      <c r="C626" s="21"/>
    </row>
    <row r="627">
      <c r="B627" s="20"/>
      <c r="C627" s="21"/>
    </row>
    <row r="628">
      <c r="B628" s="20"/>
      <c r="C628" s="21"/>
    </row>
    <row r="629">
      <c r="B629" s="20"/>
      <c r="C629" s="21"/>
    </row>
    <row r="630">
      <c r="B630" s="20"/>
      <c r="C630" s="21"/>
    </row>
    <row r="631">
      <c r="B631" s="20"/>
      <c r="C631" s="21"/>
    </row>
    <row r="632">
      <c r="B632" s="20"/>
      <c r="C632" s="21"/>
    </row>
    <row r="633">
      <c r="B633" s="20"/>
      <c r="C633" s="21"/>
    </row>
    <row r="634">
      <c r="B634" s="20"/>
      <c r="C634" s="21"/>
    </row>
    <row r="635">
      <c r="B635" s="20"/>
      <c r="C635" s="21"/>
    </row>
    <row r="636">
      <c r="B636" s="20"/>
      <c r="C636" s="21"/>
    </row>
    <row r="637">
      <c r="B637" s="20"/>
      <c r="C637" s="21"/>
    </row>
    <row r="638">
      <c r="B638" s="20"/>
      <c r="C638" s="21"/>
    </row>
    <row r="639">
      <c r="B639" s="20"/>
      <c r="C639" s="21"/>
    </row>
    <row r="640">
      <c r="B640" s="20"/>
      <c r="C640" s="21"/>
    </row>
    <row r="641">
      <c r="B641" s="20"/>
      <c r="C641" s="21"/>
    </row>
    <row r="642">
      <c r="B642" s="20"/>
      <c r="C642" s="21"/>
    </row>
    <row r="643">
      <c r="B643" s="20"/>
      <c r="C643" s="21"/>
    </row>
    <row r="644">
      <c r="B644" s="20"/>
      <c r="C644" s="21"/>
    </row>
    <row r="645">
      <c r="B645" s="20"/>
      <c r="C645" s="21"/>
    </row>
    <row r="646">
      <c r="B646" s="20"/>
      <c r="C646" s="21"/>
    </row>
    <row r="647">
      <c r="B647" s="20"/>
      <c r="C647" s="21"/>
    </row>
    <row r="648">
      <c r="B648" s="20"/>
      <c r="C648" s="21"/>
    </row>
    <row r="649">
      <c r="B649" s="20"/>
      <c r="C649" s="21"/>
    </row>
    <row r="650">
      <c r="B650" s="20"/>
      <c r="C650" s="21"/>
    </row>
    <row r="651">
      <c r="B651" s="20"/>
      <c r="C651" s="21"/>
    </row>
    <row r="652">
      <c r="B652" s="20"/>
      <c r="C652" s="21"/>
    </row>
    <row r="653">
      <c r="B653" s="20"/>
      <c r="C653" s="21"/>
    </row>
    <row r="654">
      <c r="B654" s="20"/>
      <c r="C654" s="21"/>
    </row>
    <row r="655">
      <c r="B655" s="20"/>
      <c r="C655" s="21"/>
    </row>
    <row r="656">
      <c r="B656" s="20"/>
      <c r="C656" s="21"/>
    </row>
    <row r="657">
      <c r="B657" s="20"/>
      <c r="C657" s="21"/>
    </row>
    <row r="658">
      <c r="B658" s="20"/>
      <c r="C658" s="21"/>
    </row>
    <row r="659">
      <c r="B659" s="20"/>
      <c r="C659" s="21"/>
    </row>
    <row r="660">
      <c r="B660" s="20"/>
      <c r="C660" s="21"/>
    </row>
    <row r="661">
      <c r="B661" s="20"/>
      <c r="C661" s="21"/>
    </row>
    <row r="662">
      <c r="B662" s="20"/>
      <c r="C662" s="21"/>
    </row>
    <row r="663">
      <c r="B663" s="20"/>
      <c r="C663" s="21"/>
    </row>
    <row r="664">
      <c r="B664" s="20"/>
      <c r="C664" s="21"/>
    </row>
    <row r="665">
      <c r="B665" s="20"/>
      <c r="C665" s="21"/>
    </row>
    <row r="666">
      <c r="B666" s="20"/>
      <c r="C666" s="21"/>
    </row>
    <row r="667">
      <c r="B667" s="20"/>
      <c r="C667" s="21"/>
    </row>
    <row r="668">
      <c r="B668" s="20"/>
      <c r="C668" s="21"/>
    </row>
    <row r="669">
      <c r="B669" s="20"/>
      <c r="C669" s="21"/>
    </row>
    <row r="670">
      <c r="B670" s="20"/>
      <c r="C670" s="21"/>
    </row>
    <row r="671">
      <c r="B671" s="20"/>
      <c r="C671" s="21"/>
    </row>
    <row r="672">
      <c r="B672" s="20"/>
      <c r="C672" s="21"/>
    </row>
    <row r="673">
      <c r="B673" s="20"/>
      <c r="C673" s="21"/>
    </row>
    <row r="674">
      <c r="B674" s="20"/>
      <c r="C674" s="21"/>
    </row>
    <row r="675">
      <c r="B675" s="20"/>
      <c r="C675" s="21"/>
    </row>
    <row r="676">
      <c r="B676" s="20"/>
      <c r="C676" s="21"/>
    </row>
    <row r="677">
      <c r="B677" s="20"/>
      <c r="C677" s="21"/>
    </row>
    <row r="678">
      <c r="B678" s="20"/>
      <c r="C678" s="21"/>
    </row>
    <row r="679">
      <c r="B679" s="20"/>
      <c r="C679" s="21"/>
    </row>
    <row r="680">
      <c r="B680" s="20"/>
      <c r="C680" s="21"/>
    </row>
    <row r="681">
      <c r="B681" s="20"/>
      <c r="C681" s="21"/>
    </row>
    <row r="682">
      <c r="B682" s="20"/>
      <c r="C682" s="21"/>
    </row>
    <row r="683">
      <c r="B683" s="20"/>
      <c r="C683" s="21"/>
    </row>
    <row r="684">
      <c r="B684" s="20"/>
      <c r="C684" s="21"/>
    </row>
    <row r="685">
      <c r="B685" s="20"/>
      <c r="C685" s="21"/>
    </row>
    <row r="686">
      <c r="B686" s="20"/>
      <c r="C686" s="21"/>
    </row>
    <row r="687">
      <c r="B687" s="20"/>
      <c r="C687" s="21"/>
    </row>
    <row r="688">
      <c r="B688" s="20"/>
      <c r="C688" s="21"/>
    </row>
    <row r="689">
      <c r="B689" s="20"/>
      <c r="C689" s="21"/>
    </row>
    <row r="690">
      <c r="B690" s="20"/>
      <c r="C690" s="21"/>
    </row>
    <row r="691">
      <c r="B691" s="20"/>
      <c r="C691" s="21"/>
    </row>
    <row r="692">
      <c r="B692" s="20"/>
      <c r="C692" s="21"/>
    </row>
    <row r="693">
      <c r="B693" s="20"/>
      <c r="C693" s="21"/>
    </row>
    <row r="694">
      <c r="B694" s="20"/>
      <c r="C694" s="21"/>
    </row>
    <row r="695">
      <c r="B695" s="20"/>
      <c r="C695" s="21"/>
    </row>
    <row r="696">
      <c r="B696" s="20"/>
      <c r="C696" s="21"/>
    </row>
    <row r="697">
      <c r="B697" s="20"/>
      <c r="C697" s="21"/>
    </row>
    <row r="698">
      <c r="B698" s="20"/>
      <c r="C698" s="21"/>
    </row>
    <row r="699">
      <c r="B699" s="20"/>
      <c r="C699" s="21"/>
    </row>
    <row r="700">
      <c r="B700" s="20"/>
      <c r="C700" s="21"/>
    </row>
    <row r="701">
      <c r="B701" s="20"/>
      <c r="C701" s="21"/>
    </row>
    <row r="702">
      <c r="B702" s="20"/>
      <c r="C702" s="21"/>
    </row>
    <row r="703">
      <c r="B703" s="20"/>
      <c r="C703" s="21"/>
    </row>
    <row r="704">
      <c r="B704" s="20"/>
      <c r="C704" s="21"/>
    </row>
    <row r="705">
      <c r="B705" s="20"/>
      <c r="C705" s="21"/>
    </row>
    <row r="706">
      <c r="B706" s="20"/>
      <c r="C706" s="21"/>
    </row>
    <row r="707">
      <c r="B707" s="20"/>
      <c r="C707" s="21"/>
    </row>
    <row r="708">
      <c r="B708" s="20"/>
      <c r="C708" s="21"/>
    </row>
    <row r="709">
      <c r="B709" s="20"/>
      <c r="C709" s="21"/>
    </row>
    <row r="710">
      <c r="B710" s="20"/>
      <c r="C710" s="21"/>
    </row>
    <row r="711">
      <c r="B711" s="20"/>
      <c r="C711" s="21"/>
    </row>
    <row r="712">
      <c r="B712" s="20"/>
      <c r="C712" s="21"/>
    </row>
    <row r="713">
      <c r="B713" s="20"/>
      <c r="C713" s="21"/>
    </row>
    <row r="714">
      <c r="B714" s="20"/>
      <c r="C714" s="21"/>
    </row>
    <row r="715">
      <c r="B715" s="20"/>
      <c r="C715" s="21"/>
    </row>
    <row r="716">
      <c r="B716" s="20"/>
      <c r="C716" s="21"/>
    </row>
    <row r="717">
      <c r="B717" s="20"/>
      <c r="C717" s="21"/>
    </row>
    <row r="718">
      <c r="B718" s="20"/>
      <c r="C718" s="21"/>
    </row>
    <row r="719">
      <c r="B719" s="20"/>
      <c r="C719" s="21"/>
    </row>
    <row r="720">
      <c r="B720" s="20"/>
      <c r="C720" s="21"/>
    </row>
    <row r="721">
      <c r="B721" s="20"/>
      <c r="C721" s="21"/>
    </row>
    <row r="722">
      <c r="B722" s="20"/>
      <c r="C722" s="21"/>
    </row>
    <row r="723">
      <c r="B723" s="20"/>
      <c r="C723" s="21"/>
    </row>
    <row r="724">
      <c r="B724" s="20"/>
      <c r="C724" s="21"/>
    </row>
    <row r="725">
      <c r="B725" s="20"/>
      <c r="C725" s="21"/>
    </row>
    <row r="726">
      <c r="B726" s="20"/>
      <c r="C726" s="21"/>
    </row>
    <row r="727">
      <c r="B727" s="20"/>
      <c r="C727" s="21"/>
    </row>
    <row r="728">
      <c r="B728" s="20"/>
      <c r="C728" s="21"/>
    </row>
    <row r="729">
      <c r="B729" s="20"/>
      <c r="C729" s="21"/>
    </row>
    <row r="730">
      <c r="B730" s="20"/>
      <c r="C730" s="21"/>
    </row>
    <row r="731">
      <c r="B731" s="20"/>
      <c r="C731" s="21"/>
    </row>
    <row r="732">
      <c r="B732" s="20"/>
      <c r="C732" s="21"/>
    </row>
    <row r="733">
      <c r="B733" s="20"/>
      <c r="C733" s="21"/>
    </row>
    <row r="734">
      <c r="B734" s="20"/>
      <c r="C734" s="21"/>
    </row>
    <row r="735">
      <c r="B735" s="20"/>
      <c r="C735" s="21"/>
    </row>
    <row r="736">
      <c r="B736" s="20"/>
      <c r="C736" s="21"/>
    </row>
    <row r="737">
      <c r="B737" s="20"/>
      <c r="C737" s="21"/>
    </row>
    <row r="738">
      <c r="B738" s="20"/>
      <c r="C738" s="21"/>
    </row>
    <row r="739">
      <c r="B739" s="20"/>
      <c r="C739" s="21"/>
    </row>
    <row r="740">
      <c r="B740" s="20"/>
      <c r="C740" s="21"/>
    </row>
    <row r="741">
      <c r="B741" s="20"/>
      <c r="C741" s="21"/>
    </row>
    <row r="742">
      <c r="B742" s="20"/>
      <c r="C742" s="21"/>
    </row>
    <row r="743">
      <c r="B743" s="20"/>
      <c r="C743" s="21"/>
    </row>
    <row r="744">
      <c r="B744" s="20"/>
      <c r="C744" s="21"/>
    </row>
    <row r="745">
      <c r="B745" s="20"/>
      <c r="C745" s="21"/>
    </row>
    <row r="746">
      <c r="B746" s="20"/>
      <c r="C746" s="21"/>
    </row>
    <row r="747">
      <c r="B747" s="20"/>
      <c r="C747" s="21"/>
    </row>
    <row r="748">
      <c r="B748" s="20"/>
      <c r="C748" s="21"/>
    </row>
    <row r="749">
      <c r="B749" s="20"/>
      <c r="C749" s="21"/>
    </row>
    <row r="750">
      <c r="B750" s="20"/>
      <c r="C750" s="21"/>
    </row>
    <row r="751">
      <c r="B751" s="20"/>
      <c r="C751" s="21"/>
    </row>
    <row r="752">
      <c r="B752" s="20"/>
      <c r="C752" s="21"/>
    </row>
    <row r="753">
      <c r="B753" s="20"/>
      <c r="C753" s="21"/>
    </row>
    <row r="754">
      <c r="B754" s="20"/>
      <c r="C754" s="21"/>
    </row>
    <row r="755">
      <c r="B755" s="20"/>
      <c r="C755" s="21"/>
    </row>
    <row r="756">
      <c r="B756" s="20"/>
      <c r="C756" s="21"/>
    </row>
    <row r="757">
      <c r="B757" s="20"/>
      <c r="C757" s="21"/>
    </row>
    <row r="758">
      <c r="B758" s="20"/>
      <c r="C758" s="21"/>
    </row>
    <row r="759">
      <c r="B759" s="20"/>
      <c r="C759" s="21"/>
    </row>
    <row r="760">
      <c r="B760" s="20"/>
      <c r="C760" s="21"/>
    </row>
    <row r="761">
      <c r="B761" s="20"/>
      <c r="C761" s="21"/>
    </row>
    <row r="762">
      <c r="B762" s="20"/>
      <c r="C762" s="21"/>
    </row>
    <row r="763">
      <c r="B763" s="20"/>
      <c r="C763" s="21"/>
    </row>
    <row r="764">
      <c r="B764" s="20"/>
      <c r="C764" s="21"/>
    </row>
    <row r="765">
      <c r="B765" s="20"/>
      <c r="C765" s="21"/>
    </row>
    <row r="766">
      <c r="B766" s="20"/>
      <c r="C766" s="21"/>
    </row>
    <row r="767">
      <c r="B767" s="20"/>
      <c r="C767" s="21"/>
    </row>
    <row r="768">
      <c r="B768" s="20"/>
      <c r="C768" s="21"/>
    </row>
    <row r="769">
      <c r="B769" s="20"/>
      <c r="C769" s="21"/>
    </row>
    <row r="770">
      <c r="B770" s="20"/>
      <c r="C770" s="21"/>
    </row>
    <row r="771">
      <c r="B771" s="20"/>
      <c r="C771" s="21"/>
    </row>
    <row r="772">
      <c r="B772" s="20"/>
      <c r="C772" s="21"/>
    </row>
    <row r="773">
      <c r="B773" s="20"/>
      <c r="C773" s="21"/>
    </row>
    <row r="774">
      <c r="B774" s="20"/>
      <c r="C774" s="21"/>
    </row>
    <row r="775">
      <c r="B775" s="20"/>
      <c r="C775" s="21"/>
    </row>
    <row r="776">
      <c r="B776" s="20"/>
      <c r="C776" s="21"/>
    </row>
    <row r="777">
      <c r="B777" s="20"/>
      <c r="C777" s="21"/>
    </row>
    <row r="778">
      <c r="B778" s="20"/>
      <c r="C778" s="21"/>
    </row>
    <row r="779">
      <c r="B779" s="20"/>
      <c r="C779" s="21"/>
    </row>
    <row r="780">
      <c r="B780" s="20"/>
      <c r="C780" s="21"/>
    </row>
    <row r="781">
      <c r="B781" s="20"/>
      <c r="C781" s="21"/>
    </row>
    <row r="782">
      <c r="B782" s="20"/>
      <c r="C782" s="21"/>
    </row>
    <row r="783">
      <c r="B783" s="20"/>
      <c r="C783" s="21"/>
    </row>
    <row r="784">
      <c r="B784" s="20"/>
      <c r="C784" s="21"/>
    </row>
    <row r="785">
      <c r="B785" s="20"/>
      <c r="C785" s="21"/>
    </row>
    <row r="786">
      <c r="B786" s="20"/>
      <c r="C786" s="21"/>
    </row>
    <row r="787">
      <c r="B787" s="20"/>
      <c r="C787" s="21"/>
    </row>
    <row r="788">
      <c r="B788" s="20"/>
      <c r="C788" s="21"/>
    </row>
    <row r="789">
      <c r="B789" s="20"/>
      <c r="C789" s="21"/>
    </row>
    <row r="790">
      <c r="B790" s="20"/>
      <c r="C790" s="21"/>
    </row>
    <row r="791">
      <c r="B791" s="20"/>
      <c r="C791" s="21"/>
    </row>
    <row r="792">
      <c r="B792" s="20"/>
      <c r="C792" s="21"/>
    </row>
    <row r="793">
      <c r="B793" s="20"/>
      <c r="C793" s="21"/>
    </row>
    <row r="794">
      <c r="B794" s="20"/>
      <c r="C794" s="21"/>
    </row>
    <row r="795">
      <c r="B795" s="20"/>
      <c r="C795" s="21"/>
    </row>
    <row r="796">
      <c r="B796" s="20"/>
      <c r="C796" s="21"/>
    </row>
    <row r="797">
      <c r="B797" s="20"/>
      <c r="C797" s="21"/>
    </row>
    <row r="798">
      <c r="B798" s="20"/>
      <c r="C798" s="21"/>
    </row>
    <row r="799">
      <c r="B799" s="20"/>
      <c r="C799" s="21"/>
    </row>
    <row r="800">
      <c r="B800" s="20"/>
      <c r="C800" s="21"/>
    </row>
    <row r="801">
      <c r="B801" s="20"/>
      <c r="C801" s="21"/>
    </row>
    <row r="802">
      <c r="B802" s="20"/>
      <c r="C802" s="21"/>
    </row>
    <row r="803">
      <c r="B803" s="20"/>
      <c r="C803" s="21"/>
    </row>
    <row r="804">
      <c r="B804" s="20"/>
      <c r="C804" s="21"/>
    </row>
    <row r="805">
      <c r="B805" s="20"/>
      <c r="C805" s="21"/>
    </row>
    <row r="806">
      <c r="B806" s="20"/>
      <c r="C806" s="21"/>
    </row>
    <row r="807">
      <c r="B807" s="20"/>
      <c r="C807" s="21"/>
    </row>
    <row r="808">
      <c r="B808" s="20"/>
      <c r="C808" s="21"/>
    </row>
    <row r="809">
      <c r="B809" s="20"/>
      <c r="C809" s="21"/>
    </row>
    <row r="810">
      <c r="B810" s="20"/>
      <c r="C810" s="21"/>
    </row>
    <row r="811">
      <c r="B811" s="20"/>
      <c r="C811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12" max="12" width="16.63"/>
  </cols>
  <sheetData>
    <row r="1">
      <c r="B1" s="1" t="s">
        <v>12</v>
      </c>
      <c r="C1" s="1" t="s">
        <v>8</v>
      </c>
      <c r="D1" s="1" t="s">
        <v>15</v>
      </c>
      <c r="E1" s="1" t="s">
        <v>19</v>
      </c>
      <c r="F1" s="1" t="s">
        <v>23</v>
      </c>
      <c r="G1" s="1" t="s">
        <v>13</v>
      </c>
      <c r="H1" s="1" t="s">
        <v>18</v>
      </c>
      <c r="I1" s="1" t="s">
        <v>11</v>
      </c>
      <c r="J1" s="1" t="s">
        <v>30</v>
      </c>
      <c r="K1" s="1" t="s">
        <v>58</v>
      </c>
      <c r="L1" s="1" t="s">
        <v>16</v>
      </c>
      <c r="M1" s="1" t="s">
        <v>14</v>
      </c>
      <c r="N1" s="1" t="s">
        <v>22</v>
      </c>
      <c r="O1" s="1" t="s">
        <v>24</v>
      </c>
    </row>
    <row r="2">
      <c r="B2" s="20">
        <v>46204.0</v>
      </c>
      <c r="C2" s="28">
        <f t="shared" ref="C2:E2" si="1">0</f>
        <v>0</v>
      </c>
      <c r="D2" s="28">
        <f t="shared" si="1"/>
        <v>0</v>
      </c>
      <c r="E2" s="28">
        <f t="shared" si="1"/>
        <v>0</v>
      </c>
      <c r="F2" s="28">
        <f>11.2</f>
        <v>11.2</v>
      </c>
      <c r="G2" s="28">
        <f>44.8</f>
        <v>44.8</v>
      </c>
      <c r="H2" s="28">
        <f t="shared" ref="H2:K2" si="2">0</f>
        <v>0</v>
      </c>
      <c r="I2" s="28">
        <f t="shared" si="2"/>
        <v>0</v>
      </c>
      <c r="J2" s="28">
        <f t="shared" si="2"/>
        <v>0</v>
      </c>
      <c r="K2" s="28">
        <f t="shared" si="2"/>
        <v>0</v>
      </c>
      <c r="L2" s="28">
        <f>22.4</f>
        <v>22.4</v>
      </c>
      <c r="M2" s="28">
        <f>11.2</f>
        <v>11.2</v>
      </c>
      <c r="N2" s="28">
        <f t="shared" ref="N2:N4" si="5">0</f>
        <v>0</v>
      </c>
      <c r="O2" s="28">
        <f>22.4</f>
        <v>22.4</v>
      </c>
    </row>
    <row r="3">
      <c r="B3" s="20">
        <v>46204.0</v>
      </c>
      <c r="C3" s="28">
        <f t="shared" ref="C3:E3" si="3">0</f>
        <v>0</v>
      </c>
      <c r="D3" s="28">
        <f t="shared" si="3"/>
        <v>0</v>
      </c>
      <c r="E3" s="28">
        <f t="shared" si="3"/>
        <v>0</v>
      </c>
      <c r="F3" s="28">
        <f>31</f>
        <v>31</v>
      </c>
      <c r="G3" s="28">
        <f>46.5</f>
        <v>46.5</v>
      </c>
      <c r="H3" s="28">
        <f t="shared" ref="H3:K3" si="4">0</f>
        <v>0</v>
      </c>
      <c r="I3" s="28">
        <f t="shared" si="4"/>
        <v>0</v>
      </c>
      <c r="J3" s="28">
        <f t="shared" si="4"/>
        <v>0</v>
      </c>
      <c r="K3" s="28">
        <f t="shared" si="4"/>
        <v>0</v>
      </c>
      <c r="L3" s="28">
        <f>46.5</f>
        <v>46.5</v>
      </c>
      <c r="M3" s="28">
        <f>31</f>
        <v>31</v>
      </c>
      <c r="N3" s="28">
        <f t="shared" si="5"/>
        <v>0</v>
      </c>
      <c r="O3" s="28">
        <f>0</f>
        <v>0</v>
      </c>
    </row>
    <row r="4">
      <c r="B4" s="20">
        <v>46204.0</v>
      </c>
      <c r="C4" s="28">
        <f t="shared" ref="C4:F4" si="6">0</f>
        <v>0</v>
      </c>
      <c r="D4" s="28">
        <f t="shared" si="6"/>
        <v>0</v>
      </c>
      <c r="E4" s="28">
        <f t="shared" si="6"/>
        <v>0</v>
      </c>
      <c r="F4" s="28">
        <f t="shared" si="6"/>
        <v>0</v>
      </c>
      <c r="G4" s="28">
        <f>17.7</f>
        <v>17.7</v>
      </c>
      <c r="H4" s="28">
        <f t="shared" ref="H4:K4" si="7">0</f>
        <v>0</v>
      </c>
      <c r="I4" s="28">
        <f t="shared" si="7"/>
        <v>0</v>
      </c>
      <c r="J4" s="28">
        <f t="shared" si="7"/>
        <v>0</v>
      </c>
      <c r="K4" s="28">
        <f t="shared" si="7"/>
        <v>0</v>
      </c>
      <c r="L4" s="28">
        <f>17.7</f>
        <v>17.7</v>
      </c>
      <c r="M4" s="28">
        <f>5.9</f>
        <v>5.9</v>
      </c>
      <c r="N4" s="28">
        <f t="shared" si="5"/>
        <v>0</v>
      </c>
      <c r="O4" s="28">
        <f>17.7</f>
        <v>17.7</v>
      </c>
    </row>
    <row r="5">
      <c r="B5" s="20">
        <v>46204.0</v>
      </c>
      <c r="C5" s="21">
        <v>0.0</v>
      </c>
      <c r="D5" s="21">
        <v>0.0</v>
      </c>
      <c r="E5" s="21">
        <v>0.0</v>
      </c>
      <c r="F5" s="21">
        <v>0.0</v>
      </c>
      <c r="G5" s="21">
        <v>0.0</v>
      </c>
      <c r="H5" s="21">
        <v>0.0</v>
      </c>
      <c r="I5" s="21">
        <v>0.0</v>
      </c>
      <c r="J5" s="21">
        <v>0.0</v>
      </c>
      <c r="K5" s="21">
        <v>0.0</v>
      </c>
      <c r="L5" s="21">
        <v>0.0</v>
      </c>
      <c r="M5" s="21">
        <v>0.0</v>
      </c>
      <c r="N5" s="21">
        <v>0.0</v>
      </c>
      <c r="O5" s="28">
        <f>142</f>
        <v>142</v>
      </c>
    </row>
    <row r="6">
      <c r="B6" s="20">
        <v>46204.0</v>
      </c>
      <c r="C6" s="28">
        <f t="shared" ref="C6:F6" si="8">0</f>
        <v>0</v>
      </c>
      <c r="D6" s="28">
        <f t="shared" si="8"/>
        <v>0</v>
      </c>
      <c r="E6" s="28">
        <f t="shared" si="8"/>
        <v>0</v>
      </c>
      <c r="F6" s="28">
        <f t="shared" si="8"/>
        <v>0</v>
      </c>
      <c r="G6" s="28">
        <f>42.6</f>
        <v>42.6</v>
      </c>
      <c r="H6" s="28">
        <f t="shared" ref="H6:L6" si="9">0</f>
        <v>0</v>
      </c>
      <c r="I6" s="28">
        <f t="shared" si="9"/>
        <v>0</v>
      </c>
      <c r="J6" s="28">
        <f t="shared" si="9"/>
        <v>0</v>
      </c>
      <c r="K6" s="28">
        <f t="shared" si="9"/>
        <v>0</v>
      </c>
      <c r="L6" s="28">
        <f t="shared" si="9"/>
        <v>0</v>
      </c>
      <c r="M6" s="28">
        <f>21.3</f>
        <v>21.3</v>
      </c>
      <c r="N6" s="28">
        <f>14.2</f>
        <v>14.2</v>
      </c>
      <c r="O6" s="28">
        <f>63.9</f>
        <v>63.9</v>
      </c>
    </row>
    <row r="7">
      <c r="B7" s="20">
        <v>46205.0</v>
      </c>
      <c r="C7" s="28">
        <f t="shared" ref="C7:F7" si="10">0</f>
        <v>0</v>
      </c>
      <c r="D7" s="28">
        <f t="shared" si="10"/>
        <v>0</v>
      </c>
      <c r="E7" s="28">
        <f t="shared" si="10"/>
        <v>0</v>
      </c>
      <c r="F7" s="28">
        <f t="shared" si="10"/>
        <v>0</v>
      </c>
      <c r="G7" s="28">
        <f>95.2</f>
        <v>95.2</v>
      </c>
      <c r="H7" s="28">
        <f t="shared" ref="H7:N7" si="11">0</f>
        <v>0</v>
      </c>
      <c r="I7" s="28">
        <f t="shared" si="11"/>
        <v>0</v>
      </c>
      <c r="J7" s="28">
        <f t="shared" si="11"/>
        <v>0</v>
      </c>
      <c r="K7" s="28">
        <f t="shared" si="11"/>
        <v>0</v>
      </c>
      <c r="L7" s="28">
        <f t="shared" si="11"/>
        <v>0</v>
      </c>
      <c r="M7" s="28">
        <f t="shared" si="11"/>
        <v>0</v>
      </c>
      <c r="N7" s="28">
        <f t="shared" si="11"/>
        <v>0</v>
      </c>
      <c r="O7" s="28">
        <f>23.8</f>
        <v>23.8</v>
      </c>
    </row>
    <row r="8">
      <c r="B8" s="20">
        <v>46205.0</v>
      </c>
      <c r="C8" s="21">
        <v>0.0</v>
      </c>
      <c r="D8" s="21">
        <v>0.0</v>
      </c>
      <c r="E8" s="21">
        <v>0.0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1">
        <v>0.0</v>
      </c>
      <c r="N8" s="21">
        <v>0.0</v>
      </c>
      <c r="O8" s="28">
        <f>33.4</f>
        <v>33.4</v>
      </c>
    </row>
    <row r="9">
      <c r="B9" s="20">
        <v>46205.0</v>
      </c>
      <c r="C9" s="28">
        <f t="shared" ref="C9:L9" si="12">0</f>
        <v>0</v>
      </c>
      <c r="D9" s="28">
        <f t="shared" si="12"/>
        <v>0</v>
      </c>
      <c r="E9" s="28">
        <f t="shared" si="12"/>
        <v>0</v>
      </c>
      <c r="F9" s="28">
        <f t="shared" si="12"/>
        <v>0</v>
      </c>
      <c r="G9" s="28">
        <f t="shared" si="12"/>
        <v>0</v>
      </c>
      <c r="H9" s="28">
        <f t="shared" si="12"/>
        <v>0</v>
      </c>
      <c r="I9" s="28">
        <f t="shared" si="12"/>
        <v>0</v>
      </c>
      <c r="J9" s="28">
        <f t="shared" si="12"/>
        <v>0</v>
      </c>
      <c r="K9" s="28">
        <f t="shared" si="12"/>
        <v>0</v>
      </c>
      <c r="L9" s="28">
        <f t="shared" si="12"/>
        <v>0</v>
      </c>
      <c r="M9" s="28">
        <f>107.2</f>
        <v>107.2</v>
      </c>
      <c r="N9" s="28">
        <f t="shared" ref="N9:N10" si="14">0</f>
        <v>0</v>
      </c>
      <c r="O9" s="28">
        <f>26.8</f>
        <v>26.8</v>
      </c>
    </row>
    <row r="10">
      <c r="B10" s="20">
        <v>46206.0</v>
      </c>
      <c r="C10" s="28">
        <f t="shared" ref="C10:L10" si="13">0</f>
        <v>0</v>
      </c>
      <c r="D10" s="28">
        <f t="shared" si="13"/>
        <v>0</v>
      </c>
      <c r="E10" s="28">
        <f t="shared" si="13"/>
        <v>0</v>
      </c>
      <c r="F10" s="28">
        <f t="shared" si="13"/>
        <v>0</v>
      </c>
      <c r="G10" s="28">
        <f t="shared" si="13"/>
        <v>0</v>
      </c>
      <c r="H10" s="28">
        <f t="shared" si="13"/>
        <v>0</v>
      </c>
      <c r="I10" s="28">
        <f t="shared" si="13"/>
        <v>0</v>
      </c>
      <c r="J10" s="28">
        <f t="shared" si="13"/>
        <v>0</v>
      </c>
      <c r="K10" s="28">
        <f t="shared" si="13"/>
        <v>0</v>
      </c>
      <c r="L10" s="28">
        <f t="shared" si="13"/>
        <v>0</v>
      </c>
      <c r="M10" s="28">
        <f>157</f>
        <v>157</v>
      </c>
      <c r="N10" s="28">
        <f t="shared" si="14"/>
        <v>0</v>
      </c>
      <c r="O10" s="28">
        <f t="shared" ref="O10:O11" si="17">0</f>
        <v>0</v>
      </c>
    </row>
    <row r="11">
      <c r="B11" s="20">
        <v>46206.0</v>
      </c>
      <c r="C11" s="28">
        <f>14.4</f>
        <v>14.4</v>
      </c>
      <c r="D11" s="28">
        <f t="shared" ref="D11:F11" si="15">0</f>
        <v>0</v>
      </c>
      <c r="E11" s="28">
        <f t="shared" si="15"/>
        <v>0</v>
      </c>
      <c r="F11" s="28">
        <f t="shared" si="15"/>
        <v>0</v>
      </c>
      <c r="G11" s="28">
        <f>43.2</f>
        <v>43.2</v>
      </c>
      <c r="H11" s="28">
        <f t="shared" ref="H11:K11" si="16">0</f>
        <v>0</v>
      </c>
      <c r="I11" s="28">
        <f t="shared" si="16"/>
        <v>0</v>
      </c>
      <c r="J11" s="28">
        <f t="shared" si="16"/>
        <v>0</v>
      </c>
      <c r="K11" s="28">
        <f t="shared" si="16"/>
        <v>0</v>
      </c>
      <c r="L11" s="28">
        <f>43.2</f>
        <v>43.2</v>
      </c>
      <c r="M11" s="28">
        <f>28.8</f>
        <v>28.8</v>
      </c>
      <c r="N11" s="28">
        <f>14.4</f>
        <v>14.4</v>
      </c>
      <c r="O11" s="28">
        <f t="shared" si="17"/>
        <v>0</v>
      </c>
    </row>
    <row r="12">
      <c r="B12" s="20">
        <v>46206.0</v>
      </c>
      <c r="C12" s="28">
        <f t="shared" ref="C12:F12" si="18">0</f>
        <v>0</v>
      </c>
      <c r="D12" s="28">
        <f t="shared" si="18"/>
        <v>0</v>
      </c>
      <c r="E12" s="28">
        <f t="shared" si="18"/>
        <v>0</v>
      </c>
      <c r="F12" s="28">
        <f t="shared" si="18"/>
        <v>0</v>
      </c>
      <c r="G12" s="28">
        <f>118.4</f>
        <v>118.4</v>
      </c>
      <c r="H12" s="28">
        <f t="shared" ref="H12:K12" si="19">0</f>
        <v>0</v>
      </c>
      <c r="I12" s="28">
        <f t="shared" si="19"/>
        <v>0</v>
      </c>
      <c r="J12" s="28">
        <f t="shared" si="19"/>
        <v>0</v>
      </c>
      <c r="K12" s="28">
        <f t="shared" si="19"/>
        <v>0</v>
      </c>
      <c r="L12" s="28">
        <f>29.6</f>
        <v>29.6</v>
      </c>
      <c r="M12" s="28">
        <f t="shared" ref="M12:O12" si="20">0</f>
        <v>0</v>
      </c>
      <c r="N12" s="28">
        <f t="shared" si="20"/>
        <v>0</v>
      </c>
      <c r="O12" s="28">
        <f t="shared" si="20"/>
        <v>0</v>
      </c>
    </row>
    <row r="13">
      <c r="B13" s="20">
        <v>46207.0</v>
      </c>
      <c r="C13" s="21">
        <v>0.0</v>
      </c>
      <c r="D13" s="21">
        <v>0.0</v>
      </c>
      <c r="E13" s="21">
        <v>0.0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0.0</v>
      </c>
      <c r="L13" s="21">
        <v>0.0</v>
      </c>
      <c r="M13" s="21">
        <v>0.0</v>
      </c>
      <c r="N13" s="21">
        <v>0.0</v>
      </c>
      <c r="O13" s="28">
        <f>131</f>
        <v>131</v>
      </c>
    </row>
    <row r="14">
      <c r="B14" s="20">
        <v>46207.0</v>
      </c>
      <c r="C14" s="21">
        <v>0.0</v>
      </c>
      <c r="D14" s="21">
        <v>0.0</v>
      </c>
      <c r="E14" s="21">
        <v>0.0</v>
      </c>
      <c r="F14" s="21">
        <v>0.0</v>
      </c>
      <c r="G14" s="21">
        <v>0.0</v>
      </c>
      <c r="H14" s="21">
        <v>0.0</v>
      </c>
      <c r="I14" s="21">
        <v>0.0</v>
      </c>
      <c r="J14" s="21">
        <v>0.0</v>
      </c>
      <c r="K14" s="21">
        <v>0.0</v>
      </c>
      <c r="L14" s="21">
        <v>0.0</v>
      </c>
      <c r="M14" s="21">
        <v>0.0</v>
      </c>
      <c r="N14" s="21">
        <v>0.0</v>
      </c>
      <c r="O14" s="28">
        <f>136</f>
        <v>136</v>
      </c>
    </row>
    <row r="15">
      <c r="B15" s="20">
        <v>46207.0</v>
      </c>
      <c r="C15" s="28">
        <f>120.9</f>
        <v>120.9</v>
      </c>
      <c r="D15" s="28">
        <f t="shared" ref="D15:F15" si="21">0</f>
        <v>0</v>
      </c>
      <c r="E15" s="28">
        <f t="shared" si="21"/>
        <v>0</v>
      </c>
      <c r="F15" s="28">
        <f t="shared" si="21"/>
        <v>0</v>
      </c>
      <c r="G15" s="28">
        <f>161.2</f>
        <v>161.2</v>
      </c>
      <c r="H15" s="28">
        <f t="shared" ref="H15:N15" si="22">0</f>
        <v>0</v>
      </c>
      <c r="I15" s="28">
        <f t="shared" si="22"/>
        <v>0</v>
      </c>
      <c r="J15" s="28">
        <f t="shared" si="22"/>
        <v>0</v>
      </c>
      <c r="K15" s="28">
        <f t="shared" si="22"/>
        <v>0</v>
      </c>
      <c r="L15" s="28">
        <f t="shared" si="22"/>
        <v>0</v>
      </c>
      <c r="M15" s="28">
        <f t="shared" si="22"/>
        <v>0</v>
      </c>
      <c r="N15" s="28">
        <f t="shared" si="22"/>
        <v>0</v>
      </c>
      <c r="O15" s="28">
        <f>120.9</f>
        <v>120.9</v>
      </c>
    </row>
    <row r="16">
      <c r="B16" s="20">
        <v>46208.0</v>
      </c>
      <c r="C16" s="28">
        <f t="shared" ref="C16:F16" si="23">0</f>
        <v>0</v>
      </c>
      <c r="D16" s="28">
        <f t="shared" si="23"/>
        <v>0</v>
      </c>
      <c r="E16" s="28">
        <f t="shared" si="23"/>
        <v>0</v>
      </c>
      <c r="F16" s="28">
        <f t="shared" si="23"/>
        <v>0</v>
      </c>
      <c r="G16" s="28">
        <f>49</f>
        <v>49</v>
      </c>
      <c r="H16" s="28">
        <f t="shared" ref="H16:L16" si="24">0</f>
        <v>0</v>
      </c>
      <c r="I16" s="28">
        <f t="shared" si="24"/>
        <v>0</v>
      </c>
      <c r="J16" s="28">
        <f t="shared" si="24"/>
        <v>0</v>
      </c>
      <c r="K16" s="28">
        <f t="shared" si="24"/>
        <v>0</v>
      </c>
      <c r="L16" s="28">
        <f t="shared" si="24"/>
        <v>0</v>
      </c>
      <c r="M16" s="28">
        <f t="shared" ref="M16:N16" si="25">35</f>
        <v>35</v>
      </c>
      <c r="N16" s="28">
        <f t="shared" si="25"/>
        <v>35</v>
      </c>
      <c r="O16" s="28">
        <f>21</f>
        <v>21</v>
      </c>
    </row>
    <row r="17">
      <c r="B17" s="20">
        <v>46208.0</v>
      </c>
      <c r="C17" s="21">
        <v>0.0</v>
      </c>
      <c r="D17" s="21">
        <v>0.0</v>
      </c>
      <c r="E17" s="21">
        <v>0.0</v>
      </c>
      <c r="F17" s="21">
        <v>0.0</v>
      </c>
      <c r="G17" s="21">
        <v>0.0</v>
      </c>
      <c r="H17" s="21">
        <v>0.0</v>
      </c>
      <c r="I17" s="21">
        <v>0.0</v>
      </c>
      <c r="J17" s="21">
        <v>0.0</v>
      </c>
      <c r="K17" s="21">
        <v>0.0</v>
      </c>
      <c r="L17" s="21">
        <v>0.0</v>
      </c>
      <c r="M17" s="21">
        <v>0.0</v>
      </c>
      <c r="N17" s="21">
        <v>0.0</v>
      </c>
      <c r="O17" s="28">
        <f>150</f>
        <v>150</v>
      </c>
    </row>
    <row r="18">
      <c r="B18" s="20">
        <v>46209.0</v>
      </c>
      <c r="C18" s="28">
        <f>26.4</f>
        <v>26.4</v>
      </c>
      <c r="D18" s="28">
        <f t="shared" ref="D18:F18" si="26">0</f>
        <v>0</v>
      </c>
      <c r="E18" s="28">
        <f t="shared" si="26"/>
        <v>0</v>
      </c>
      <c r="F18" s="28">
        <f t="shared" si="26"/>
        <v>0</v>
      </c>
      <c r="G18" s="28">
        <f>52.8</f>
        <v>52.8</v>
      </c>
      <c r="H18" s="28">
        <f t="shared" ref="H18:N18" si="27">0</f>
        <v>0</v>
      </c>
      <c r="I18" s="28">
        <f t="shared" si="27"/>
        <v>0</v>
      </c>
      <c r="J18" s="28">
        <f t="shared" si="27"/>
        <v>0</v>
      </c>
      <c r="K18" s="28">
        <f t="shared" si="27"/>
        <v>0</v>
      </c>
      <c r="L18" s="28">
        <f t="shared" si="27"/>
        <v>0</v>
      </c>
      <c r="M18" s="28">
        <f t="shared" si="27"/>
        <v>0</v>
      </c>
      <c r="N18" s="28">
        <f t="shared" si="27"/>
        <v>0</v>
      </c>
      <c r="O18" s="28">
        <f>52.8</f>
        <v>52.8</v>
      </c>
    </row>
    <row r="19">
      <c r="B19" s="20">
        <v>46209.0</v>
      </c>
      <c r="C19" s="28">
        <f t="shared" ref="C19:F19" si="28">0</f>
        <v>0</v>
      </c>
      <c r="D19" s="28">
        <f t="shared" si="28"/>
        <v>0</v>
      </c>
      <c r="E19" s="28">
        <f t="shared" si="28"/>
        <v>0</v>
      </c>
      <c r="F19" s="28">
        <f t="shared" si="28"/>
        <v>0</v>
      </c>
      <c r="G19" s="28">
        <f>52.5</f>
        <v>52.5</v>
      </c>
      <c r="H19" s="28">
        <f t="shared" ref="H19:N19" si="29">0</f>
        <v>0</v>
      </c>
      <c r="I19" s="28">
        <f t="shared" si="29"/>
        <v>0</v>
      </c>
      <c r="J19" s="28">
        <f t="shared" si="29"/>
        <v>0</v>
      </c>
      <c r="K19" s="28">
        <f t="shared" si="29"/>
        <v>0</v>
      </c>
      <c r="L19" s="28">
        <f t="shared" si="29"/>
        <v>0</v>
      </c>
      <c r="M19" s="28">
        <f t="shared" si="29"/>
        <v>0</v>
      </c>
      <c r="N19" s="28">
        <f t="shared" si="29"/>
        <v>0</v>
      </c>
      <c r="O19" s="28">
        <f>52.5</f>
        <v>52.5</v>
      </c>
    </row>
    <row r="20">
      <c r="B20" s="20">
        <v>46209.0</v>
      </c>
      <c r="C20" s="28">
        <f t="shared" ref="C20:F20" si="30">0</f>
        <v>0</v>
      </c>
      <c r="D20" s="28">
        <f t="shared" si="30"/>
        <v>0</v>
      </c>
      <c r="E20" s="28">
        <f t="shared" si="30"/>
        <v>0</v>
      </c>
      <c r="F20" s="28">
        <f t="shared" si="30"/>
        <v>0</v>
      </c>
      <c r="G20" s="28">
        <f>38.4</f>
        <v>38.4</v>
      </c>
      <c r="H20" s="28">
        <f t="shared" ref="H20:M20" si="31">0</f>
        <v>0</v>
      </c>
      <c r="I20" s="28">
        <f t="shared" si="31"/>
        <v>0</v>
      </c>
      <c r="J20" s="28">
        <f t="shared" si="31"/>
        <v>0</v>
      </c>
      <c r="K20" s="28">
        <f t="shared" si="31"/>
        <v>0</v>
      </c>
      <c r="L20" s="28">
        <f t="shared" si="31"/>
        <v>0</v>
      </c>
      <c r="M20" s="28">
        <f t="shared" si="31"/>
        <v>0</v>
      </c>
      <c r="N20" s="28">
        <f>4.8</f>
        <v>4.8</v>
      </c>
      <c r="O20" s="28">
        <f>52.8</f>
        <v>52.8</v>
      </c>
    </row>
    <row r="21">
      <c r="B21" s="20">
        <v>46209.0</v>
      </c>
      <c r="C21" s="28">
        <f t="shared" ref="C21:F21" si="32">0</f>
        <v>0</v>
      </c>
      <c r="D21" s="28">
        <f t="shared" si="32"/>
        <v>0</v>
      </c>
      <c r="E21" s="28">
        <f t="shared" si="32"/>
        <v>0</v>
      </c>
      <c r="F21" s="28">
        <f t="shared" si="32"/>
        <v>0</v>
      </c>
      <c r="G21" s="28">
        <f>51</f>
        <v>51</v>
      </c>
      <c r="H21" s="28">
        <f t="shared" ref="H21:K21" si="33">0</f>
        <v>0</v>
      </c>
      <c r="I21" s="28">
        <f t="shared" si="33"/>
        <v>0</v>
      </c>
      <c r="J21" s="28">
        <f t="shared" si="33"/>
        <v>0</v>
      </c>
      <c r="K21" s="28">
        <f t="shared" si="33"/>
        <v>0</v>
      </c>
      <c r="L21" s="28">
        <f t="shared" ref="L21:M21" si="34">51</f>
        <v>51</v>
      </c>
      <c r="M21" s="28">
        <f t="shared" si="34"/>
        <v>51</v>
      </c>
      <c r="N21" s="28">
        <f>0</f>
        <v>0</v>
      </c>
      <c r="O21" s="28">
        <f>17</f>
        <v>17</v>
      </c>
    </row>
    <row r="22">
      <c r="B22" s="20">
        <v>46210.0</v>
      </c>
      <c r="C22" s="28">
        <f t="shared" ref="C22:F22" si="35">0</f>
        <v>0</v>
      </c>
      <c r="D22" s="28">
        <f t="shared" si="35"/>
        <v>0</v>
      </c>
      <c r="E22" s="28">
        <f t="shared" si="35"/>
        <v>0</v>
      </c>
      <c r="F22" s="28">
        <f t="shared" si="35"/>
        <v>0</v>
      </c>
      <c r="G22" s="28">
        <f>47.4</f>
        <v>47.4</v>
      </c>
      <c r="H22" s="28">
        <f t="shared" ref="H22:K22" si="36">0</f>
        <v>0</v>
      </c>
      <c r="I22" s="28">
        <f t="shared" si="36"/>
        <v>0</v>
      </c>
      <c r="J22" s="28">
        <f t="shared" si="36"/>
        <v>0</v>
      </c>
      <c r="K22" s="28">
        <f t="shared" si="36"/>
        <v>0</v>
      </c>
      <c r="L22" s="28">
        <f>94.8</f>
        <v>94.8</v>
      </c>
      <c r="M22" s="28">
        <f t="shared" ref="M22:N22" si="37">0</f>
        <v>0</v>
      </c>
      <c r="N22" s="28">
        <f t="shared" si="37"/>
        <v>0</v>
      </c>
      <c r="O22" s="28">
        <f>15.8</f>
        <v>15.8</v>
      </c>
    </row>
    <row r="23">
      <c r="B23" s="20">
        <v>46210.0</v>
      </c>
      <c r="C23" s="28">
        <f t="shared" ref="C23:D23" si="38">23.6</f>
        <v>23.6</v>
      </c>
      <c r="D23" s="28">
        <f t="shared" si="38"/>
        <v>23.6</v>
      </c>
      <c r="E23" s="28">
        <f t="shared" ref="E23:L23" si="39">0</f>
        <v>0</v>
      </c>
      <c r="F23" s="28">
        <f t="shared" si="39"/>
        <v>0</v>
      </c>
      <c r="G23" s="28">
        <f t="shared" si="39"/>
        <v>0</v>
      </c>
      <c r="H23" s="28">
        <f t="shared" si="39"/>
        <v>0</v>
      </c>
      <c r="I23" s="28">
        <f t="shared" si="39"/>
        <v>0</v>
      </c>
      <c r="J23" s="28">
        <f t="shared" si="39"/>
        <v>0</v>
      </c>
      <c r="K23" s="28">
        <f t="shared" si="39"/>
        <v>0</v>
      </c>
      <c r="L23" s="28">
        <f t="shared" si="39"/>
        <v>0</v>
      </c>
      <c r="M23" s="28">
        <f>47.2</f>
        <v>47.2</v>
      </c>
      <c r="N23" s="28">
        <f>23.6</f>
        <v>23.6</v>
      </c>
      <c r="O23" s="28">
        <f>0</f>
        <v>0</v>
      </c>
    </row>
    <row r="24">
      <c r="B24" s="20">
        <v>46210.0</v>
      </c>
      <c r="C24" s="28">
        <f t="shared" ref="C24:F24" si="40">0</f>
        <v>0</v>
      </c>
      <c r="D24" s="28">
        <f t="shared" si="40"/>
        <v>0</v>
      </c>
      <c r="E24" s="28">
        <f t="shared" si="40"/>
        <v>0</v>
      </c>
      <c r="F24" s="28">
        <f t="shared" si="40"/>
        <v>0</v>
      </c>
      <c r="G24" s="28">
        <f>53.6</f>
        <v>53.6</v>
      </c>
      <c r="H24" s="28">
        <f t="shared" ref="H24:K24" si="41">0</f>
        <v>0</v>
      </c>
      <c r="I24" s="28">
        <f t="shared" si="41"/>
        <v>0</v>
      </c>
      <c r="J24" s="28">
        <f t="shared" si="41"/>
        <v>0</v>
      </c>
      <c r="K24" s="28">
        <f t="shared" si="41"/>
        <v>0</v>
      </c>
      <c r="L24" s="28">
        <f>40.2</f>
        <v>40.2</v>
      </c>
      <c r="M24" s="28">
        <f t="shared" ref="M24:N24" si="42">0</f>
        <v>0</v>
      </c>
      <c r="N24" s="28">
        <f t="shared" si="42"/>
        <v>0</v>
      </c>
      <c r="O24" s="28">
        <f>40.2</f>
        <v>40.2</v>
      </c>
    </row>
    <row r="25">
      <c r="B25" s="20">
        <v>46211.0</v>
      </c>
      <c r="C25" s="28">
        <f t="shared" ref="C25:F25" si="43">0</f>
        <v>0</v>
      </c>
      <c r="D25" s="28">
        <f t="shared" si="43"/>
        <v>0</v>
      </c>
      <c r="E25" s="28">
        <f t="shared" si="43"/>
        <v>0</v>
      </c>
      <c r="F25" s="28">
        <f t="shared" si="43"/>
        <v>0</v>
      </c>
      <c r="G25" s="28">
        <f>136.2</f>
        <v>136.2</v>
      </c>
      <c r="H25" s="28">
        <f t="shared" ref="H25:K25" si="44">0</f>
        <v>0</v>
      </c>
      <c r="I25" s="28">
        <f t="shared" si="44"/>
        <v>0</v>
      </c>
      <c r="J25" s="28">
        <f t="shared" si="44"/>
        <v>0</v>
      </c>
      <c r="K25" s="28">
        <f t="shared" si="44"/>
        <v>0</v>
      </c>
      <c r="L25" s="28">
        <f>90.8</f>
        <v>90.8</v>
      </c>
      <c r="M25" s="28">
        <f t="shared" ref="M25:O25" si="45">0</f>
        <v>0</v>
      </c>
      <c r="N25" s="28">
        <f t="shared" si="45"/>
        <v>0</v>
      </c>
      <c r="O25" s="28">
        <f t="shared" si="45"/>
        <v>0</v>
      </c>
    </row>
    <row r="26">
      <c r="B26" s="20">
        <v>46211.0</v>
      </c>
      <c r="C26" s="28">
        <f t="shared" ref="C26:F26" si="46">0</f>
        <v>0</v>
      </c>
      <c r="D26" s="28">
        <f t="shared" si="46"/>
        <v>0</v>
      </c>
      <c r="E26" s="28">
        <f t="shared" si="46"/>
        <v>0</v>
      </c>
      <c r="F26" s="28">
        <f t="shared" si="46"/>
        <v>0</v>
      </c>
      <c r="G26" s="28">
        <f>141.6</f>
        <v>141.6</v>
      </c>
      <c r="H26" s="28">
        <f t="shared" ref="H26:N26" si="47">0</f>
        <v>0</v>
      </c>
      <c r="I26" s="28">
        <f t="shared" si="47"/>
        <v>0</v>
      </c>
      <c r="J26" s="28">
        <f t="shared" si="47"/>
        <v>0</v>
      </c>
      <c r="K26" s="28">
        <f t="shared" si="47"/>
        <v>0</v>
      </c>
      <c r="L26" s="28">
        <f t="shared" si="47"/>
        <v>0</v>
      </c>
      <c r="M26" s="28">
        <f t="shared" si="47"/>
        <v>0</v>
      </c>
      <c r="N26" s="28">
        <f t="shared" si="47"/>
        <v>0</v>
      </c>
      <c r="O26" s="28">
        <f>35.4</f>
        <v>35.4</v>
      </c>
    </row>
    <row r="27">
      <c r="B27" s="20">
        <v>46211.0</v>
      </c>
      <c r="C27" s="28">
        <f t="shared" ref="C27:K27" si="48">0</f>
        <v>0</v>
      </c>
      <c r="D27" s="28">
        <f t="shared" si="48"/>
        <v>0</v>
      </c>
      <c r="E27" s="28">
        <f t="shared" si="48"/>
        <v>0</v>
      </c>
      <c r="F27" s="28">
        <f t="shared" si="48"/>
        <v>0</v>
      </c>
      <c r="G27" s="28">
        <f t="shared" si="48"/>
        <v>0</v>
      </c>
      <c r="H27" s="28">
        <f t="shared" si="48"/>
        <v>0</v>
      </c>
      <c r="I27" s="28">
        <f t="shared" si="48"/>
        <v>0</v>
      </c>
      <c r="J27" s="28">
        <f t="shared" si="48"/>
        <v>0</v>
      </c>
      <c r="K27" s="28">
        <f t="shared" si="48"/>
        <v>0</v>
      </c>
      <c r="L27" s="28">
        <f>63.2</f>
        <v>63.2</v>
      </c>
      <c r="M27" s="28">
        <f t="shared" ref="M27:N27" si="49">0</f>
        <v>0</v>
      </c>
      <c r="N27" s="28">
        <f t="shared" si="49"/>
        <v>0</v>
      </c>
      <c r="O27" s="28">
        <f>94.8</f>
        <v>94.8</v>
      </c>
    </row>
    <row r="28">
      <c r="B28" s="20">
        <v>46212.0</v>
      </c>
      <c r="C28" s="28">
        <f>28.8</f>
        <v>28.8</v>
      </c>
      <c r="D28" s="28">
        <f t="shared" ref="D28:F28" si="50">0</f>
        <v>0</v>
      </c>
      <c r="E28" s="28">
        <f t="shared" si="50"/>
        <v>0</v>
      </c>
      <c r="F28" s="28">
        <f t="shared" si="50"/>
        <v>0</v>
      </c>
      <c r="G28" s="28">
        <f>28.8</f>
        <v>28.8</v>
      </c>
      <c r="H28" s="28">
        <f t="shared" ref="H28:L28" si="51">0</f>
        <v>0</v>
      </c>
      <c r="I28" s="28">
        <f t="shared" si="51"/>
        <v>0</v>
      </c>
      <c r="J28" s="28">
        <f t="shared" si="51"/>
        <v>0</v>
      </c>
      <c r="K28" s="28">
        <f t="shared" si="51"/>
        <v>0</v>
      </c>
      <c r="L28" s="28">
        <f t="shared" si="51"/>
        <v>0</v>
      </c>
      <c r="M28" s="28">
        <f>28.8</f>
        <v>28.8</v>
      </c>
      <c r="N28" s="28">
        <f t="shared" ref="N28:N29" si="55">0</f>
        <v>0</v>
      </c>
      <c r="O28" s="28">
        <f>9.6</f>
        <v>9.6</v>
      </c>
    </row>
    <row r="29">
      <c r="B29" s="20">
        <v>46213.0</v>
      </c>
      <c r="C29" s="28">
        <f t="shared" ref="C29:F29" si="52">0</f>
        <v>0</v>
      </c>
      <c r="D29" s="28">
        <f t="shared" si="52"/>
        <v>0</v>
      </c>
      <c r="E29" s="28">
        <f t="shared" si="52"/>
        <v>0</v>
      </c>
      <c r="F29" s="28">
        <f t="shared" si="52"/>
        <v>0</v>
      </c>
      <c r="G29" s="28">
        <f>84</f>
        <v>84</v>
      </c>
      <c r="H29" s="28">
        <f t="shared" ref="H29:K29" si="53">0</f>
        <v>0</v>
      </c>
      <c r="I29" s="28">
        <f t="shared" si="53"/>
        <v>0</v>
      </c>
      <c r="J29" s="28">
        <f t="shared" si="53"/>
        <v>0</v>
      </c>
      <c r="K29" s="28">
        <f t="shared" si="53"/>
        <v>0</v>
      </c>
      <c r="L29" s="28">
        <f t="shared" ref="L29:M29" si="54">12</f>
        <v>12</v>
      </c>
      <c r="M29" s="28">
        <f t="shared" si="54"/>
        <v>12</v>
      </c>
      <c r="N29" s="28">
        <f t="shared" si="55"/>
        <v>0</v>
      </c>
      <c r="O29" s="28">
        <f>12</f>
        <v>12</v>
      </c>
    </row>
    <row r="30">
      <c r="B30" s="20">
        <v>46213.0</v>
      </c>
      <c r="C30" s="28">
        <f t="shared" ref="C30:F30" si="56">0</f>
        <v>0</v>
      </c>
      <c r="D30" s="28">
        <f t="shared" si="56"/>
        <v>0</v>
      </c>
      <c r="E30" s="28">
        <f t="shared" si="56"/>
        <v>0</v>
      </c>
      <c r="F30" s="28">
        <f t="shared" si="56"/>
        <v>0</v>
      </c>
      <c r="G30" s="28">
        <f>97.6</f>
        <v>97.6</v>
      </c>
      <c r="H30" s="28">
        <f t="shared" ref="H30:K30" si="57">0</f>
        <v>0</v>
      </c>
      <c r="I30" s="28">
        <f t="shared" si="57"/>
        <v>0</v>
      </c>
      <c r="J30" s="28">
        <f t="shared" si="57"/>
        <v>0</v>
      </c>
      <c r="K30" s="28">
        <f t="shared" si="57"/>
        <v>0</v>
      </c>
      <c r="L30" s="28">
        <f>12.2</f>
        <v>12.2</v>
      </c>
      <c r="M30" s="28">
        <f t="shared" ref="M30:N30" si="58">0</f>
        <v>0</v>
      </c>
      <c r="N30" s="28">
        <f t="shared" si="58"/>
        <v>0</v>
      </c>
      <c r="O30" s="28">
        <f>12.2</f>
        <v>12.2</v>
      </c>
    </row>
    <row r="31">
      <c r="B31" s="20">
        <v>46213.0</v>
      </c>
      <c r="C31" s="28">
        <f t="shared" ref="C31:F31" si="59">0</f>
        <v>0</v>
      </c>
      <c r="D31" s="28">
        <f t="shared" si="59"/>
        <v>0</v>
      </c>
      <c r="E31" s="28">
        <f t="shared" si="59"/>
        <v>0</v>
      </c>
      <c r="F31" s="28">
        <f t="shared" si="59"/>
        <v>0</v>
      </c>
      <c r="G31" s="28">
        <f>109.9</f>
        <v>109.9</v>
      </c>
      <c r="H31" s="28">
        <f>0</f>
        <v>0</v>
      </c>
      <c r="I31" s="28">
        <f>15.7</f>
        <v>15.7</v>
      </c>
      <c r="J31" s="28">
        <f t="shared" ref="J31:L31" si="60">0</f>
        <v>0</v>
      </c>
      <c r="K31" s="28">
        <f t="shared" si="60"/>
        <v>0</v>
      </c>
      <c r="L31" s="28">
        <f t="shared" si="60"/>
        <v>0</v>
      </c>
      <c r="M31" s="28">
        <f>31.4</f>
        <v>31.4</v>
      </c>
      <c r="N31" s="28">
        <f t="shared" ref="N31:O31" si="61">0</f>
        <v>0</v>
      </c>
      <c r="O31" s="28">
        <f t="shared" si="61"/>
        <v>0</v>
      </c>
    </row>
    <row r="32">
      <c r="B32" s="20">
        <v>46213.0</v>
      </c>
      <c r="C32" s="21">
        <v>0.0</v>
      </c>
      <c r="D32" s="21">
        <v>0.0</v>
      </c>
      <c r="E32" s="21">
        <v>0.0</v>
      </c>
      <c r="F32" s="21">
        <v>0.0</v>
      </c>
      <c r="G32" s="21">
        <v>0.0</v>
      </c>
      <c r="H32" s="21">
        <v>0.0</v>
      </c>
      <c r="I32" s="21">
        <v>0.0</v>
      </c>
      <c r="J32" s="21">
        <v>0.0</v>
      </c>
      <c r="K32" s="21">
        <v>0.0</v>
      </c>
      <c r="L32" s="21">
        <v>0.0</v>
      </c>
      <c r="M32" s="21">
        <v>0.0</v>
      </c>
      <c r="N32" s="21">
        <v>0.0</v>
      </c>
      <c r="O32" s="28">
        <f>107</f>
        <v>107</v>
      </c>
    </row>
    <row r="33">
      <c r="B33" s="20">
        <v>46214.0</v>
      </c>
      <c r="C33" s="28">
        <f t="shared" ref="C33:F33" si="62">0</f>
        <v>0</v>
      </c>
      <c r="D33" s="28">
        <f t="shared" si="62"/>
        <v>0</v>
      </c>
      <c r="E33" s="28">
        <f t="shared" si="62"/>
        <v>0</v>
      </c>
      <c r="F33" s="28">
        <f t="shared" si="62"/>
        <v>0</v>
      </c>
      <c r="G33" s="28">
        <f>36.6</f>
        <v>36.6</v>
      </c>
      <c r="H33" s="28">
        <f t="shared" ref="H33:K33" si="63">0</f>
        <v>0</v>
      </c>
      <c r="I33" s="28">
        <f t="shared" si="63"/>
        <v>0</v>
      </c>
      <c r="J33" s="28">
        <f t="shared" si="63"/>
        <v>0</v>
      </c>
      <c r="K33" s="28">
        <f t="shared" si="63"/>
        <v>0</v>
      </c>
      <c r="L33" s="28">
        <f>128.1</f>
        <v>128.1</v>
      </c>
      <c r="M33" s="28">
        <f t="shared" ref="M33:N33" si="64">0</f>
        <v>0</v>
      </c>
      <c r="N33" s="28">
        <f t="shared" si="64"/>
        <v>0</v>
      </c>
      <c r="O33" s="28">
        <f>18.3</f>
        <v>18.3</v>
      </c>
    </row>
    <row r="34">
      <c r="B34" s="20">
        <v>46214.0</v>
      </c>
      <c r="C34" s="28">
        <f>14.6</f>
        <v>14.6</v>
      </c>
      <c r="D34" s="28">
        <f t="shared" ref="D34:F34" si="65">0</f>
        <v>0</v>
      </c>
      <c r="E34" s="28">
        <f t="shared" si="65"/>
        <v>0</v>
      </c>
      <c r="F34" s="28">
        <f t="shared" si="65"/>
        <v>0</v>
      </c>
      <c r="G34" s="28">
        <f>43.8</f>
        <v>43.8</v>
      </c>
      <c r="H34" s="28">
        <f t="shared" ref="H34:L34" si="66">0</f>
        <v>0</v>
      </c>
      <c r="I34" s="28">
        <f t="shared" si="66"/>
        <v>0</v>
      </c>
      <c r="J34" s="28">
        <f t="shared" si="66"/>
        <v>0</v>
      </c>
      <c r="K34" s="28">
        <f t="shared" si="66"/>
        <v>0</v>
      </c>
      <c r="L34" s="28">
        <f t="shared" si="66"/>
        <v>0</v>
      </c>
      <c r="M34" s="28">
        <f>58.4</f>
        <v>58.4</v>
      </c>
      <c r="N34" s="28">
        <f>0</f>
        <v>0</v>
      </c>
      <c r="O34" s="28">
        <f>29.2</f>
        <v>29.2</v>
      </c>
    </row>
    <row r="35">
      <c r="B35" s="20">
        <v>46214.0</v>
      </c>
      <c r="C35" s="28">
        <f t="shared" ref="C35:F35" si="67">0</f>
        <v>0</v>
      </c>
      <c r="D35" s="28">
        <f t="shared" si="67"/>
        <v>0</v>
      </c>
      <c r="E35" s="28">
        <f t="shared" si="67"/>
        <v>0</v>
      </c>
      <c r="F35" s="28">
        <f t="shared" si="67"/>
        <v>0</v>
      </c>
      <c r="G35" s="28">
        <f>41.1</f>
        <v>41.1</v>
      </c>
      <c r="H35" s="28">
        <f t="shared" ref="H35:K35" si="68">0</f>
        <v>0</v>
      </c>
      <c r="I35" s="28">
        <f t="shared" si="68"/>
        <v>0</v>
      </c>
      <c r="J35" s="28">
        <f t="shared" si="68"/>
        <v>0</v>
      </c>
      <c r="K35" s="28">
        <f t="shared" si="68"/>
        <v>0</v>
      </c>
      <c r="L35" s="28">
        <f>41.1</f>
        <v>41.1</v>
      </c>
      <c r="M35" s="28">
        <f t="shared" ref="M35:N35" si="69">0</f>
        <v>0</v>
      </c>
      <c r="N35" s="28">
        <f t="shared" si="69"/>
        <v>0</v>
      </c>
      <c r="O35" s="28">
        <f>54.8</f>
        <v>54.8</v>
      </c>
    </row>
    <row r="36">
      <c r="B36" s="20">
        <v>46215.0</v>
      </c>
      <c r="C36" s="28">
        <f t="shared" ref="C36:F36" si="70">0</f>
        <v>0</v>
      </c>
      <c r="D36" s="28">
        <f t="shared" si="70"/>
        <v>0</v>
      </c>
      <c r="E36" s="28">
        <f t="shared" si="70"/>
        <v>0</v>
      </c>
      <c r="F36" s="28">
        <f t="shared" si="70"/>
        <v>0</v>
      </c>
      <c r="G36" s="28">
        <f>46.8</f>
        <v>46.8</v>
      </c>
      <c r="H36" s="28">
        <f t="shared" ref="H36:N36" si="71">0</f>
        <v>0</v>
      </c>
      <c r="I36" s="28">
        <f t="shared" si="71"/>
        <v>0</v>
      </c>
      <c r="J36" s="28">
        <f t="shared" si="71"/>
        <v>0</v>
      </c>
      <c r="K36" s="28">
        <f t="shared" si="71"/>
        <v>0</v>
      </c>
      <c r="L36" s="28">
        <f t="shared" si="71"/>
        <v>0</v>
      </c>
      <c r="M36" s="28">
        <f t="shared" si="71"/>
        <v>0</v>
      </c>
      <c r="N36" s="28">
        <f t="shared" si="71"/>
        <v>0</v>
      </c>
      <c r="O36" s="28">
        <f>31.2</f>
        <v>31.2</v>
      </c>
    </row>
    <row r="37">
      <c r="B37" s="20">
        <v>46215.0</v>
      </c>
      <c r="C37" s="28">
        <f t="shared" ref="C37:F37" si="72">0</f>
        <v>0</v>
      </c>
      <c r="D37" s="28">
        <f t="shared" si="72"/>
        <v>0</v>
      </c>
      <c r="E37" s="28">
        <f t="shared" si="72"/>
        <v>0</v>
      </c>
      <c r="F37" s="28">
        <f t="shared" si="72"/>
        <v>0</v>
      </c>
      <c r="G37" s="28">
        <f>57.9</f>
        <v>57.9</v>
      </c>
      <c r="H37" s="28">
        <f t="shared" ref="H37:K37" si="73">0</f>
        <v>0</v>
      </c>
      <c r="I37" s="28">
        <f t="shared" si="73"/>
        <v>0</v>
      </c>
      <c r="J37" s="28">
        <f t="shared" si="73"/>
        <v>0</v>
      </c>
      <c r="K37" s="28">
        <f t="shared" si="73"/>
        <v>0</v>
      </c>
      <c r="L37" s="28">
        <f>57.9</f>
        <v>57.9</v>
      </c>
      <c r="M37" s="28">
        <f t="shared" ref="M37:N37" si="74">0</f>
        <v>0</v>
      </c>
      <c r="N37" s="28">
        <f t="shared" si="74"/>
        <v>0</v>
      </c>
      <c r="O37" s="28">
        <f>77.2</f>
        <v>77.2</v>
      </c>
    </row>
    <row r="38">
      <c r="B38" s="20">
        <v>46215.0</v>
      </c>
      <c r="C38" s="21">
        <v>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21">
        <v>0.0</v>
      </c>
      <c r="O38" s="28">
        <f>147</f>
        <v>147</v>
      </c>
    </row>
    <row r="39">
      <c r="B39" s="20">
        <v>46216.0</v>
      </c>
      <c r="C39" s="28">
        <f t="shared" ref="C39:F39" si="75">0</f>
        <v>0</v>
      </c>
      <c r="D39" s="28">
        <f t="shared" si="75"/>
        <v>0</v>
      </c>
      <c r="E39" s="28">
        <f t="shared" si="75"/>
        <v>0</v>
      </c>
      <c r="F39" s="28">
        <f t="shared" si="75"/>
        <v>0</v>
      </c>
      <c r="G39" s="28">
        <f>80</f>
        <v>80</v>
      </c>
      <c r="H39" s="28">
        <f t="shared" ref="H39:K39" si="76">0</f>
        <v>0</v>
      </c>
      <c r="I39" s="28">
        <f t="shared" si="76"/>
        <v>0</v>
      </c>
      <c r="J39" s="28">
        <f t="shared" si="76"/>
        <v>0</v>
      </c>
      <c r="K39" s="28">
        <f t="shared" si="76"/>
        <v>0</v>
      </c>
      <c r="L39" s="28">
        <f>80</f>
        <v>80</v>
      </c>
      <c r="M39" s="28">
        <f t="shared" ref="M39:N39" si="77">20</f>
        <v>20</v>
      </c>
      <c r="N39" s="28">
        <f t="shared" si="77"/>
        <v>20</v>
      </c>
      <c r="O39" s="28">
        <f>0</f>
        <v>0</v>
      </c>
    </row>
    <row r="40">
      <c r="B40" s="20">
        <v>46216.0</v>
      </c>
      <c r="C40" s="28">
        <f t="shared" ref="C40:F40" si="78">0</f>
        <v>0</v>
      </c>
      <c r="D40" s="28">
        <f t="shared" si="78"/>
        <v>0</v>
      </c>
      <c r="E40" s="28">
        <f t="shared" si="78"/>
        <v>0</v>
      </c>
      <c r="F40" s="28">
        <f t="shared" si="78"/>
        <v>0</v>
      </c>
      <c r="G40" s="28">
        <f>39.3</f>
        <v>39.3</v>
      </c>
      <c r="H40" s="28">
        <f t="shared" ref="H40:K40" si="79">0</f>
        <v>0</v>
      </c>
      <c r="I40" s="28">
        <f t="shared" si="79"/>
        <v>0</v>
      </c>
      <c r="J40" s="28">
        <f t="shared" si="79"/>
        <v>0</v>
      </c>
      <c r="K40" s="28">
        <f t="shared" si="79"/>
        <v>0</v>
      </c>
      <c r="L40" s="28">
        <f>39.3</f>
        <v>39.3</v>
      </c>
      <c r="M40" s="28">
        <f>26.2</f>
        <v>26.2</v>
      </c>
      <c r="N40" s="28">
        <f t="shared" ref="N40:N42" si="82">0</f>
        <v>0</v>
      </c>
      <c r="O40" s="28">
        <f>26.2</f>
        <v>26.2</v>
      </c>
    </row>
    <row r="41">
      <c r="B41" s="20">
        <v>46216.0</v>
      </c>
      <c r="C41" s="28">
        <f t="shared" ref="C41:F41" si="80">0</f>
        <v>0</v>
      </c>
      <c r="D41" s="28">
        <f t="shared" si="80"/>
        <v>0</v>
      </c>
      <c r="E41" s="28">
        <f t="shared" si="80"/>
        <v>0</v>
      </c>
      <c r="F41" s="28">
        <f t="shared" si="80"/>
        <v>0</v>
      </c>
      <c r="G41" s="28">
        <f>61.2</f>
        <v>61.2</v>
      </c>
      <c r="H41" s="28">
        <f t="shared" ref="H41:L41" si="81">0</f>
        <v>0</v>
      </c>
      <c r="I41" s="28">
        <f t="shared" si="81"/>
        <v>0</v>
      </c>
      <c r="J41" s="28">
        <f t="shared" si="81"/>
        <v>0</v>
      </c>
      <c r="K41" s="28">
        <f t="shared" si="81"/>
        <v>0</v>
      </c>
      <c r="L41" s="28">
        <f t="shared" si="81"/>
        <v>0</v>
      </c>
      <c r="M41" s="28">
        <f>45.9</f>
        <v>45.9</v>
      </c>
      <c r="N41" s="28">
        <f t="shared" si="82"/>
        <v>0</v>
      </c>
      <c r="O41" s="28">
        <f>45.9</f>
        <v>45.9</v>
      </c>
    </row>
    <row r="42">
      <c r="B42" s="20">
        <v>46216.0</v>
      </c>
      <c r="C42" s="28">
        <f t="shared" ref="C42:C43" si="85">0</f>
        <v>0</v>
      </c>
      <c r="D42" s="28">
        <f>13</f>
        <v>13</v>
      </c>
      <c r="E42" s="28">
        <f t="shared" ref="E42:F42" si="83">0</f>
        <v>0</v>
      </c>
      <c r="F42" s="28">
        <f t="shared" si="83"/>
        <v>0</v>
      </c>
      <c r="G42" s="28">
        <f>52</f>
        <v>52</v>
      </c>
      <c r="H42" s="28">
        <f t="shared" ref="H42:K42" si="84">0</f>
        <v>0</v>
      </c>
      <c r="I42" s="28">
        <f t="shared" si="84"/>
        <v>0</v>
      </c>
      <c r="J42" s="28">
        <f t="shared" si="84"/>
        <v>0</v>
      </c>
      <c r="K42" s="28">
        <f t="shared" si="84"/>
        <v>0</v>
      </c>
      <c r="L42" s="28">
        <f>52</f>
        <v>52</v>
      </c>
      <c r="M42" s="28">
        <f>13</f>
        <v>13</v>
      </c>
      <c r="N42" s="28">
        <f t="shared" si="82"/>
        <v>0</v>
      </c>
      <c r="O42" s="28">
        <f>0</f>
        <v>0</v>
      </c>
    </row>
    <row r="43">
      <c r="B43" s="20">
        <v>46216.0</v>
      </c>
      <c r="C43" s="28">
        <f t="shared" si="85"/>
        <v>0</v>
      </c>
      <c r="D43" s="28">
        <f t="shared" ref="D43:F43" si="86">0</f>
        <v>0</v>
      </c>
      <c r="E43" s="28">
        <f t="shared" si="86"/>
        <v>0</v>
      </c>
      <c r="F43" s="28">
        <f t="shared" si="86"/>
        <v>0</v>
      </c>
      <c r="G43" s="28">
        <f>89</f>
        <v>89</v>
      </c>
      <c r="H43" s="28">
        <f t="shared" ref="H43:L43" si="87">0</f>
        <v>0</v>
      </c>
      <c r="I43" s="28">
        <f t="shared" si="87"/>
        <v>0</v>
      </c>
      <c r="J43" s="28">
        <f t="shared" si="87"/>
        <v>0</v>
      </c>
      <c r="K43" s="28">
        <f t="shared" si="87"/>
        <v>0</v>
      </c>
      <c r="L43" s="28">
        <f t="shared" si="87"/>
        <v>0</v>
      </c>
      <c r="M43" s="28">
        <f>53.4</f>
        <v>53.4</v>
      </c>
      <c r="N43" s="28">
        <f t="shared" ref="N43:O43" si="88">17.8</f>
        <v>17.8</v>
      </c>
      <c r="O43" s="28">
        <f t="shared" si="88"/>
        <v>17.8</v>
      </c>
    </row>
    <row r="44">
      <c r="B44" s="20">
        <v>46216.0</v>
      </c>
      <c r="C44" s="21">
        <v>0.0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8">
        <f>164</f>
        <v>164</v>
      </c>
    </row>
    <row r="45">
      <c r="B45" s="20">
        <v>46217.0</v>
      </c>
      <c r="C45" s="21">
        <v>0.0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0.0</v>
      </c>
      <c r="M45" s="21">
        <v>0.0</v>
      </c>
      <c r="N45" s="21">
        <v>0.0</v>
      </c>
      <c r="O45" s="28">
        <f>101</f>
        <v>101</v>
      </c>
    </row>
    <row r="46">
      <c r="B46" s="20">
        <v>46218.0</v>
      </c>
      <c r="C46" s="21">
        <v>0.0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0.0</v>
      </c>
      <c r="M46" s="21">
        <v>0.0</v>
      </c>
      <c r="N46" s="21">
        <v>0.0</v>
      </c>
      <c r="O46" s="28">
        <f>110</f>
        <v>110</v>
      </c>
    </row>
    <row r="47">
      <c r="B47" s="20">
        <v>46218.0</v>
      </c>
      <c r="C47" s="28">
        <f t="shared" ref="C47:K47" si="89">0</f>
        <v>0</v>
      </c>
      <c r="D47" s="28">
        <f t="shared" si="89"/>
        <v>0</v>
      </c>
      <c r="E47" s="28">
        <f t="shared" si="89"/>
        <v>0</v>
      </c>
      <c r="F47" s="28">
        <f t="shared" si="89"/>
        <v>0</v>
      </c>
      <c r="G47" s="28">
        <f t="shared" si="89"/>
        <v>0</v>
      </c>
      <c r="H47" s="28">
        <f t="shared" si="89"/>
        <v>0</v>
      </c>
      <c r="I47" s="28">
        <f t="shared" si="89"/>
        <v>0</v>
      </c>
      <c r="J47" s="28">
        <f t="shared" si="89"/>
        <v>0</v>
      </c>
      <c r="K47" s="28">
        <f t="shared" si="89"/>
        <v>0</v>
      </c>
      <c r="L47" s="28">
        <f t="shared" ref="L47:M47" si="90">40.8</f>
        <v>40.8</v>
      </c>
      <c r="M47" s="28">
        <f t="shared" si="90"/>
        <v>40.8</v>
      </c>
      <c r="N47" s="28">
        <f>0</f>
        <v>0</v>
      </c>
      <c r="O47" s="28">
        <f>20.4</f>
        <v>20.4</v>
      </c>
    </row>
    <row r="48">
      <c r="B48" s="20">
        <v>46218.0</v>
      </c>
      <c r="C48" s="21">
        <v>0.0</v>
      </c>
      <c r="D48" s="21">
        <v>0.0</v>
      </c>
      <c r="E48" s="21">
        <v>0.0</v>
      </c>
      <c r="F48" s="21">
        <v>0.0</v>
      </c>
      <c r="G48" s="21">
        <v>0.0</v>
      </c>
      <c r="H48" s="21">
        <v>0.0</v>
      </c>
      <c r="I48" s="21">
        <v>0.0</v>
      </c>
      <c r="J48" s="21">
        <v>0.0</v>
      </c>
      <c r="K48" s="21">
        <v>0.0</v>
      </c>
      <c r="L48" s="21">
        <v>0.0</v>
      </c>
      <c r="M48" s="21">
        <v>0.0</v>
      </c>
      <c r="N48" s="21">
        <v>0.0</v>
      </c>
      <c r="O48" s="28">
        <f>125</f>
        <v>125</v>
      </c>
    </row>
    <row r="49">
      <c r="B49" s="20">
        <v>46218.0</v>
      </c>
      <c r="C49" s="28">
        <f t="shared" ref="C49:F49" si="91">0</f>
        <v>0</v>
      </c>
      <c r="D49" s="28">
        <f t="shared" si="91"/>
        <v>0</v>
      </c>
      <c r="E49" s="28">
        <f t="shared" si="91"/>
        <v>0</v>
      </c>
      <c r="F49" s="28">
        <f t="shared" si="91"/>
        <v>0</v>
      </c>
      <c r="G49" s="28">
        <f>67</f>
        <v>67</v>
      </c>
      <c r="H49" s="28">
        <f t="shared" ref="H49:L49" si="92">0</f>
        <v>0</v>
      </c>
      <c r="I49" s="28">
        <f t="shared" si="92"/>
        <v>0</v>
      </c>
      <c r="J49" s="28">
        <f t="shared" si="92"/>
        <v>0</v>
      </c>
      <c r="K49" s="28">
        <f t="shared" si="92"/>
        <v>0</v>
      </c>
      <c r="L49" s="28">
        <f t="shared" si="92"/>
        <v>0</v>
      </c>
      <c r="M49" s="28">
        <f>53.6</f>
        <v>53.6</v>
      </c>
      <c r="N49" s="28">
        <f>0</f>
        <v>0</v>
      </c>
      <c r="O49" s="28">
        <f>13.4</f>
        <v>13.4</v>
      </c>
    </row>
    <row r="50">
      <c r="B50" s="20">
        <v>46219.0</v>
      </c>
      <c r="C50" s="21">
        <v>0.0</v>
      </c>
      <c r="D50" s="21">
        <v>0.0</v>
      </c>
      <c r="E50" s="21">
        <v>0.0</v>
      </c>
      <c r="F50" s="21">
        <v>0.0</v>
      </c>
      <c r="G50" s="21">
        <v>0.0</v>
      </c>
      <c r="H50" s="21">
        <v>0.0</v>
      </c>
      <c r="I50" s="21">
        <v>0.0</v>
      </c>
      <c r="J50" s="21">
        <v>0.0</v>
      </c>
      <c r="K50" s="21">
        <v>0.0</v>
      </c>
      <c r="L50" s="21">
        <v>0.0</v>
      </c>
      <c r="M50" s="21">
        <v>0.0</v>
      </c>
      <c r="N50" s="21">
        <v>0.0</v>
      </c>
      <c r="O50" s="28">
        <f>107</f>
        <v>107</v>
      </c>
    </row>
    <row r="51">
      <c r="B51" s="20">
        <v>46219.0</v>
      </c>
      <c r="C51" s="28">
        <f t="shared" ref="C51:F51" si="93">0</f>
        <v>0</v>
      </c>
      <c r="D51" s="28">
        <f t="shared" si="93"/>
        <v>0</v>
      </c>
      <c r="E51" s="28">
        <f t="shared" si="93"/>
        <v>0</v>
      </c>
      <c r="F51" s="28">
        <f t="shared" si="93"/>
        <v>0</v>
      </c>
      <c r="G51" s="28">
        <f>93.6</f>
        <v>93.6</v>
      </c>
      <c r="H51" s="28">
        <f t="shared" ref="H51:K51" si="94">0</f>
        <v>0</v>
      </c>
      <c r="I51" s="28">
        <f t="shared" si="94"/>
        <v>0</v>
      </c>
      <c r="J51" s="28">
        <f t="shared" si="94"/>
        <v>0</v>
      </c>
      <c r="K51" s="28">
        <f t="shared" si="94"/>
        <v>0</v>
      </c>
      <c r="L51" s="28">
        <f>31.2</f>
        <v>31.2</v>
      </c>
      <c r="M51" s="28">
        <f t="shared" ref="M51:N51" si="95">0</f>
        <v>0</v>
      </c>
      <c r="N51" s="28">
        <f t="shared" si="95"/>
        <v>0</v>
      </c>
      <c r="O51" s="28">
        <f>31.2</f>
        <v>31.2</v>
      </c>
    </row>
    <row r="52">
      <c r="B52" s="20">
        <v>46219.0</v>
      </c>
      <c r="C52" s="28">
        <f t="shared" ref="C52:F52" si="96">0</f>
        <v>0</v>
      </c>
      <c r="D52" s="28">
        <f t="shared" si="96"/>
        <v>0</v>
      </c>
      <c r="E52" s="28">
        <f t="shared" si="96"/>
        <v>0</v>
      </c>
      <c r="F52" s="28">
        <f t="shared" si="96"/>
        <v>0</v>
      </c>
      <c r="G52" s="28">
        <f>64</f>
        <v>64</v>
      </c>
      <c r="H52" s="28">
        <f t="shared" ref="H52:K52" si="97">0</f>
        <v>0</v>
      </c>
      <c r="I52" s="28">
        <f t="shared" si="97"/>
        <v>0</v>
      </c>
      <c r="J52" s="28">
        <f t="shared" si="97"/>
        <v>0</v>
      </c>
      <c r="K52" s="28">
        <f t="shared" si="97"/>
        <v>0</v>
      </c>
      <c r="L52" s="28">
        <f>38.4</f>
        <v>38.4</v>
      </c>
      <c r="M52" s="28">
        <f t="shared" ref="M52:N52" si="98">12.8</f>
        <v>12.8</v>
      </c>
      <c r="N52" s="28">
        <f t="shared" si="98"/>
        <v>12.8</v>
      </c>
      <c r="O52" s="28">
        <f t="shared" ref="O52:O53" si="101">0</f>
        <v>0</v>
      </c>
    </row>
    <row r="53">
      <c r="B53" s="20">
        <v>46220.0</v>
      </c>
      <c r="C53" s="28">
        <f t="shared" ref="C53:F53" si="99">0</f>
        <v>0</v>
      </c>
      <c r="D53" s="28">
        <f t="shared" si="99"/>
        <v>0</v>
      </c>
      <c r="E53" s="28">
        <f t="shared" si="99"/>
        <v>0</v>
      </c>
      <c r="F53" s="28">
        <f t="shared" si="99"/>
        <v>0</v>
      </c>
      <c r="G53" s="28">
        <f>34.2</f>
        <v>34.2</v>
      </c>
      <c r="H53" s="28">
        <f t="shared" ref="H53:K53" si="100">0</f>
        <v>0</v>
      </c>
      <c r="I53" s="28">
        <f t="shared" si="100"/>
        <v>0</v>
      </c>
      <c r="J53" s="28">
        <f t="shared" si="100"/>
        <v>0</v>
      </c>
      <c r="K53" s="28">
        <f t="shared" si="100"/>
        <v>0</v>
      </c>
      <c r="L53" s="28">
        <f>22.8</f>
        <v>22.8</v>
      </c>
      <c r="M53" s="28">
        <f>11.4</f>
        <v>11.4</v>
      </c>
      <c r="N53" s="28">
        <f>45.6</f>
        <v>45.6</v>
      </c>
      <c r="O53" s="28">
        <f t="shared" si="101"/>
        <v>0</v>
      </c>
    </row>
    <row r="54">
      <c r="B54" s="20">
        <v>46220.0</v>
      </c>
      <c r="C54" s="28">
        <f t="shared" ref="C54:D54" si="102">14</f>
        <v>14</v>
      </c>
      <c r="D54" s="28">
        <f t="shared" si="102"/>
        <v>14</v>
      </c>
      <c r="E54" s="28">
        <f>42</f>
        <v>42</v>
      </c>
      <c r="F54" s="28">
        <f t="shared" ref="F54:K54" si="103">0</f>
        <v>0</v>
      </c>
      <c r="G54" s="28">
        <f t="shared" si="103"/>
        <v>0</v>
      </c>
      <c r="H54" s="28">
        <f t="shared" si="103"/>
        <v>0</v>
      </c>
      <c r="I54" s="28">
        <f t="shared" si="103"/>
        <v>0</v>
      </c>
      <c r="J54" s="28">
        <f t="shared" si="103"/>
        <v>0</v>
      </c>
      <c r="K54" s="28">
        <f t="shared" si="103"/>
        <v>0</v>
      </c>
      <c r="L54" s="28">
        <f>42</f>
        <v>42</v>
      </c>
      <c r="M54" s="28">
        <f>28</f>
        <v>28</v>
      </c>
      <c r="N54" s="28">
        <f t="shared" ref="N54:O54" si="104">0</f>
        <v>0</v>
      </c>
      <c r="O54" s="28">
        <f t="shared" si="104"/>
        <v>0</v>
      </c>
    </row>
    <row r="55">
      <c r="B55" s="20">
        <v>46220.0</v>
      </c>
      <c r="C55" s="21">
        <v>0.0</v>
      </c>
      <c r="D55" s="21">
        <v>0.0</v>
      </c>
      <c r="E55" s="21">
        <v>0.0</v>
      </c>
      <c r="F55" s="21">
        <v>0.0</v>
      </c>
      <c r="G55" s="21">
        <v>0.0</v>
      </c>
      <c r="H55" s="21">
        <v>0.0</v>
      </c>
      <c r="I55" s="21">
        <v>0.0</v>
      </c>
      <c r="J55" s="21">
        <v>0.0</v>
      </c>
      <c r="K55" s="21">
        <v>0.0</v>
      </c>
      <c r="L55" s="21">
        <v>0.0</v>
      </c>
      <c r="M55" s="21">
        <v>0.0</v>
      </c>
      <c r="N55" s="21">
        <v>0.0</v>
      </c>
      <c r="O55" s="28">
        <f>170</f>
        <v>170</v>
      </c>
    </row>
    <row r="56">
      <c r="B56" s="20">
        <v>46221.0</v>
      </c>
      <c r="C56" s="28">
        <f t="shared" ref="C56:F56" si="105">0</f>
        <v>0</v>
      </c>
      <c r="D56" s="28">
        <f t="shared" si="105"/>
        <v>0</v>
      </c>
      <c r="E56" s="28">
        <f t="shared" si="105"/>
        <v>0</v>
      </c>
      <c r="F56" s="28">
        <f t="shared" si="105"/>
        <v>0</v>
      </c>
      <c r="G56" s="28">
        <f>25.6</f>
        <v>25.6</v>
      </c>
      <c r="H56" s="28">
        <f t="shared" ref="H56:K56" si="106">0</f>
        <v>0</v>
      </c>
      <c r="I56" s="28">
        <f t="shared" si="106"/>
        <v>0</v>
      </c>
      <c r="J56" s="28">
        <f t="shared" si="106"/>
        <v>0</v>
      </c>
      <c r="K56" s="28">
        <f t="shared" si="106"/>
        <v>0</v>
      </c>
      <c r="L56" s="28">
        <f t="shared" ref="L56:M56" si="107">19.2</f>
        <v>19.2</v>
      </c>
      <c r="M56" s="28">
        <f t="shared" si="107"/>
        <v>19.2</v>
      </c>
      <c r="N56" s="28">
        <f t="shared" ref="N56:O56" si="108">0</f>
        <v>0</v>
      </c>
      <c r="O56" s="28">
        <f t="shared" si="108"/>
        <v>0</v>
      </c>
    </row>
    <row r="57">
      <c r="B57" s="20">
        <v>46221.0</v>
      </c>
      <c r="C57" s="21">
        <v>0.0</v>
      </c>
      <c r="D57" s="21">
        <v>0.0</v>
      </c>
      <c r="E57" s="21">
        <v>0.0</v>
      </c>
      <c r="F57" s="21">
        <v>0.0</v>
      </c>
      <c r="G57" s="21">
        <v>0.0</v>
      </c>
      <c r="H57" s="21">
        <v>0.0</v>
      </c>
      <c r="I57" s="21">
        <v>0.0</v>
      </c>
      <c r="J57" s="21">
        <v>0.0</v>
      </c>
      <c r="K57" s="21">
        <v>0.0</v>
      </c>
      <c r="L57" s="21">
        <v>0.0</v>
      </c>
      <c r="M57" s="21">
        <v>0.0</v>
      </c>
      <c r="N57" s="21">
        <v>0.0</v>
      </c>
      <c r="O57" s="28">
        <f>104</f>
        <v>104</v>
      </c>
    </row>
    <row r="58">
      <c r="B58" s="20">
        <v>46221.0</v>
      </c>
      <c r="C58" s="28">
        <f t="shared" ref="C58:F58" si="109">0</f>
        <v>0</v>
      </c>
      <c r="D58" s="28">
        <f t="shared" si="109"/>
        <v>0</v>
      </c>
      <c r="E58" s="28">
        <f t="shared" si="109"/>
        <v>0</v>
      </c>
      <c r="F58" s="28">
        <f t="shared" si="109"/>
        <v>0</v>
      </c>
      <c r="G58" s="28">
        <f>33.6</f>
        <v>33.6</v>
      </c>
      <c r="H58" s="28">
        <f t="shared" ref="H58:K58" si="110">0</f>
        <v>0</v>
      </c>
      <c r="I58" s="28">
        <f t="shared" si="110"/>
        <v>0</v>
      </c>
      <c r="J58" s="28">
        <f t="shared" si="110"/>
        <v>0</v>
      </c>
      <c r="K58" s="28">
        <f t="shared" si="110"/>
        <v>0</v>
      </c>
      <c r="L58" s="28">
        <f t="shared" ref="L58:M58" si="111">16.8</f>
        <v>16.8</v>
      </c>
      <c r="M58" s="28">
        <f t="shared" si="111"/>
        <v>16.8</v>
      </c>
      <c r="N58" s="28">
        <f>0</f>
        <v>0</v>
      </c>
      <c r="O58" s="28">
        <f>16.8</f>
        <v>16.8</v>
      </c>
    </row>
    <row r="59">
      <c r="B59" s="20">
        <v>46222.0</v>
      </c>
      <c r="C59" s="28">
        <f t="shared" ref="C59:O59" si="112">0</f>
        <v>0</v>
      </c>
      <c r="D59" s="28">
        <f t="shared" si="112"/>
        <v>0</v>
      </c>
      <c r="E59" s="28">
        <f t="shared" si="112"/>
        <v>0</v>
      </c>
      <c r="F59" s="28">
        <f t="shared" si="112"/>
        <v>0</v>
      </c>
      <c r="G59" s="28">
        <f t="shared" si="112"/>
        <v>0</v>
      </c>
      <c r="H59" s="28">
        <f t="shared" si="112"/>
        <v>0</v>
      </c>
      <c r="I59" s="28">
        <f t="shared" si="112"/>
        <v>0</v>
      </c>
      <c r="J59" s="28">
        <f t="shared" si="112"/>
        <v>0</v>
      </c>
      <c r="K59" s="28">
        <f t="shared" si="112"/>
        <v>0</v>
      </c>
      <c r="L59" s="28">
        <f t="shared" si="112"/>
        <v>0</v>
      </c>
      <c r="M59" s="28">
        <f t="shared" si="112"/>
        <v>0</v>
      </c>
      <c r="N59" s="28">
        <f t="shared" si="112"/>
        <v>0</v>
      </c>
      <c r="O59" s="28">
        <f t="shared" si="112"/>
        <v>0</v>
      </c>
    </row>
    <row r="60">
      <c r="B60" s="20">
        <v>46222.0</v>
      </c>
      <c r="C60" s="28">
        <f t="shared" ref="C60:F60" si="113">0</f>
        <v>0</v>
      </c>
      <c r="D60" s="28">
        <f t="shared" si="113"/>
        <v>0</v>
      </c>
      <c r="E60" s="28">
        <f t="shared" si="113"/>
        <v>0</v>
      </c>
      <c r="F60" s="28">
        <f t="shared" si="113"/>
        <v>0</v>
      </c>
      <c r="G60" s="28">
        <f>36.3</f>
        <v>36.3</v>
      </c>
      <c r="H60" s="28">
        <f t="shared" ref="H60:K60" si="114">0</f>
        <v>0</v>
      </c>
      <c r="I60" s="28">
        <f t="shared" si="114"/>
        <v>0</v>
      </c>
      <c r="J60" s="28">
        <f t="shared" si="114"/>
        <v>0</v>
      </c>
      <c r="K60" s="28">
        <f t="shared" si="114"/>
        <v>0</v>
      </c>
      <c r="L60" s="28">
        <f>36.3</f>
        <v>36.3</v>
      </c>
      <c r="M60" s="28">
        <f>48.4</f>
        <v>48.4</v>
      </c>
      <c r="N60" s="28">
        <f t="shared" ref="N60:O60" si="115">0</f>
        <v>0</v>
      </c>
      <c r="O60" s="28">
        <f t="shared" si="115"/>
        <v>0</v>
      </c>
    </row>
    <row r="61">
      <c r="B61" s="20">
        <v>46222.0</v>
      </c>
      <c r="C61" s="21">
        <v>0.0</v>
      </c>
      <c r="D61" s="21">
        <v>0.0</v>
      </c>
      <c r="E61" s="21">
        <v>0.0</v>
      </c>
      <c r="F61" s="21">
        <v>0.0</v>
      </c>
      <c r="G61" s="21">
        <v>0.0</v>
      </c>
      <c r="H61" s="21">
        <v>0.0</v>
      </c>
      <c r="I61" s="21">
        <v>0.0</v>
      </c>
      <c r="J61" s="21">
        <v>0.0</v>
      </c>
      <c r="K61" s="21">
        <v>0.0</v>
      </c>
      <c r="L61" s="21">
        <v>0.0</v>
      </c>
      <c r="M61" s="21">
        <v>0.0</v>
      </c>
      <c r="N61" s="21">
        <v>0.0</v>
      </c>
      <c r="O61" s="28">
        <f>170</f>
        <v>170</v>
      </c>
    </row>
    <row r="62">
      <c r="B62" s="20">
        <v>46222.0</v>
      </c>
      <c r="C62" s="28">
        <f t="shared" ref="C62:E62" si="116">0</f>
        <v>0</v>
      </c>
      <c r="D62" s="28">
        <f t="shared" si="116"/>
        <v>0</v>
      </c>
      <c r="E62" s="28">
        <f t="shared" si="116"/>
        <v>0</v>
      </c>
      <c r="F62" s="28">
        <f>22.8</f>
        <v>22.8</v>
      </c>
      <c r="G62" s="28">
        <f>60.8</f>
        <v>60.8</v>
      </c>
      <c r="H62" s="28">
        <f t="shared" ref="H62:L62" si="117">0</f>
        <v>0</v>
      </c>
      <c r="I62" s="28">
        <f t="shared" si="117"/>
        <v>0</v>
      </c>
      <c r="J62" s="28">
        <f t="shared" si="117"/>
        <v>0</v>
      </c>
      <c r="K62" s="28">
        <f t="shared" si="117"/>
        <v>0</v>
      </c>
      <c r="L62" s="28">
        <f t="shared" si="117"/>
        <v>0</v>
      </c>
      <c r="M62" s="28">
        <f>38</f>
        <v>38</v>
      </c>
      <c r="N62" s="28">
        <f>0</f>
        <v>0</v>
      </c>
      <c r="O62" s="28">
        <f>30.4</f>
        <v>30.4</v>
      </c>
    </row>
    <row r="63">
      <c r="B63" s="20">
        <v>46223.0</v>
      </c>
      <c r="C63" s="28">
        <f t="shared" ref="C63:F63" si="118">0</f>
        <v>0</v>
      </c>
      <c r="D63" s="28">
        <f t="shared" si="118"/>
        <v>0</v>
      </c>
      <c r="E63" s="28">
        <f t="shared" si="118"/>
        <v>0</v>
      </c>
      <c r="F63" s="28">
        <f t="shared" si="118"/>
        <v>0</v>
      </c>
      <c r="G63" s="28">
        <f>46.8</f>
        <v>46.8</v>
      </c>
      <c r="H63" s="28">
        <f t="shared" ref="H63:L63" si="119">0</f>
        <v>0</v>
      </c>
      <c r="I63" s="28">
        <f t="shared" si="119"/>
        <v>0</v>
      </c>
      <c r="J63" s="28">
        <f t="shared" si="119"/>
        <v>0</v>
      </c>
      <c r="K63" s="28">
        <f t="shared" si="119"/>
        <v>0</v>
      </c>
      <c r="L63" s="28">
        <f t="shared" si="119"/>
        <v>0</v>
      </c>
      <c r="M63" s="28">
        <f>78</f>
        <v>78</v>
      </c>
      <c r="N63" s="28">
        <f t="shared" ref="N63:O63" si="120">15.6</f>
        <v>15.6</v>
      </c>
      <c r="O63" s="28">
        <f t="shared" si="120"/>
        <v>15.6</v>
      </c>
    </row>
    <row r="64">
      <c r="B64" s="20">
        <v>46223.0</v>
      </c>
      <c r="C64" s="28">
        <f>91.2</f>
        <v>91.2</v>
      </c>
      <c r="D64" s="28">
        <f t="shared" ref="D64:K64" si="121">0</f>
        <v>0</v>
      </c>
      <c r="E64" s="28">
        <f t="shared" si="121"/>
        <v>0</v>
      </c>
      <c r="F64" s="28">
        <f t="shared" si="121"/>
        <v>0</v>
      </c>
      <c r="G64" s="28">
        <f t="shared" si="121"/>
        <v>0</v>
      </c>
      <c r="H64" s="28">
        <f t="shared" si="121"/>
        <v>0</v>
      </c>
      <c r="I64" s="28">
        <f t="shared" si="121"/>
        <v>0</v>
      </c>
      <c r="J64" s="28">
        <f t="shared" si="121"/>
        <v>0</v>
      </c>
      <c r="K64" s="28">
        <f t="shared" si="121"/>
        <v>0</v>
      </c>
      <c r="L64" s="28">
        <f>45.6</f>
        <v>45.6</v>
      </c>
      <c r="M64" s="28">
        <f t="shared" ref="M64:N64" si="122">0</f>
        <v>0</v>
      </c>
      <c r="N64" s="28">
        <f t="shared" si="122"/>
        <v>0</v>
      </c>
      <c r="O64" s="28">
        <f>15.2</f>
        <v>15.2</v>
      </c>
    </row>
    <row r="65">
      <c r="B65" s="20">
        <v>46223.0</v>
      </c>
      <c r="C65" s="28">
        <f>17.4</f>
        <v>17.4</v>
      </c>
      <c r="D65" s="28">
        <f t="shared" ref="D65:F65" si="123">0</f>
        <v>0</v>
      </c>
      <c r="E65" s="28">
        <f t="shared" si="123"/>
        <v>0</v>
      </c>
      <c r="F65" s="28">
        <f t="shared" si="123"/>
        <v>0</v>
      </c>
      <c r="G65" s="28">
        <f>52.2</f>
        <v>52.2</v>
      </c>
      <c r="H65" s="28">
        <f>0</f>
        <v>0</v>
      </c>
      <c r="I65" s="28">
        <f>17.4</f>
        <v>17.4</v>
      </c>
      <c r="J65" s="28">
        <f t="shared" ref="J65:L65" si="124">0</f>
        <v>0</v>
      </c>
      <c r="K65" s="28">
        <f t="shared" si="124"/>
        <v>0</v>
      </c>
      <c r="L65" s="28">
        <f t="shared" si="124"/>
        <v>0</v>
      </c>
      <c r="M65" s="28">
        <f>34.8</f>
        <v>34.8</v>
      </c>
      <c r="N65" s="28">
        <f>17.4</f>
        <v>17.4</v>
      </c>
      <c r="O65" s="28">
        <f>34.8</f>
        <v>34.8</v>
      </c>
    </row>
    <row r="66">
      <c r="B66" s="20">
        <v>46224.0</v>
      </c>
      <c r="C66" s="28">
        <f t="shared" ref="C66:E66" si="125">0</f>
        <v>0</v>
      </c>
      <c r="D66" s="28">
        <f t="shared" si="125"/>
        <v>0</v>
      </c>
      <c r="E66" s="28">
        <f t="shared" si="125"/>
        <v>0</v>
      </c>
      <c r="F66" s="28">
        <f>39.6</f>
        <v>39.6</v>
      </c>
      <c r="G66" s="28">
        <f t="shared" ref="G66:L66" si="126">0</f>
        <v>0</v>
      </c>
      <c r="H66" s="28">
        <f t="shared" si="126"/>
        <v>0</v>
      </c>
      <c r="I66" s="28">
        <f t="shared" si="126"/>
        <v>0</v>
      </c>
      <c r="J66" s="28">
        <f t="shared" si="126"/>
        <v>0</v>
      </c>
      <c r="K66" s="28">
        <f t="shared" si="126"/>
        <v>0</v>
      </c>
      <c r="L66" s="28">
        <f t="shared" si="126"/>
        <v>0</v>
      </c>
      <c r="M66" s="28">
        <f t="shared" ref="M66:N66" si="127">39.6</f>
        <v>39.6</v>
      </c>
      <c r="N66" s="28">
        <f t="shared" si="127"/>
        <v>39.6</v>
      </c>
      <c r="O66" s="28">
        <f>13.2</f>
        <v>13.2</v>
      </c>
    </row>
    <row r="67">
      <c r="B67" s="20">
        <v>46224.0</v>
      </c>
      <c r="C67" s="28">
        <f>19.4</f>
        <v>19.4</v>
      </c>
      <c r="D67" s="28">
        <f t="shared" ref="D67:F67" si="128">0</f>
        <v>0</v>
      </c>
      <c r="E67" s="28">
        <f t="shared" si="128"/>
        <v>0</v>
      </c>
      <c r="F67" s="28">
        <f t="shared" si="128"/>
        <v>0</v>
      </c>
      <c r="G67" s="28">
        <f>38.8</f>
        <v>38.8</v>
      </c>
      <c r="H67" s="28">
        <f t="shared" ref="H67:H70" si="133">0</f>
        <v>0</v>
      </c>
      <c r="I67" s="28">
        <f>19.4</f>
        <v>19.4</v>
      </c>
      <c r="J67" s="28">
        <f t="shared" ref="J67:K67" si="129">0</f>
        <v>0</v>
      </c>
      <c r="K67" s="28">
        <f t="shared" si="129"/>
        <v>0</v>
      </c>
      <c r="L67" s="28">
        <f t="shared" ref="L67:M67" si="130">38.8</f>
        <v>38.8</v>
      </c>
      <c r="M67" s="28">
        <f t="shared" si="130"/>
        <v>38.8</v>
      </c>
      <c r="N67" s="28">
        <f t="shared" ref="N67:O67" si="131">19.4</f>
        <v>19.4</v>
      </c>
      <c r="O67" s="28">
        <f t="shared" si="131"/>
        <v>19.4</v>
      </c>
    </row>
    <row r="68">
      <c r="B68" s="20">
        <v>46225.0</v>
      </c>
      <c r="C68" s="28">
        <f t="shared" ref="C68:F68" si="132">0</f>
        <v>0</v>
      </c>
      <c r="D68" s="28">
        <f t="shared" si="132"/>
        <v>0</v>
      </c>
      <c r="E68" s="28">
        <f t="shared" si="132"/>
        <v>0</v>
      </c>
      <c r="F68" s="28">
        <f t="shared" si="132"/>
        <v>0</v>
      </c>
      <c r="G68" s="28">
        <f>20.4</f>
        <v>20.4</v>
      </c>
      <c r="H68" s="28">
        <f t="shared" si="133"/>
        <v>0</v>
      </c>
      <c r="I68" s="28">
        <f t="shared" ref="I68:L68" si="134">0</f>
        <v>0</v>
      </c>
      <c r="J68" s="28">
        <f t="shared" si="134"/>
        <v>0</v>
      </c>
      <c r="K68" s="28">
        <f t="shared" si="134"/>
        <v>0</v>
      </c>
      <c r="L68" s="28">
        <f t="shared" si="134"/>
        <v>0</v>
      </c>
      <c r="M68" s="28">
        <f>30.6</f>
        <v>30.6</v>
      </c>
      <c r="N68" s="28">
        <f>10.2</f>
        <v>10.2</v>
      </c>
      <c r="O68" s="28">
        <f>40.8</f>
        <v>40.8</v>
      </c>
    </row>
    <row r="69">
      <c r="B69" s="20">
        <v>46225.0</v>
      </c>
      <c r="C69" s="28">
        <f t="shared" ref="C69:F69" si="135">0</f>
        <v>0</v>
      </c>
      <c r="D69" s="28">
        <f t="shared" si="135"/>
        <v>0</v>
      </c>
      <c r="E69" s="28">
        <f t="shared" si="135"/>
        <v>0</v>
      </c>
      <c r="F69" s="28">
        <f t="shared" si="135"/>
        <v>0</v>
      </c>
      <c r="G69" s="28">
        <f>47.4</f>
        <v>47.4</v>
      </c>
      <c r="H69" s="28">
        <f t="shared" si="133"/>
        <v>0</v>
      </c>
      <c r="I69" s="28">
        <f t="shared" ref="I69:K69" si="136">0</f>
        <v>0</v>
      </c>
      <c r="J69" s="28">
        <f t="shared" si="136"/>
        <v>0</v>
      </c>
      <c r="K69" s="28">
        <f t="shared" si="136"/>
        <v>0</v>
      </c>
      <c r="L69" s="28">
        <f>63.2</f>
        <v>63.2</v>
      </c>
      <c r="M69" s="28">
        <f>31.6</f>
        <v>31.6</v>
      </c>
      <c r="N69" s="28">
        <f>15.8</f>
        <v>15.8</v>
      </c>
      <c r="O69" s="28">
        <f>0</f>
        <v>0</v>
      </c>
    </row>
    <row r="70">
      <c r="B70" s="20">
        <v>46225.0</v>
      </c>
      <c r="C70" s="28">
        <f t="shared" ref="C70:F70" si="137">0</f>
        <v>0</v>
      </c>
      <c r="D70" s="28">
        <f t="shared" si="137"/>
        <v>0</v>
      </c>
      <c r="E70" s="28">
        <f t="shared" si="137"/>
        <v>0</v>
      </c>
      <c r="F70" s="28">
        <f t="shared" si="137"/>
        <v>0</v>
      </c>
      <c r="G70" s="28">
        <f>44.4</f>
        <v>44.4</v>
      </c>
      <c r="H70" s="28">
        <f t="shared" si="133"/>
        <v>0</v>
      </c>
      <c r="I70" s="28">
        <f t="shared" ref="I70:K70" si="138">0</f>
        <v>0</v>
      </c>
      <c r="J70" s="28">
        <f t="shared" si="138"/>
        <v>0</v>
      </c>
      <c r="K70" s="28">
        <f t="shared" si="138"/>
        <v>0</v>
      </c>
      <c r="L70" s="28">
        <f>29.6</f>
        <v>29.6</v>
      </c>
      <c r="M70" s="28">
        <f>44.4</f>
        <v>44.4</v>
      </c>
      <c r="N70" s="28">
        <f>0</f>
        <v>0</v>
      </c>
      <c r="O70" s="28">
        <f>29.6</f>
        <v>29.6</v>
      </c>
    </row>
    <row r="71">
      <c r="B71" s="20">
        <v>46226.0</v>
      </c>
      <c r="C71" s="21">
        <v>0.0</v>
      </c>
      <c r="D71" s="21">
        <v>0.0</v>
      </c>
      <c r="E71" s="21">
        <v>0.0</v>
      </c>
      <c r="F71" s="21">
        <v>0.0</v>
      </c>
      <c r="G71" s="21">
        <v>0.0</v>
      </c>
      <c r="H71" s="21">
        <v>0.0</v>
      </c>
      <c r="I71" s="21">
        <v>0.0</v>
      </c>
      <c r="J71" s="21">
        <v>0.0</v>
      </c>
      <c r="K71" s="21">
        <v>0.0</v>
      </c>
      <c r="L71" s="21">
        <v>0.0</v>
      </c>
      <c r="M71" s="21">
        <v>0.0</v>
      </c>
      <c r="N71" s="21">
        <v>0.0</v>
      </c>
      <c r="O71" s="28">
        <f>200</f>
        <v>200</v>
      </c>
    </row>
    <row r="72">
      <c r="B72" s="20">
        <v>46226.0</v>
      </c>
      <c r="C72" s="28">
        <f t="shared" ref="C72:F72" si="139">0</f>
        <v>0</v>
      </c>
      <c r="D72" s="28">
        <f t="shared" si="139"/>
        <v>0</v>
      </c>
      <c r="E72" s="28">
        <f t="shared" si="139"/>
        <v>0</v>
      </c>
      <c r="F72" s="28">
        <f t="shared" si="139"/>
        <v>0</v>
      </c>
      <c r="G72" s="28">
        <f>27.4</f>
        <v>27.4</v>
      </c>
      <c r="H72" s="28">
        <f t="shared" ref="H72:K72" si="140">0</f>
        <v>0</v>
      </c>
      <c r="I72" s="28">
        <f t="shared" si="140"/>
        <v>0</v>
      </c>
      <c r="J72" s="28">
        <f t="shared" si="140"/>
        <v>0</v>
      </c>
      <c r="K72" s="28">
        <f t="shared" si="140"/>
        <v>0</v>
      </c>
      <c r="L72" s="28">
        <f>68.5</f>
        <v>68.5</v>
      </c>
      <c r="M72" s="28">
        <f t="shared" ref="M72:N72" si="141">0</f>
        <v>0</v>
      </c>
      <c r="N72" s="28">
        <f t="shared" si="141"/>
        <v>0</v>
      </c>
      <c r="O72" s="28">
        <f>41.1</f>
        <v>41.1</v>
      </c>
    </row>
    <row r="73">
      <c r="B73" s="20">
        <v>46226.0</v>
      </c>
      <c r="C73" s="28">
        <f t="shared" ref="C73:F73" si="142">0</f>
        <v>0</v>
      </c>
      <c r="D73" s="28">
        <f t="shared" si="142"/>
        <v>0</v>
      </c>
      <c r="E73" s="28">
        <f t="shared" si="142"/>
        <v>0</v>
      </c>
      <c r="F73" s="28">
        <f t="shared" si="142"/>
        <v>0</v>
      </c>
      <c r="G73" s="28">
        <f>78.5</f>
        <v>78.5</v>
      </c>
      <c r="H73" s="28">
        <f t="shared" ref="H73:N73" si="143">0</f>
        <v>0</v>
      </c>
      <c r="I73" s="28">
        <f t="shared" si="143"/>
        <v>0</v>
      </c>
      <c r="J73" s="28">
        <f t="shared" si="143"/>
        <v>0</v>
      </c>
      <c r="K73" s="28">
        <f t="shared" si="143"/>
        <v>0</v>
      </c>
      <c r="L73" s="28">
        <f t="shared" si="143"/>
        <v>0</v>
      </c>
      <c r="M73" s="28">
        <f t="shared" si="143"/>
        <v>0</v>
      </c>
      <c r="N73" s="28">
        <f t="shared" si="143"/>
        <v>0</v>
      </c>
      <c r="O73" s="28">
        <f>78.5</f>
        <v>78.5</v>
      </c>
    </row>
    <row r="74">
      <c r="B74" s="20">
        <v>46226.0</v>
      </c>
      <c r="C74" s="28">
        <f t="shared" ref="C74:E74" si="144">0</f>
        <v>0</v>
      </c>
      <c r="D74" s="28">
        <f t="shared" si="144"/>
        <v>0</v>
      </c>
      <c r="E74" s="28">
        <f t="shared" si="144"/>
        <v>0</v>
      </c>
      <c r="F74" s="28">
        <f>15.6</f>
        <v>15.6</v>
      </c>
      <c r="G74" s="28">
        <f t="shared" ref="G74:K74" si="145">0</f>
        <v>0</v>
      </c>
      <c r="H74" s="28">
        <f t="shared" si="145"/>
        <v>0</v>
      </c>
      <c r="I74" s="28">
        <f t="shared" si="145"/>
        <v>0</v>
      </c>
      <c r="J74" s="28">
        <f t="shared" si="145"/>
        <v>0</v>
      </c>
      <c r="K74" s="28">
        <f t="shared" si="145"/>
        <v>0</v>
      </c>
      <c r="L74" s="28">
        <f>46.8</f>
        <v>46.8</v>
      </c>
      <c r="M74" s="28">
        <f t="shared" ref="M74:N74" si="146">0</f>
        <v>0</v>
      </c>
      <c r="N74" s="28">
        <f t="shared" si="146"/>
        <v>0</v>
      </c>
      <c r="O74" s="28">
        <f>93.6</f>
        <v>93.6</v>
      </c>
    </row>
    <row r="75">
      <c r="B75" s="20">
        <v>46226.0</v>
      </c>
      <c r="C75" s="28">
        <f>38</f>
        <v>38</v>
      </c>
      <c r="D75" s="28">
        <f t="shared" ref="D75:K75" si="147">0</f>
        <v>0</v>
      </c>
      <c r="E75" s="28">
        <f t="shared" si="147"/>
        <v>0</v>
      </c>
      <c r="F75" s="28">
        <f t="shared" si="147"/>
        <v>0</v>
      </c>
      <c r="G75" s="28">
        <f t="shared" si="147"/>
        <v>0</v>
      </c>
      <c r="H75" s="28">
        <f t="shared" si="147"/>
        <v>0</v>
      </c>
      <c r="I75" s="28">
        <f t="shared" si="147"/>
        <v>0</v>
      </c>
      <c r="J75" s="28">
        <f t="shared" si="147"/>
        <v>0</v>
      </c>
      <c r="K75" s="28">
        <f t="shared" si="147"/>
        <v>0</v>
      </c>
      <c r="L75" s="28">
        <f>76</f>
        <v>76</v>
      </c>
      <c r="M75" s="28">
        <f>38</f>
        <v>38</v>
      </c>
      <c r="N75" s="28">
        <f>0</f>
        <v>0</v>
      </c>
      <c r="O75" s="28">
        <f>38</f>
        <v>38</v>
      </c>
    </row>
    <row r="76">
      <c r="B76" s="20">
        <v>46227.0</v>
      </c>
      <c r="C76" s="28">
        <f t="shared" ref="C76:F76" si="148">0</f>
        <v>0</v>
      </c>
      <c r="D76" s="28">
        <f t="shared" si="148"/>
        <v>0</v>
      </c>
      <c r="E76" s="28">
        <f t="shared" si="148"/>
        <v>0</v>
      </c>
      <c r="F76" s="28">
        <f t="shared" si="148"/>
        <v>0</v>
      </c>
      <c r="G76" s="28">
        <f>134.1</f>
        <v>134.1</v>
      </c>
      <c r="H76" s="28">
        <f t="shared" ref="H76:N76" si="149">0</f>
        <v>0</v>
      </c>
      <c r="I76" s="28">
        <f t="shared" si="149"/>
        <v>0</v>
      </c>
      <c r="J76" s="28">
        <f t="shared" si="149"/>
        <v>0</v>
      </c>
      <c r="K76" s="28">
        <f t="shared" si="149"/>
        <v>0</v>
      </c>
      <c r="L76" s="28">
        <f t="shared" si="149"/>
        <v>0</v>
      </c>
      <c r="M76" s="28">
        <f t="shared" si="149"/>
        <v>0</v>
      </c>
      <c r="N76" s="28">
        <f t="shared" si="149"/>
        <v>0</v>
      </c>
      <c r="O76" s="28">
        <f>14.9</f>
        <v>14.9</v>
      </c>
    </row>
    <row r="77">
      <c r="B77" s="20">
        <v>46227.0</v>
      </c>
      <c r="C77" s="28">
        <f t="shared" ref="C77:F77" si="150">0</f>
        <v>0</v>
      </c>
      <c r="D77" s="28">
        <f t="shared" si="150"/>
        <v>0</v>
      </c>
      <c r="E77" s="28">
        <f t="shared" si="150"/>
        <v>0</v>
      </c>
      <c r="F77" s="28">
        <f t="shared" si="150"/>
        <v>0</v>
      </c>
      <c r="G77" s="28">
        <f>92.4</f>
        <v>92.4</v>
      </c>
      <c r="H77" s="28">
        <f t="shared" ref="H77:K77" si="151">0</f>
        <v>0</v>
      </c>
      <c r="I77" s="28">
        <f t="shared" si="151"/>
        <v>0</v>
      </c>
      <c r="J77" s="28">
        <f t="shared" si="151"/>
        <v>0</v>
      </c>
      <c r="K77" s="28">
        <f t="shared" si="151"/>
        <v>0</v>
      </c>
      <c r="L77" s="28">
        <f>15.4</f>
        <v>15.4</v>
      </c>
      <c r="M77" s="28">
        <f>46.2</f>
        <v>46.2</v>
      </c>
      <c r="N77" s="28">
        <f t="shared" ref="N77:O77" si="152">0</f>
        <v>0</v>
      </c>
      <c r="O77" s="28">
        <f t="shared" si="152"/>
        <v>0</v>
      </c>
    </row>
    <row r="78">
      <c r="B78" s="20">
        <v>46227.0</v>
      </c>
      <c r="C78" s="28">
        <f>13.1</f>
        <v>13.1</v>
      </c>
      <c r="D78" s="28">
        <f t="shared" ref="D78:F78" si="153">0</f>
        <v>0</v>
      </c>
      <c r="E78" s="28">
        <f t="shared" si="153"/>
        <v>0</v>
      </c>
      <c r="F78" s="28">
        <f t="shared" si="153"/>
        <v>0</v>
      </c>
      <c r="G78" s="28">
        <f>39.3</f>
        <v>39.3</v>
      </c>
      <c r="H78" s="28">
        <f t="shared" ref="H78:K78" si="154">0</f>
        <v>0</v>
      </c>
      <c r="I78" s="28">
        <f t="shared" si="154"/>
        <v>0</v>
      </c>
      <c r="J78" s="28">
        <f t="shared" si="154"/>
        <v>0</v>
      </c>
      <c r="K78" s="28">
        <f t="shared" si="154"/>
        <v>0</v>
      </c>
      <c r="L78" s="28">
        <f>39.3</f>
        <v>39.3</v>
      </c>
      <c r="M78" s="28">
        <f>0</f>
        <v>0</v>
      </c>
      <c r="N78" s="28">
        <f>13.1</f>
        <v>13.1</v>
      </c>
      <c r="O78" s="28">
        <f>26.2</f>
        <v>26.2</v>
      </c>
    </row>
    <row r="79">
      <c r="B79" s="20">
        <v>46227.0</v>
      </c>
      <c r="C79" s="28">
        <f t="shared" ref="C79:F79" si="155">0</f>
        <v>0</v>
      </c>
      <c r="D79" s="28">
        <f t="shared" si="155"/>
        <v>0</v>
      </c>
      <c r="E79" s="28">
        <f t="shared" si="155"/>
        <v>0</v>
      </c>
      <c r="F79" s="28">
        <f t="shared" si="155"/>
        <v>0</v>
      </c>
      <c r="G79" s="28">
        <f>288</f>
        <v>288</v>
      </c>
      <c r="H79" s="28">
        <f t="shared" ref="H79:N79" si="156">0</f>
        <v>0</v>
      </c>
      <c r="I79" s="28">
        <f t="shared" si="156"/>
        <v>0</v>
      </c>
      <c r="J79" s="28">
        <f t="shared" si="156"/>
        <v>0</v>
      </c>
      <c r="K79" s="28">
        <f t="shared" si="156"/>
        <v>0</v>
      </c>
      <c r="L79" s="28">
        <f t="shared" si="156"/>
        <v>0</v>
      </c>
      <c r="M79" s="28">
        <f t="shared" si="156"/>
        <v>0</v>
      </c>
      <c r="N79" s="28">
        <f t="shared" si="156"/>
        <v>0</v>
      </c>
      <c r="O79" s="28">
        <f>72</f>
        <v>72</v>
      </c>
    </row>
    <row r="80">
      <c r="B80" s="20">
        <v>46227.0</v>
      </c>
      <c r="C80" s="21">
        <v>0.0</v>
      </c>
      <c r="D80" s="21">
        <v>0.0</v>
      </c>
      <c r="E80" s="21">
        <v>0.0</v>
      </c>
      <c r="F80" s="21">
        <v>0.0</v>
      </c>
      <c r="G80" s="21">
        <v>0.0</v>
      </c>
      <c r="H80" s="21">
        <v>0.0</v>
      </c>
      <c r="I80" s="21">
        <v>0.0</v>
      </c>
      <c r="J80" s="21">
        <v>0.0</v>
      </c>
      <c r="K80" s="21">
        <v>0.0</v>
      </c>
      <c r="L80" s="21">
        <v>0.0</v>
      </c>
      <c r="M80" s="21">
        <v>0.0</v>
      </c>
      <c r="N80" s="21">
        <v>0.0</v>
      </c>
      <c r="O80" s="28">
        <f>152</f>
        <v>152</v>
      </c>
    </row>
    <row r="81">
      <c r="B81" s="20">
        <v>46227.0</v>
      </c>
      <c r="C81" s="28">
        <f t="shared" ref="C81:F81" si="157">0</f>
        <v>0</v>
      </c>
      <c r="D81" s="28">
        <f t="shared" si="157"/>
        <v>0</v>
      </c>
      <c r="E81" s="28">
        <f t="shared" si="157"/>
        <v>0</v>
      </c>
      <c r="F81" s="28">
        <f t="shared" si="157"/>
        <v>0</v>
      </c>
      <c r="G81" s="28">
        <f>288</f>
        <v>288</v>
      </c>
      <c r="H81" s="28">
        <f t="shared" ref="H81:N81" si="158">0</f>
        <v>0</v>
      </c>
      <c r="I81" s="28">
        <f t="shared" si="158"/>
        <v>0</v>
      </c>
      <c r="J81" s="28">
        <f t="shared" si="158"/>
        <v>0</v>
      </c>
      <c r="K81" s="28">
        <f t="shared" si="158"/>
        <v>0</v>
      </c>
      <c r="L81" s="28">
        <f t="shared" si="158"/>
        <v>0</v>
      </c>
      <c r="M81" s="28">
        <f t="shared" si="158"/>
        <v>0</v>
      </c>
      <c r="N81" s="28">
        <f t="shared" si="158"/>
        <v>0</v>
      </c>
      <c r="O81" s="28">
        <f>72</f>
        <v>72</v>
      </c>
    </row>
    <row r="82">
      <c r="B82" s="20">
        <v>46227.0</v>
      </c>
      <c r="C82" s="21">
        <v>0.0</v>
      </c>
      <c r="D82" s="21">
        <v>0.0</v>
      </c>
      <c r="E82" s="21">
        <v>0.0</v>
      </c>
      <c r="F82" s="21">
        <v>0.0</v>
      </c>
      <c r="G82" s="21">
        <v>0.0</v>
      </c>
      <c r="H82" s="21">
        <v>0.0</v>
      </c>
      <c r="I82" s="21">
        <v>0.0</v>
      </c>
      <c r="J82" s="21">
        <v>0.0</v>
      </c>
      <c r="K82" s="21">
        <v>0.0</v>
      </c>
      <c r="L82" s="21">
        <v>0.0</v>
      </c>
      <c r="M82" s="21">
        <v>0.0</v>
      </c>
      <c r="N82" s="21">
        <v>0.0</v>
      </c>
      <c r="O82" s="28">
        <f>136</f>
        <v>136</v>
      </c>
    </row>
    <row r="83">
      <c r="B83" s="20">
        <v>46227.0</v>
      </c>
      <c r="C83" s="28">
        <f t="shared" ref="C83:F83" si="159">0</f>
        <v>0</v>
      </c>
      <c r="D83" s="28">
        <f t="shared" si="159"/>
        <v>0</v>
      </c>
      <c r="E83" s="28">
        <f t="shared" si="159"/>
        <v>0</v>
      </c>
      <c r="F83" s="28">
        <f t="shared" si="159"/>
        <v>0</v>
      </c>
      <c r="G83" s="28">
        <f>192</f>
        <v>192</v>
      </c>
      <c r="H83" s="28">
        <f t="shared" ref="H83:N83" si="160">0</f>
        <v>0</v>
      </c>
      <c r="I83" s="28">
        <f t="shared" si="160"/>
        <v>0</v>
      </c>
      <c r="J83" s="28">
        <f t="shared" si="160"/>
        <v>0</v>
      </c>
      <c r="K83" s="28">
        <f t="shared" si="160"/>
        <v>0</v>
      </c>
      <c r="L83" s="28">
        <f t="shared" si="160"/>
        <v>0</v>
      </c>
      <c r="M83" s="28">
        <f t="shared" si="160"/>
        <v>0</v>
      </c>
      <c r="N83" s="28">
        <f t="shared" si="160"/>
        <v>0</v>
      </c>
      <c r="O83" s="28">
        <f>128</f>
        <v>128</v>
      </c>
    </row>
    <row r="84">
      <c r="B84" s="20">
        <v>46228.0</v>
      </c>
      <c r="C84" s="28">
        <f t="shared" ref="C84:F84" si="161">0</f>
        <v>0</v>
      </c>
      <c r="D84" s="28">
        <f t="shared" si="161"/>
        <v>0</v>
      </c>
      <c r="E84" s="28">
        <f t="shared" si="161"/>
        <v>0</v>
      </c>
      <c r="F84" s="28">
        <f t="shared" si="161"/>
        <v>0</v>
      </c>
      <c r="G84" s="28">
        <f>50.8</f>
        <v>50.8</v>
      </c>
      <c r="H84" s="28">
        <f t="shared" ref="H84:H91" si="165">0</f>
        <v>0</v>
      </c>
      <c r="I84" s="28">
        <f>50.8</f>
        <v>50.8</v>
      </c>
      <c r="J84" s="28">
        <f t="shared" ref="J84:L84" si="162">0</f>
        <v>0</v>
      </c>
      <c r="K84" s="28">
        <f t="shared" si="162"/>
        <v>0</v>
      </c>
      <c r="L84" s="28">
        <f t="shared" si="162"/>
        <v>0</v>
      </c>
      <c r="M84" s="28">
        <f>25.4</f>
        <v>25.4</v>
      </c>
      <c r="N84" s="28">
        <f t="shared" ref="N84:O84" si="163">0</f>
        <v>0</v>
      </c>
      <c r="O84" s="28">
        <f t="shared" si="163"/>
        <v>0</v>
      </c>
    </row>
    <row r="85">
      <c r="B85" s="20">
        <v>46228.0</v>
      </c>
      <c r="C85" s="28">
        <f t="shared" ref="C85:D85" si="164">0</f>
        <v>0</v>
      </c>
      <c r="D85" s="28">
        <f t="shared" si="164"/>
        <v>0</v>
      </c>
      <c r="E85" s="28">
        <f>12.9</f>
        <v>12.9</v>
      </c>
      <c r="F85" s="28">
        <f>0</f>
        <v>0</v>
      </c>
      <c r="G85" s="28">
        <f>25.8</f>
        <v>25.8</v>
      </c>
      <c r="H85" s="28">
        <f t="shared" si="165"/>
        <v>0</v>
      </c>
      <c r="I85" s="28">
        <f t="shared" ref="I85:K85" si="166">0</f>
        <v>0</v>
      </c>
      <c r="J85" s="28">
        <f t="shared" si="166"/>
        <v>0</v>
      </c>
      <c r="K85" s="28">
        <f t="shared" si="166"/>
        <v>0</v>
      </c>
      <c r="L85" s="28">
        <f>12.9</f>
        <v>12.9</v>
      </c>
      <c r="M85" s="28">
        <f t="shared" ref="M85:O85" si="167">25.8</f>
        <v>25.8</v>
      </c>
      <c r="N85" s="28">
        <f t="shared" si="167"/>
        <v>25.8</v>
      </c>
      <c r="O85" s="28">
        <f t="shared" si="167"/>
        <v>25.8</v>
      </c>
    </row>
    <row r="86">
      <c r="B86" s="20">
        <v>46229.0</v>
      </c>
      <c r="C86" s="28">
        <f t="shared" ref="C86:F86" si="168">0</f>
        <v>0</v>
      </c>
      <c r="D86" s="28">
        <f t="shared" si="168"/>
        <v>0</v>
      </c>
      <c r="E86" s="28">
        <f t="shared" si="168"/>
        <v>0</v>
      </c>
      <c r="F86" s="28">
        <f t="shared" si="168"/>
        <v>0</v>
      </c>
      <c r="G86" s="28">
        <f>121.5</f>
        <v>121.5</v>
      </c>
      <c r="H86" s="28">
        <f t="shared" si="165"/>
        <v>0</v>
      </c>
      <c r="I86" s="28">
        <f t="shared" ref="I86:N86" si="169">0</f>
        <v>0</v>
      </c>
      <c r="J86" s="28">
        <f t="shared" si="169"/>
        <v>0</v>
      </c>
      <c r="K86" s="28">
        <f t="shared" si="169"/>
        <v>0</v>
      </c>
      <c r="L86" s="28">
        <f t="shared" si="169"/>
        <v>0</v>
      </c>
      <c r="M86" s="28">
        <f t="shared" si="169"/>
        <v>0</v>
      </c>
      <c r="N86" s="28">
        <f t="shared" si="169"/>
        <v>0</v>
      </c>
      <c r="O86" s="28">
        <f>13.5</f>
        <v>13.5</v>
      </c>
    </row>
    <row r="87">
      <c r="B87" s="20">
        <v>46229.0</v>
      </c>
      <c r="C87" s="28">
        <f t="shared" ref="C87:F87" si="170">0</f>
        <v>0</v>
      </c>
      <c r="D87" s="28">
        <f t="shared" si="170"/>
        <v>0</v>
      </c>
      <c r="E87" s="28">
        <f t="shared" si="170"/>
        <v>0</v>
      </c>
      <c r="F87" s="28">
        <f t="shared" si="170"/>
        <v>0</v>
      </c>
      <c r="G87" s="28">
        <f>72.4</f>
        <v>72.4</v>
      </c>
      <c r="H87" s="28">
        <f t="shared" si="165"/>
        <v>0</v>
      </c>
      <c r="I87" s="28">
        <f t="shared" ref="I87:K87" si="171">0</f>
        <v>0</v>
      </c>
      <c r="J87" s="28">
        <f t="shared" si="171"/>
        <v>0</v>
      </c>
      <c r="K87" s="28">
        <f t="shared" si="171"/>
        <v>0</v>
      </c>
      <c r="L87" s="28">
        <f t="shared" ref="L87:M87" si="172">54.3</f>
        <v>54.3</v>
      </c>
      <c r="M87" s="28">
        <f t="shared" si="172"/>
        <v>54.3</v>
      </c>
      <c r="N87" s="28">
        <f t="shared" ref="N87:O87" si="173">0</f>
        <v>0</v>
      </c>
      <c r="O87" s="28">
        <f t="shared" si="173"/>
        <v>0</v>
      </c>
    </row>
    <row r="88">
      <c r="B88" s="20">
        <v>46229.0</v>
      </c>
      <c r="C88" s="28">
        <f t="shared" ref="C88:F88" si="174">0</f>
        <v>0</v>
      </c>
      <c r="D88" s="28">
        <f t="shared" si="174"/>
        <v>0</v>
      </c>
      <c r="E88" s="28">
        <f t="shared" si="174"/>
        <v>0</v>
      </c>
      <c r="F88" s="28">
        <f t="shared" si="174"/>
        <v>0</v>
      </c>
      <c r="G88" s="28">
        <f>93</f>
        <v>93</v>
      </c>
      <c r="H88" s="28">
        <f t="shared" si="165"/>
        <v>0</v>
      </c>
      <c r="I88" s="28">
        <f t="shared" ref="I88:L88" si="175">0</f>
        <v>0</v>
      </c>
      <c r="J88" s="28">
        <f t="shared" si="175"/>
        <v>0</v>
      </c>
      <c r="K88" s="28">
        <f t="shared" si="175"/>
        <v>0</v>
      </c>
      <c r="L88" s="28">
        <f t="shared" si="175"/>
        <v>0</v>
      </c>
      <c r="M88" s="28">
        <f>93</f>
        <v>93</v>
      </c>
      <c r="N88" s="28">
        <f t="shared" ref="N88:O88" si="176">0</f>
        <v>0</v>
      </c>
      <c r="O88" s="28">
        <f t="shared" si="176"/>
        <v>0</v>
      </c>
    </row>
    <row r="89">
      <c r="B89" s="20">
        <v>46229.0</v>
      </c>
      <c r="C89" s="28">
        <f t="shared" ref="C89:F89" si="177">0</f>
        <v>0</v>
      </c>
      <c r="D89" s="28">
        <f t="shared" si="177"/>
        <v>0</v>
      </c>
      <c r="E89" s="28">
        <f t="shared" si="177"/>
        <v>0</v>
      </c>
      <c r="F89" s="28">
        <f t="shared" si="177"/>
        <v>0</v>
      </c>
      <c r="G89" s="28">
        <f>85</f>
        <v>85</v>
      </c>
      <c r="H89" s="28">
        <f t="shared" si="165"/>
        <v>0</v>
      </c>
      <c r="I89" s="28">
        <f t="shared" ref="I89:N89" si="178">0</f>
        <v>0</v>
      </c>
      <c r="J89" s="28">
        <f t="shared" si="178"/>
        <v>0</v>
      </c>
      <c r="K89" s="28">
        <f t="shared" si="178"/>
        <v>0</v>
      </c>
      <c r="L89" s="28">
        <f t="shared" si="178"/>
        <v>0</v>
      </c>
      <c r="M89" s="28">
        <f t="shared" si="178"/>
        <v>0</v>
      </c>
      <c r="N89" s="28">
        <f t="shared" si="178"/>
        <v>0</v>
      </c>
      <c r="O89" s="28">
        <f>85</f>
        <v>85</v>
      </c>
    </row>
    <row r="90">
      <c r="B90" s="20">
        <v>46230.0</v>
      </c>
      <c r="C90" s="28">
        <f>44.1</f>
        <v>44.1</v>
      </c>
      <c r="D90" s="28">
        <f t="shared" ref="D90:F90" si="179">0</f>
        <v>0</v>
      </c>
      <c r="E90" s="28">
        <f t="shared" si="179"/>
        <v>0</v>
      </c>
      <c r="F90" s="28">
        <f t="shared" si="179"/>
        <v>0</v>
      </c>
      <c r="G90" s="28">
        <f>44.1</f>
        <v>44.1</v>
      </c>
      <c r="H90" s="28">
        <f t="shared" si="165"/>
        <v>0</v>
      </c>
      <c r="I90" s="28">
        <f t="shared" ref="I90:L90" si="180">0</f>
        <v>0</v>
      </c>
      <c r="J90" s="28">
        <f t="shared" si="180"/>
        <v>0</v>
      </c>
      <c r="K90" s="28">
        <f t="shared" si="180"/>
        <v>0</v>
      </c>
      <c r="L90" s="28">
        <f t="shared" si="180"/>
        <v>0</v>
      </c>
      <c r="M90" s="28">
        <f>58.8</f>
        <v>58.8</v>
      </c>
      <c r="N90" s="28">
        <f t="shared" ref="N90:O90" si="181">0</f>
        <v>0</v>
      </c>
      <c r="O90" s="28">
        <f t="shared" si="181"/>
        <v>0</v>
      </c>
    </row>
    <row r="91">
      <c r="B91" s="20">
        <v>46231.0</v>
      </c>
      <c r="C91" s="28">
        <f t="shared" ref="C91:F91" si="182">0</f>
        <v>0</v>
      </c>
      <c r="D91" s="28">
        <f t="shared" si="182"/>
        <v>0</v>
      </c>
      <c r="E91" s="28">
        <f t="shared" si="182"/>
        <v>0</v>
      </c>
      <c r="F91" s="28">
        <f t="shared" si="182"/>
        <v>0</v>
      </c>
      <c r="G91" s="28">
        <f>66.6</f>
        <v>66.6</v>
      </c>
      <c r="H91" s="28">
        <f t="shared" si="165"/>
        <v>0</v>
      </c>
      <c r="I91" s="28">
        <f t="shared" ref="I91:N91" si="183">0</f>
        <v>0</v>
      </c>
      <c r="J91" s="28">
        <f t="shared" si="183"/>
        <v>0</v>
      </c>
      <c r="K91" s="28">
        <f t="shared" si="183"/>
        <v>0</v>
      </c>
      <c r="L91" s="28">
        <f t="shared" si="183"/>
        <v>0</v>
      </c>
      <c r="M91" s="28">
        <f t="shared" si="183"/>
        <v>0</v>
      </c>
      <c r="N91" s="28">
        <f t="shared" si="183"/>
        <v>0</v>
      </c>
      <c r="O91" s="28">
        <f>44.4</f>
        <v>44.4</v>
      </c>
    </row>
    <row r="92">
      <c r="B92" s="20">
        <v>46231.0</v>
      </c>
      <c r="C92" s="21">
        <v>0.0</v>
      </c>
      <c r="D92" s="21">
        <v>0.0</v>
      </c>
      <c r="E92" s="21">
        <v>0.0</v>
      </c>
      <c r="F92" s="21">
        <v>0.0</v>
      </c>
      <c r="G92" s="21">
        <v>0.0</v>
      </c>
      <c r="H92" s="21">
        <v>0.0</v>
      </c>
      <c r="I92" s="21">
        <v>0.0</v>
      </c>
      <c r="J92" s="21">
        <v>0.0</v>
      </c>
      <c r="K92" s="21">
        <v>0.0</v>
      </c>
      <c r="L92" s="21">
        <v>0.0</v>
      </c>
      <c r="M92" s="21">
        <v>0.0</v>
      </c>
      <c r="N92" s="21">
        <v>0.0</v>
      </c>
      <c r="O92" s="28">
        <f>190</f>
        <v>190</v>
      </c>
    </row>
    <row r="93">
      <c r="B93" s="20">
        <v>46232.0</v>
      </c>
      <c r="C93" s="21">
        <v>0.0</v>
      </c>
      <c r="D93" s="21">
        <v>0.0</v>
      </c>
      <c r="E93" s="21">
        <v>0.0</v>
      </c>
      <c r="F93" s="21">
        <v>0.0</v>
      </c>
      <c r="G93" s="21">
        <v>0.0</v>
      </c>
      <c r="H93" s="21">
        <v>0.0</v>
      </c>
      <c r="I93" s="21">
        <v>0.0</v>
      </c>
      <c r="J93" s="21">
        <v>0.0</v>
      </c>
      <c r="K93" s="21">
        <v>0.0</v>
      </c>
      <c r="L93" s="21">
        <v>0.0</v>
      </c>
      <c r="M93" s="21">
        <v>0.0</v>
      </c>
      <c r="N93" s="21">
        <v>0.0</v>
      </c>
      <c r="O93" s="28">
        <f>150</f>
        <v>150</v>
      </c>
    </row>
    <row r="94">
      <c r="B94" s="20">
        <v>46232.0</v>
      </c>
      <c r="C94" s="28">
        <f>24</f>
        <v>24</v>
      </c>
      <c r="D94" s="28">
        <f t="shared" ref="D94:F94" si="184">0</f>
        <v>0</v>
      </c>
      <c r="E94" s="28">
        <f t="shared" si="184"/>
        <v>0</v>
      </c>
      <c r="F94" s="28">
        <f t="shared" si="184"/>
        <v>0</v>
      </c>
      <c r="G94" s="28">
        <f>72</f>
        <v>72</v>
      </c>
      <c r="H94" s="28">
        <f t="shared" ref="H94:K94" si="185">0</f>
        <v>0</v>
      </c>
      <c r="I94" s="28">
        <f t="shared" si="185"/>
        <v>0</v>
      </c>
      <c r="J94" s="28">
        <f t="shared" si="185"/>
        <v>0</v>
      </c>
      <c r="K94" s="28">
        <f t="shared" si="185"/>
        <v>0</v>
      </c>
      <c r="L94" s="28">
        <f>24</f>
        <v>24</v>
      </c>
      <c r="M94" s="28">
        <f>72</f>
        <v>72</v>
      </c>
      <c r="N94" s="28">
        <f t="shared" ref="N94:O94" si="186">24</f>
        <v>24</v>
      </c>
      <c r="O94" s="28">
        <f t="shared" si="186"/>
        <v>24</v>
      </c>
    </row>
    <row r="95">
      <c r="B95" s="20">
        <v>46232.0</v>
      </c>
      <c r="C95" s="28">
        <f t="shared" ref="C95:F95" si="187">0</f>
        <v>0</v>
      </c>
      <c r="D95" s="28">
        <f t="shared" si="187"/>
        <v>0</v>
      </c>
      <c r="E95" s="28">
        <f t="shared" si="187"/>
        <v>0</v>
      </c>
      <c r="F95" s="28">
        <f t="shared" si="187"/>
        <v>0</v>
      </c>
      <c r="G95" s="28">
        <f>21</f>
        <v>21</v>
      </c>
      <c r="H95" s="28">
        <f t="shared" ref="H95:K95" si="188">0</f>
        <v>0</v>
      </c>
      <c r="I95" s="28">
        <f t="shared" si="188"/>
        <v>0</v>
      </c>
      <c r="J95" s="28">
        <f t="shared" si="188"/>
        <v>0</v>
      </c>
      <c r="K95" s="28">
        <f t="shared" si="188"/>
        <v>0</v>
      </c>
      <c r="L95" s="28">
        <f>21</f>
        <v>21</v>
      </c>
      <c r="M95" s="28">
        <f t="shared" ref="M95:N95" si="189">14</f>
        <v>14</v>
      </c>
      <c r="N95" s="28">
        <f t="shared" si="189"/>
        <v>14</v>
      </c>
      <c r="O95" s="28">
        <f t="shared" ref="O95:O96" si="192">0</f>
        <v>0</v>
      </c>
    </row>
    <row r="96">
      <c r="B96" s="20">
        <v>46232.0</v>
      </c>
      <c r="C96" s="28">
        <f>32</f>
        <v>32</v>
      </c>
      <c r="D96" s="28">
        <f>16</f>
        <v>16</v>
      </c>
      <c r="E96" s="28">
        <f t="shared" ref="E96:F96" si="190">0</f>
        <v>0</v>
      </c>
      <c r="F96" s="28">
        <f t="shared" si="190"/>
        <v>0</v>
      </c>
      <c r="G96" s="28">
        <f>64</f>
        <v>64</v>
      </c>
      <c r="H96" s="28">
        <f t="shared" ref="H96:K96" si="191">0</f>
        <v>0</v>
      </c>
      <c r="I96" s="28">
        <f t="shared" si="191"/>
        <v>0</v>
      </c>
      <c r="J96" s="28">
        <f t="shared" si="191"/>
        <v>0</v>
      </c>
      <c r="K96" s="28">
        <f t="shared" si="191"/>
        <v>0</v>
      </c>
      <c r="L96" s="28">
        <f>16</f>
        <v>16</v>
      </c>
      <c r="M96" s="28">
        <f t="shared" ref="M96:M99" si="195">0</f>
        <v>0</v>
      </c>
      <c r="N96" s="28">
        <f>32</f>
        <v>32</v>
      </c>
      <c r="O96" s="28">
        <f t="shared" si="192"/>
        <v>0</v>
      </c>
    </row>
    <row r="97">
      <c r="B97" s="20">
        <v>46232.0</v>
      </c>
      <c r="C97" s="28">
        <f t="shared" ref="C97:F97" si="193">0</f>
        <v>0</v>
      </c>
      <c r="D97" s="28">
        <f t="shared" si="193"/>
        <v>0</v>
      </c>
      <c r="E97" s="28">
        <f t="shared" si="193"/>
        <v>0</v>
      </c>
      <c r="F97" s="28">
        <f t="shared" si="193"/>
        <v>0</v>
      </c>
      <c r="G97" s="28">
        <f>22</f>
        <v>22</v>
      </c>
      <c r="H97" s="28">
        <f t="shared" ref="H97:K97" si="194">0</f>
        <v>0</v>
      </c>
      <c r="I97" s="28">
        <f t="shared" si="194"/>
        <v>0</v>
      </c>
      <c r="J97" s="28">
        <f t="shared" si="194"/>
        <v>0</v>
      </c>
      <c r="K97" s="28">
        <f t="shared" si="194"/>
        <v>0</v>
      </c>
      <c r="L97" s="28">
        <f>22</f>
        <v>22</v>
      </c>
      <c r="M97" s="28">
        <f t="shared" si="195"/>
        <v>0</v>
      </c>
      <c r="N97" s="28">
        <f t="shared" ref="N97:N99" si="198">0</f>
        <v>0</v>
      </c>
      <c r="O97" s="28">
        <f>66</f>
        <v>66</v>
      </c>
    </row>
    <row r="98">
      <c r="B98" s="20">
        <v>46233.0</v>
      </c>
      <c r="C98" s="28">
        <f t="shared" ref="C98:F98" si="196">0</f>
        <v>0</v>
      </c>
      <c r="D98" s="28">
        <f t="shared" si="196"/>
        <v>0</v>
      </c>
      <c r="E98" s="28">
        <f t="shared" si="196"/>
        <v>0</v>
      </c>
      <c r="F98" s="28">
        <f t="shared" si="196"/>
        <v>0</v>
      </c>
      <c r="G98" s="28">
        <f>22.2</f>
        <v>22.2</v>
      </c>
      <c r="H98" s="28">
        <f t="shared" ref="H98:K98" si="197">0</f>
        <v>0</v>
      </c>
      <c r="I98" s="28">
        <f t="shared" si="197"/>
        <v>0</v>
      </c>
      <c r="J98" s="28">
        <f t="shared" si="197"/>
        <v>0</v>
      </c>
      <c r="K98" s="28">
        <f t="shared" si="197"/>
        <v>0</v>
      </c>
      <c r="L98" s="28">
        <f>22.2</f>
        <v>22.2</v>
      </c>
      <c r="M98" s="28">
        <f t="shared" si="195"/>
        <v>0</v>
      </c>
      <c r="N98" s="28">
        <f t="shared" si="198"/>
        <v>0</v>
      </c>
      <c r="O98" s="28">
        <f>29.6</f>
        <v>29.6</v>
      </c>
    </row>
    <row r="99">
      <c r="B99" s="20">
        <v>46233.0</v>
      </c>
      <c r="C99" s="28">
        <f t="shared" ref="C99:K99" si="199">0</f>
        <v>0</v>
      </c>
      <c r="D99" s="28">
        <f t="shared" si="199"/>
        <v>0</v>
      </c>
      <c r="E99" s="28">
        <f t="shared" si="199"/>
        <v>0</v>
      </c>
      <c r="F99" s="28">
        <f t="shared" si="199"/>
        <v>0</v>
      </c>
      <c r="G99" s="28">
        <f t="shared" si="199"/>
        <v>0</v>
      </c>
      <c r="H99" s="28">
        <f t="shared" si="199"/>
        <v>0</v>
      </c>
      <c r="I99" s="28">
        <f t="shared" si="199"/>
        <v>0</v>
      </c>
      <c r="J99" s="28">
        <f t="shared" si="199"/>
        <v>0</v>
      </c>
      <c r="K99" s="28">
        <f t="shared" si="199"/>
        <v>0</v>
      </c>
      <c r="L99" s="28">
        <f>133</f>
        <v>133</v>
      </c>
      <c r="M99" s="28">
        <f t="shared" si="195"/>
        <v>0</v>
      </c>
      <c r="N99" s="28">
        <f t="shared" si="198"/>
        <v>0</v>
      </c>
      <c r="O99" s="28">
        <f>57</f>
        <v>57</v>
      </c>
    </row>
    <row r="100">
      <c r="B100" s="20">
        <v>46233.0</v>
      </c>
      <c r="C100" s="21">
        <v>0.0</v>
      </c>
      <c r="D100" s="21">
        <v>0.0</v>
      </c>
      <c r="E100" s="21">
        <v>0.0</v>
      </c>
      <c r="F100" s="21">
        <v>0.0</v>
      </c>
      <c r="G100" s="21">
        <v>0.0</v>
      </c>
      <c r="H100" s="21">
        <v>0.0</v>
      </c>
      <c r="I100" s="21">
        <v>0.0</v>
      </c>
      <c r="J100" s="21">
        <v>0.0</v>
      </c>
      <c r="K100" s="21">
        <v>0.0</v>
      </c>
      <c r="L100" s="21">
        <v>0.0</v>
      </c>
      <c r="M100" s="21">
        <v>0.0</v>
      </c>
      <c r="N100" s="21">
        <v>0.0</v>
      </c>
      <c r="O100" s="28">
        <f>127</f>
        <v>127</v>
      </c>
    </row>
    <row r="101">
      <c r="B101" s="20">
        <v>46234.0</v>
      </c>
      <c r="C101" s="28">
        <f t="shared" ref="C101:F101" si="200">0</f>
        <v>0</v>
      </c>
      <c r="D101" s="28">
        <f t="shared" si="200"/>
        <v>0</v>
      </c>
      <c r="E101" s="28">
        <f t="shared" si="200"/>
        <v>0</v>
      </c>
      <c r="F101" s="28">
        <f t="shared" si="200"/>
        <v>0</v>
      </c>
      <c r="G101" s="28">
        <f t="shared" ref="G101:G102" si="203">33.2</f>
        <v>33.2</v>
      </c>
      <c r="H101" s="28">
        <f t="shared" ref="H101:N101" si="201">0</f>
        <v>0</v>
      </c>
      <c r="I101" s="28">
        <f t="shared" si="201"/>
        <v>0</v>
      </c>
      <c r="J101" s="28">
        <f t="shared" si="201"/>
        <v>0</v>
      </c>
      <c r="K101" s="28">
        <f t="shared" si="201"/>
        <v>0</v>
      </c>
      <c r="L101" s="28">
        <f t="shared" si="201"/>
        <v>0</v>
      </c>
      <c r="M101" s="28">
        <f t="shared" si="201"/>
        <v>0</v>
      </c>
      <c r="N101" s="28">
        <f t="shared" si="201"/>
        <v>0</v>
      </c>
      <c r="O101" s="28">
        <f t="shared" ref="O101:O102" si="205">132.8</f>
        <v>132.8</v>
      </c>
    </row>
    <row r="102">
      <c r="B102" s="20">
        <v>46234.0</v>
      </c>
      <c r="C102" s="28">
        <f t="shared" ref="C102:F102" si="202">0</f>
        <v>0</v>
      </c>
      <c r="D102" s="28">
        <f t="shared" si="202"/>
        <v>0</v>
      </c>
      <c r="E102" s="28">
        <f t="shared" si="202"/>
        <v>0</v>
      </c>
      <c r="F102" s="28">
        <f t="shared" si="202"/>
        <v>0</v>
      </c>
      <c r="G102" s="28">
        <f t="shared" si="203"/>
        <v>33.2</v>
      </c>
      <c r="H102" s="28">
        <f t="shared" ref="H102:N102" si="204">0</f>
        <v>0</v>
      </c>
      <c r="I102" s="28">
        <f t="shared" si="204"/>
        <v>0</v>
      </c>
      <c r="J102" s="28">
        <f t="shared" si="204"/>
        <v>0</v>
      </c>
      <c r="K102" s="28">
        <f t="shared" si="204"/>
        <v>0</v>
      </c>
      <c r="L102" s="28">
        <f t="shared" si="204"/>
        <v>0</v>
      </c>
      <c r="M102" s="28">
        <f t="shared" si="204"/>
        <v>0</v>
      </c>
      <c r="N102" s="28">
        <f t="shared" si="204"/>
        <v>0</v>
      </c>
      <c r="O102" s="28">
        <f t="shared" si="205"/>
        <v>132.8</v>
      </c>
    </row>
    <row r="103">
      <c r="B103" s="20">
        <v>46234.0</v>
      </c>
      <c r="C103" s="28">
        <f>39.8</f>
        <v>39.8</v>
      </c>
      <c r="D103" s="28">
        <f t="shared" ref="D103:F103" si="206">0</f>
        <v>0</v>
      </c>
      <c r="E103" s="28">
        <f t="shared" si="206"/>
        <v>0</v>
      </c>
      <c r="F103" s="28">
        <f t="shared" si="206"/>
        <v>0</v>
      </c>
      <c r="G103" s="28">
        <f>59.7</f>
        <v>59.7</v>
      </c>
      <c r="H103" s="28">
        <f t="shared" ref="H103:L103" si="207">0</f>
        <v>0</v>
      </c>
      <c r="I103" s="28">
        <f t="shared" si="207"/>
        <v>0</v>
      </c>
      <c r="J103" s="28">
        <f t="shared" si="207"/>
        <v>0</v>
      </c>
      <c r="K103" s="28">
        <f t="shared" si="207"/>
        <v>0</v>
      </c>
      <c r="L103" s="28">
        <f t="shared" si="207"/>
        <v>0</v>
      </c>
      <c r="M103" s="28">
        <f>59.7</f>
        <v>59.7</v>
      </c>
      <c r="N103" s="28">
        <f t="shared" ref="N103:N104" si="210">0</f>
        <v>0</v>
      </c>
      <c r="O103" s="28">
        <f>39.8</f>
        <v>39.8</v>
      </c>
    </row>
    <row r="104">
      <c r="B104" s="20">
        <v>46234.0</v>
      </c>
      <c r="C104" s="28">
        <f>35.6</f>
        <v>35.6</v>
      </c>
      <c r="D104" s="28">
        <f t="shared" ref="D104:F104" si="208">0</f>
        <v>0</v>
      </c>
      <c r="E104" s="28">
        <f t="shared" si="208"/>
        <v>0</v>
      </c>
      <c r="F104" s="28">
        <f t="shared" si="208"/>
        <v>0</v>
      </c>
      <c r="G104" s="28">
        <f>53.4</f>
        <v>53.4</v>
      </c>
      <c r="H104" s="28">
        <f t="shared" ref="H104:K104" si="209">0</f>
        <v>0</v>
      </c>
      <c r="I104" s="28">
        <f t="shared" si="209"/>
        <v>0</v>
      </c>
      <c r="J104" s="28">
        <f t="shared" si="209"/>
        <v>0</v>
      </c>
      <c r="K104" s="28">
        <f t="shared" si="209"/>
        <v>0</v>
      </c>
      <c r="L104" s="28">
        <f>35.6</f>
        <v>35.6</v>
      </c>
      <c r="M104" s="28">
        <f>53.4</f>
        <v>53.4</v>
      </c>
      <c r="N104" s="28">
        <f t="shared" si="210"/>
        <v>0</v>
      </c>
      <c r="O104" s="28">
        <f t="shared" ref="O104:O105" si="214">0</f>
        <v>0</v>
      </c>
    </row>
    <row r="105">
      <c r="B105" s="20">
        <v>46234.0</v>
      </c>
      <c r="C105" s="28">
        <f>30.2</f>
        <v>30.2</v>
      </c>
      <c r="D105" s="28">
        <f t="shared" ref="D105:F105" si="211">0</f>
        <v>0</v>
      </c>
      <c r="E105" s="28">
        <f t="shared" si="211"/>
        <v>0</v>
      </c>
      <c r="F105" s="28">
        <f t="shared" si="211"/>
        <v>0</v>
      </c>
      <c r="G105" s="28">
        <f>45.3</f>
        <v>45.3</v>
      </c>
      <c r="H105" s="28">
        <f>0</f>
        <v>0</v>
      </c>
      <c r="I105" s="28">
        <f>15.1</f>
        <v>15.1</v>
      </c>
      <c r="J105" s="28">
        <f t="shared" ref="J105:K105" si="212">0</f>
        <v>0</v>
      </c>
      <c r="K105" s="28">
        <f t="shared" si="212"/>
        <v>0</v>
      </c>
      <c r="L105" s="28">
        <f>30.2</f>
        <v>30.2</v>
      </c>
      <c r="M105" s="28">
        <f t="shared" ref="M105:N105" si="213">15.1</f>
        <v>15.1</v>
      </c>
      <c r="N105" s="28">
        <f t="shared" si="213"/>
        <v>15.1</v>
      </c>
      <c r="O105" s="28">
        <f t="shared" si="214"/>
        <v>0</v>
      </c>
    </row>
    <row r="106">
      <c r="B106" s="20">
        <v>46235.0</v>
      </c>
      <c r="C106" s="28">
        <f t="shared" ref="C106:K106" si="215">0</f>
        <v>0</v>
      </c>
      <c r="D106" s="28">
        <f t="shared" si="215"/>
        <v>0</v>
      </c>
      <c r="E106" s="28">
        <f t="shared" si="215"/>
        <v>0</v>
      </c>
      <c r="F106" s="28">
        <f t="shared" si="215"/>
        <v>0</v>
      </c>
      <c r="G106" s="28">
        <f t="shared" si="215"/>
        <v>0</v>
      </c>
      <c r="H106" s="28">
        <f t="shared" si="215"/>
        <v>0</v>
      </c>
      <c r="I106" s="28">
        <f t="shared" si="215"/>
        <v>0</v>
      </c>
      <c r="J106" s="28">
        <f t="shared" si="215"/>
        <v>0</v>
      </c>
      <c r="K106" s="28">
        <f t="shared" si="215"/>
        <v>0</v>
      </c>
      <c r="L106" s="28">
        <f>55.8</f>
        <v>55.8</v>
      </c>
      <c r="M106" s="28">
        <f>18.6</f>
        <v>18.6</v>
      </c>
      <c r="N106" s="28">
        <f>0</f>
        <v>0</v>
      </c>
      <c r="O106" s="28">
        <f>18.6</f>
        <v>18.6</v>
      </c>
    </row>
    <row r="107">
      <c r="B107" s="20">
        <v>46235.0</v>
      </c>
      <c r="C107" s="28">
        <f t="shared" ref="C107:F107" si="216">0</f>
        <v>0</v>
      </c>
      <c r="D107" s="28">
        <f t="shared" si="216"/>
        <v>0</v>
      </c>
      <c r="E107" s="28">
        <f t="shared" si="216"/>
        <v>0</v>
      </c>
      <c r="F107" s="28">
        <f t="shared" si="216"/>
        <v>0</v>
      </c>
      <c r="G107" s="28">
        <f>100.8</f>
        <v>100.8</v>
      </c>
      <c r="H107" s="28">
        <f t="shared" ref="H107:H112" si="219">0</f>
        <v>0</v>
      </c>
      <c r="I107" s="28">
        <f>25.2</f>
        <v>25.2</v>
      </c>
      <c r="J107" s="28">
        <f t="shared" ref="J107:O107" si="217">0</f>
        <v>0</v>
      </c>
      <c r="K107" s="28">
        <f t="shared" si="217"/>
        <v>0</v>
      </c>
      <c r="L107" s="28">
        <f t="shared" si="217"/>
        <v>0</v>
      </c>
      <c r="M107" s="28">
        <f t="shared" si="217"/>
        <v>0</v>
      </c>
      <c r="N107" s="28">
        <f t="shared" si="217"/>
        <v>0</v>
      </c>
      <c r="O107" s="28">
        <f t="shared" si="217"/>
        <v>0</v>
      </c>
    </row>
    <row r="108">
      <c r="B108" s="20">
        <v>46235.0</v>
      </c>
      <c r="C108" s="28">
        <f t="shared" ref="C108:F108" si="218">0</f>
        <v>0</v>
      </c>
      <c r="D108" s="28">
        <f t="shared" si="218"/>
        <v>0</v>
      </c>
      <c r="E108" s="28">
        <f t="shared" si="218"/>
        <v>0</v>
      </c>
      <c r="F108" s="28">
        <f t="shared" si="218"/>
        <v>0</v>
      </c>
      <c r="G108" s="28">
        <f>31</f>
        <v>31</v>
      </c>
      <c r="H108" s="28">
        <f t="shared" si="219"/>
        <v>0</v>
      </c>
      <c r="I108" s="28">
        <f t="shared" ref="I108:K108" si="220">0</f>
        <v>0</v>
      </c>
      <c r="J108" s="28">
        <f t="shared" si="220"/>
        <v>0</v>
      </c>
      <c r="K108" s="28">
        <f t="shared" si="220"/>
        <v>0</v>
      </c>
      <c r="L108" s="28">
        <f t="shared" ref="L108:O108" si="221">31</f>
        <v>31</v>
      </c>
      <c r="M108" s="28">
        <f t="shared" si="221"/>
        <v>31</v>
      </c>
      <c r="N108" s="28">
        <f t="shared" si="221"/>
        <v>31</v>
      </c>
      <c r="O108" s="28">
        <f t="shared" si="221"/>
        <v>31</v>
      </c>
    </row>
    <row r="109">
      <c r="B109" s="20">
        <v>46235.0</v>
      </c>
      <c r="C109" s="28">
        <f>31.6</f>
        <v>31.6</v>
      </c>
      <c r="D109" s="28">
        <f t="shared" ref="D109:F109" si="222">0</f>
        <v>0</v>
      </c>
      <c r="E109" s="28">
        <f t="shared" si="222"/>
        <v>0</v>
      </c>
      <c r="F109" s="28">
        <f t="shared" si="222"/>
        <v>0</v>
      </c>
      <c r="G109" s="28">
        <f>47.4</f>
        <v>47.4</v>
      </c>
      <c r="H109" s="28">
        <f t="shared" si="219"/>
        <v>0</v>
      </c>
      <c r="I109" s="28">
        <f t="shared" ref="I109:L109" si="223">0</f>
        <v>0</v>
      </c>
      <c r="J109" s="28">
        <f t="shared" si="223"/>
        <v>0</v>
      </c>
      <c r="K109" s="28">
        <f t="shared" si="223"/>
        <v>0</v>
      </c>
      <c r="L109" s="28">
        <f t="shared" si="223"/>
        <v>0</v>
      </c>
      <c r="M109" s="28">
        <f>15.8</f>
        <v>15.8</v>
      </c>
      <c r="N109" s="28">
        <f>47.4</f>
        <v>47.4</v>
      </c>
      <c r="O109" s="28">
        <f>15.8</f>
        <v>15.8</v>
      </c>
    </row>
    <row r="110">
      <c r="B110" s="20">
        <v>46236.0</v>
      </c>
      <c r="C110" s="28">
        <f t="shared" ref="C110:F110" si="224">0</f>
        <v>0</v>
      </c>
      <c r="D110" s="28">
        <f t="shared" si="224"/>
        <v>0</v>
      </c>
      <c r="E110" s="28">
        <f t="shared" si="224"/>
        <v>0</v>
      </c>
      <c r="F110" s="28">
        <f t="shared" si="224"/>
        <v>0</v>
      </c>
      <c r="G110" s="28">
        <f>34.4</f>
        <v>34.4</v>
      </c>
      <c r="H110" s="28">
        <f t="shared" si="219"/>
        <v>0</v>
      </c>
      <c r="I110" s="28">
        <f>34.4</f>
        <v>34.4</v>
      </c>
      <c r="J110" s="28">
        <f t="shared" ref="J110:L110" si="225">0</f>
        <v>0</v>
      </c>
      <c r="K110" s="28">
        <f t="shared" si="225"/>
        <v>0</v>
      </c>
      <c r="L110" s="28">
        <f t="shared" si="225"/>
        <v>0</v>
      </c>
      <c r="M110" s="28">
        <f>34.4</f>
        <v>34.4</v>
      </c>
      <c r="N110" s="28">
        <f>0</f>
        <v>0</v>
      </c>
      <c r="O110" s="28">
        <f>68.8</f>
        <v>68.8</v>
      </c>
    </row>
    <row r="111">
      <c r="B111" s="20">
        <v>46237.0</v>
      </c>
      <c r="C111" s="28">
        <f t="shared" ref="C111:F111" si="226">0</f>
        <v>0</v>
      </c>
      <c r="D111" s="28">
        <f t="shared" si="226"/>
        <v>0</v>
      </c>
      <c r="E111" s="28">
        <f t="shared" si="226"/>
        <v>0</v>
      </c>
      <c r="F111" s="28">
        <f t="shared" si="226"/>
        <v>0</v>
      </c>
      <c r="G111" s="28">
        <f>126.9</f>
        <v>126.9</v>
      </c>
      <c r="H111" s="28">
        <f t="shared" si="219"/>
        <v>0</v>
      </c>
      <c r="I111" s="28">
        <f t="shared" ref="I111:K111" si="227">0</f>
        <v>0</v>
      </c>
      <c r="J111" s="28">
        <f t="shared" si="227"/>
        <v>0</v>
      </c>
      <c r="K111" s="28">
        <f t="shared" si="227"/>
        <v>0</v>
      </c>
      <c r="L111" s="28">
        <f>14.1</f>
        <v>14.1</v>
      </c>
      <c r="M111" s="28">
        <f t="shared" ref="M111:O111" si="228">0</f>
        <v>0</v>
      </c>
      <c r="N111" s="28">
        <f t="shared" si="228"/>
        <v>0</v>
      </c>
      <c r="O111" s="28">
        <f t="shared" si="228"/>
        <v>0</v>
      </c>
    </row>
    <row r="112">
      <c r="B112" s="20">
        <v>46238.0</v>
      </c>
      <c r="C112" s="28">
        <f t="shared" ref="C112:F112" si="229">0</f>
        <v>0</v>
      </c>
      <c r="D112" s="28">
        <f t="shared" si="229"/>
        <v>0</v>
      </c>
      <c r="E112" s="28">
        <f t="shared" si="229"/>
        <v>0</v>
      </c>
      <c r="F112" s="28">
        <f t="shared" si="229"/>
        <v>0</v>
      </c>
      <c r="G112" s="28">
        <f>58</f>
        <v>58</v>
      </c>
      <c r="H112" s="28">
        <f t="shared" si="219"/>
        <v>0</v>
      </c>
      <c r="I112" s="28">
        <f t="shared" ref="I112:N112" si="230">0</f>
        <v>0</v>
      </c>
      <c r="J112" s="28">
        <f t="shared" si="230"/>
        <v>0</v>
      </c>
      <c r="K112" s="28">
        <f t="shared" si="230"/>
        <v>0</v>
      </c>
      <c r="L112" s="28">
        <f t="shared" si="230"/>
        <v>0</v>
      </c>
      <c r="M112" s="28">
        <f t="shared" si="230"/>
        <v>0</v>
      </c>
      <c r="N112" s="28">
        <f t="shared" si="230"/>
        <v>0</v>
      </c>
      <c r="O112" s="28">
        <f>58</f>
        <v>58</v>
      </c>
    </row>
    <row r="113">
      <c r="B113" s="20">
        <v>46238.0</v>
      </c>
      <c r="C113" s="21">
        <v>0.0</v>
      </c>
      <c r="D113" s="21">
        <v>0.0</v>
      </c>
      <c r="E113" s="21">
        <v>0.0</v>
      </c>
      <c r="F113" s="21">
        <v>0.0</v>
      </c>
      <c r="G113" s="21">
        <v>0.0</v>
      </c>
      <c r="H113" s="21">
        <v>0.0</v>
      </c>
      <c r="I113" s="21">
        <v>0.0</v>
      </c>
      <c r="J113" s="21">
        <v>0.0</v>
      </c>
      <c r="K113" s="21">
        <v>0.0</v>
      </c>
      <c r="L113" s="21">
        <v>0.0</v>
      </c>
      <c r="M113" s="21">
        <v>0.0</v>
      </c>
      <c r="N113" s="21">
        <v>0.0</v>
      </c>
      <c r="O113" s="28">
        <f>141</f>
        <v>141</v>
      </c>
    </row>
    <row r="114">
      <c r="B114" s="20">
        <v>46239.0</v>
      </c>
      <c r="C114" s="28">
        <f t="shared" ref="C114:F114" si="231">0</f>
        <v>0</v>
      </c>
      <c r="D114" s="28">
        <f t="shared" si="231"/>
        <v>0</v>
      </c>
      <c r="E114" s="28">
        <f t="shared" si="231"/>
        <v>0</v>
      </c>
      <c r="F114" s="28">
        <f t="shared" si="231"/>
        <v>0</v>
      </c>
      <c r="G114" s="28">
        <f>42</f>
        <v>42</v>
      </c>
      <c r="H114" s="28">
        <f t="shared" ref="H114:K114" si="232">0</f>
        <v>0</v>
      </c>
      <c r="I114" s="28">
        <f t="shared" si="232"/>
        <v>0</v>
      </c>
      <c r="J114" s="28">
        <f t="shared" si="232"/>
        <v>0</v>
      </c>
      <c r="K114" s="28">
        <f t="shared" si="232"/>
        <v>0</v>
      </c>
      <c r="L114" s="28">
        <f>28</f>
        <v>28</v>
      </c>
      <c r="M114" s="28">
        <f t="shared" ref="M114:N114" si="233">0</f>
        <v>0</v>
      </c>
      <c r="N114" s="28">
        <f t="shared" si="233"/>
        <v>0</v>
      </c>
      <c r="O114" s="28">
        <f>70</f>
        <v>70</v>
      </c>
    </row>
    <row r="115">
      <c r="B115" s="20">
        <v>46239.0</v>
      </c>
      <c r="C115" s="28">
        <f t="shared" ref="C115:F115" si="234">0</f>
        <v>0</v>
      </c>
      <c r="D115" s="28">
        <f t="shared" si="234"/>
        <v>0</v>
      </c>
      <c r="E115" s="28">
        <f t="shared" si="234"/>
        <v>0</v>
      </c>
      <c r="F115" s="28">
        <f t="shared" si="234"/>
        <v>0</v>
      </c>
      <c r="G115" s="28">
        <f>69.5</f>
        <v>69.5</v>
      </c>
      <c r="H115" s="28">
        <f t="shared" ref="H115:K115" si="235">0</f>
        <v>0</v>
      </c>
      <c r="I115" s="28">
        <f t="shared" si="235"/>
        <v>0</v>
      </c>
      <c r="J115" s="28">
        <f t="shared" si="235"/>
        <v>0</v>
      </c>
      <c r="K115" s="28">
        <f t="shared" si="235"/>
        <v>0</v>
      </c>
      <c r="L115" s="28">
        <f>55.6</f>
        <v>55.6</v>
      </c>
      <c r="M115" s="28">
        <f t="shared" ref="M115:N115" si="236">0</f>
        <v>0</v>
      </c>
      <c r="N115" s="28">
        <f t="shared" si="236"/>
        <v>0</v>
      </c>
      <c r="O115" s="28">
        <f>13.9</f>
        <v>13.9</v>
      </c>
    </row>
    <row r="116">
      <c r="B116" s="20">
        <v>46239.0</v>
      </c>
      <c r="C116" s="21">
        <v>0.0</v>
      </c>
      <c r="D116" s="21">
        <v>0.0</v>
      </c>
      <c r="E116" s="21">
        <v>0.0</v>
      </c>
      <c r="F116" s="21">
        <v>0.0</v>
      </c>
      <c r="G116" s="21">
        <v>0.0</v>
      </c>
      <c r="H116" s="21">
        <v>0.0</v>
      </c>
      <c r="I116" s="21">
        <v>0.0</v>
      </c>
      <c r="J116" s="21">
        <v>0.0</v>
      </c>
      <c r="K116" s="21">
        <v>0.0</v>
      </c>
      <c r="L116" s="21">
        <v>0.0</v>
      </c>
      <c r="M116" s="21">
        <v>0.0</v>
      </c>
      <c r="N116" s="21">
        <v>0.0</v>
      </c>
      <c r="O116" s="28">
        <f>75</f>
        <v>75</v>
      </c>
    </row>
    <row r="117">
      <c r="B117" s="20">
        <v>46239.0</v>
      </c>
      <c r="C117" s="28">
        <f t="shared" ref="C117:F117" si="237">0</f>
        <v>0</v>
      </c>
      <c r="D117" s="28">
        <f t="shared" si="237"/>
        <v>0</v>
      </c>
      <c r="E117" s="28">
        <f t="shared" si="237"/>
        <v>0</v>
      </c>
      <c r="F117" s="28">
        <f t="shared" si="237"/>
        <v>0</v>
      </c>
      <c r="G117" s="28">
        <f>27.3</f>
        <v>27.3</v>
      </c>
      <c r="H117" s="28">
        <f t="shared" ref="H117:K117" si="238">0</f>
        <v>0</v>
      </c>
      <c r="I117" s="28">
        <f t="shared" si="238"/>
        <v>0</v>
      </c>
      <c r="J117" s="28">
        <f t="shared" si="238"/>
        <v>0</v>
      </c>
      <c r="K117" s="28">
        <f t="shared" si="238"/>
        <v>0</v>
      </c>
      <c r="L117" s="28">
        <f>45.5</f>
        <v>45.5</v>
      </c>
      <c r="M117" s="28">
        <f t="shared" ref="M117:N117" si="239">0</f>
        <v>0</v>
      </c>
      <c r="N117" s="28">
        <f t="shared" si="239"/>
        <v>0</v>
      </c>
      <c r="O117" s="28">
        <f>18.2</f>
        <v>18.2</v>
      </c>
    </row>
    <row r="118">
      <c r="B118" s="20">
        <v>46239.0</v>
      </c>
      <c r="C118" s="28">
        <f t="shared" ref="C118:F118" si="240">0</f>
        <v>0</v>
      </c>
      <c r="D118" s="28">
        <f t="shared" si="240"/>
        <v>0</v>
      </c>
      <c r="E118" s="28">
        <f t="shared" si="240"/>
        <v>0</v>
      </c>
      <c r="F118" s="28">
        <f t="shared" si="240"/>
        <v>0</v>
      </c>
      <c r="G118" s="28">
        <f>1470.4</f>
        <v>1470.4</v>
      </c>
      <c r="H118" s="28">
        <f t="shared" ref="H118:N118" si="241">0</f>
        <v>0</v>
      </c>
      <c r="I118" s="28">
        <f t="shared" si="241"/>
        <v>0</v>
      </c>
      <c r="J118" s="28">
        <f t="shared" si="241"/>
        <v>0</v>
      </c>
      <c r="K118" s="28">
        <f t="shared" si="241"/>
        <v>0</v>
      </c>
      <c r="L118" s="28">
        <f t="shared" si="241"/>
        <v>0</v>
      </c>
      <c r="M118" s="28">
        <f t="shared" si="241"/>
        <v>0</v>
      </c>
      <c r="N118" s="28">
        <f t="shared" si="241"/>
        <v>0</v>
      </c>
      <c r="O118" s="28">
        <f>367.6</f>
        <v>367.6</v>
      </c>
    </row>
    <row r="119">
      <c r="B119" s="20">
        <v>46240.0</v>
      </c>
      <c r="C119" s="28">
        <f t="shared" ref="C119:F119" si="242">0</f>
        <v>0</v>
      </c>
      <c r="D119" s="28">
        <f t="shared" si="242"/>
        <v>0</v>
      </c>
      <c r="E119" s="28">
        <f t="shared" si="242"/>
        <v>0</v>
      </c>
      <c r="F119" s="28">
        <f t="shared" si="242"/>
        <v>0</v>
      </c>
      <c r="G119" s="28">
        <f>76.8</f>
        <v>76.8</v>
      </c>
      <c r="H119" s="28">
        <f t="shared" ref="H119:N119" si="243">0</f>
        <v>0</v>
      </c>
      <c r="I119" s="28">
        <f t="shared" si="243"/>
        <v>0</v>
      </c>
      <c r="J119" s="28">
        <f t="shared" si="243"/>
        <v>0</v>
      </c>
      <c r="K119" s="28">
        <f t="shared" si="243"/>
        <v>0</v>
      </c>
      <c r="L119" s="28">
        <f t="shared" si="243"/>
        <v>0</v>
      </c>
      <c r="M119" s="28">
        <f t="shared" si="243"/>
        <v>0</v>
      </c>
      <c r="N119" s="28">
        <f t="shared" si="243"/>
        <v>0</v>
      </c>
      <c r="O119" s="28">
        <f>51.2</f>
        <v>51.2</v>
      </c>
    </row>
    <row r="120">
      <c r="B120" s="20">
        <v>46240.0</v>
      </c>
      <c r="C120" s="21">
        <v>0.0</v>
      </c>
      <c r="D120" s="21">
        <v>0.0</v>
      </c>
      <c r="E120" s="21">
        <v>0.0</v>
      </c>
      <c r="F120" s="21">
        <v>0.0</v>
      </c>
      <c r="G120" s="21">
        <v>0.0</v>
      </c>
      <c r="H120" s="21">
        <v>0.0</v>
      </c>
      <c r="I120" s="21">
        <v>0.0</v>
      </c>
      <c r="J120" s="21">
        <v>0.0</v>
      </c>
      <c r="K120" s="21">
        <v>0.0</v>
      </c>
      <c r="L120" s="21">
        <v>0.0</v>
      </c>
      <c r="M120" s="21">
        <v>0.0</v>
      </c>
      <c r="N120" s="21">
        <v>0.0</v>
      </c>
      <c r="O120" s="28">
        <f>109</f>
        <v>109</v>
      </c>
    </row>
    <row r="121">
      <c r="B121" s="20">
        <v>46240.0</v>
      </c>
      <c r="C121" s="28">
        <f t="shared" ref="C121:F121" si="244">0</f>
        <v>0</v>
      </c>
      <c r="D121" s="28">
        <f t="shared" si="244"/>
        <v>0</v>
      </c>
      <c r="E121" s="28">
        <f t="shared" si="244"/>
        <v>0</v>
      </c>
      <c r="F121" s="28">
        <f t="shared" si="244"/>
        <v>0</v>
      </c>
      <c r="G121" s="28">
        <f>17</f>
        <v>17</v>
      </c>
      <c r="H121" s="28">
        <f t="shared" ref="H121:K121" si="245">0</f>
        <v>0</v>
      </c>
      <c r="I121" s="28">
        <f t="shared" si="245"/>
        <v>0</v>
      </c>
      <c r="J121" s="28">
        <f t="shared" si="245"/>
        <v>0</v>
      </c>
      <c r="K121" s="28">
        <f t="shared" si="245"/>
        <v>0</v>
      </c>
      <c r="L121" s="28">
        <f>17</f>
        <v>17</v>
      </c>
      <c r="M121" s="28">
        <f t="shared" ref="M121:N121" si="246">0</f>
        <v>0</v>
      </c>
      <c r="N121" s="28">
        <f t="shared" si="246"/>
        <v>0</v>
      </c>
      <c r="O121" s="28">
        <f>51</f>
        <v>51</v>
      </c>
    </row>
    <row r="122">
      <c r="B122" s="20">
        <v>46240.0</v>
      </c>
      <c r="C122" s="28">
        <f t="shared" ref="C122:F122" si="247">0</f>
        <v>0</v>
      </c>
      <c r="D122" s="28">
        <f t="shared" si="247"/>
        <v>0</v>
      </c>
      <c r="E122" s="28">
        <f t="shared" si="247"/>
        <v>0</v>
      </c>
      <c r="F122" s="28">
        <f t="shared" si="247"/>
        <v>0</v>
      </c>
      <c r="G122" s="28">
        <f>36.9</f>
        <v>36.9</v>
      </c>
      <c r="H122" s="28">
        <f t="shared" ref="H122:N122" si="248">0</f>
        <v>0</v>
      </c>
      <c r="I122" s="28">
        <f t="shared" si="248"/>
        <v>0</v>
      </c>
      <c r="J122" s="28">
        <f t="shared" si="248"/>
        <v>0</v>
      </c>
      <c r="K122" s="28">
        <f t="shared" si="248"/>
        <v>0</v>
      </c>
      <c r="L122" s="28">
        <f t="shared" si="248"/>
        <v>0</v>
      </c>
      <c r="M122" s="28">
        <f t="shared" si="248"/>
        <v>0</v>
      </c>
      <c r="N122" s="28">
        <f t="shared" si="248"/>
        <v>0</v>
      </c>
      <c r="O122" s="28">
        <f>86.1</f>
        <v>86.1</v>
      </c>
    </row>
    <row r="123">
      <c r="B123" s="20">
        <v>46241.0</v>
      </c>
      <c r="C123" s="28">
        <f t="shared" ref="C123:N123" si="249">0</f>
        <v>0</v>
      </c>
      <c r="D123" s="28">
        <f t="shared" si="249"/>
        <v>0</v>
      </c>
      <c r="E123" s="28">
        <f t="shared" si="249"/>
        <v>0</v>
      </c>
      <c r="F123" s="28">
        <f t="shared" si="249"/>
        <v>0</v>
      </c>
      <c r="G123" s="28">
        <f t="shared" si="249"/>
        <v>0</v>
      </c>
      <c r="H123" s="28">
        <f t="shared" si="249"/>
        <v>0</v>
      </c>
      <c r="I123" s="28">
        <f t="shared" si="249"/>
        <v>0</v>
      </c>
      <c r="J123" s="28">
        <f t="shared" si="249"/>
        <v>0</v>
      </c>
      <c r="K123" s="28">
        <f t="shared" si="249"/>
        <v>0</v>
      </c>
      <c r="L123" s="28">
        <f t="shared" si="249"/>
        <v>0</v>
      </c>
      <c r="M123" s="28">
        <f t="shared" si="249"/>
        <v>0</v>
      </c>
      <c r="N123" s="28">
        <f t="shared" si="249"/>
        <v>0</v>
      </c>
      <c r="O123" s="28">
        <f>-23</f>
        <v>-23</v>
      </c>
    </row>
    <row r="124">
      <c r="B124" s="20">
        <v>46242.0</v>
      </c>
      <c r="C124" s="28">
        <f t="shared" ref="C124:F124" si="250">0</f>
        <v>0</v>
      </c>
      <c r="D124" s="28">
        <f t="shared" si="250"/>
        <v>0</v>
      </c>
      <c r="E124" s="28">
        <f t="shared" si="250"/>
        <v>0</v>
      </c>
      <c r="F124" s="28">
        <f t="shared" si="250"/>
        <v>0</v>
      </c>
      <c r="G124" s="28">
        <f>64.8</f>
        <v>64.8</v>
      </c>
      <c r="H124" s="28">
        <f t="shared" ref="H124:N124" si="251">0</f>
        <v>0</v>
      </c>
      <c r="I124" s="28">
        <f t="shared" si="251"/>
        <v>0</v>
      </c>
      <c r="J124" s="28">
        <f t="shared" si="251"/>
        <v>0</v>
      </c>
      <c r="K124" s="28">
        <f t="shared" si="251"/>
        <v>0</v>
      </c>
      <c r="L124" s="28">
        <f t="shared" si="251"/>
        <v>0</v>
      </c>
      <c r="M124" s="28">
        <f t="shared" si="251"/>
        <v>0</v>
      </c>
      <c r="N124" s="28">
        <f t="shared" si="251"/>
        <v>0</v>
      </c>
      <c r="O124" s="28">
        <f>7.2</f>
        <v>7.2</v>
      </c>
    </row>
    <row r="125">
      <c r="B125" s="20">
        <v>46242.0</v>
      </c>
      <c r="C125" s="28">
        <f t="shared" ref="C125:F125" si="252">0</f>
        <v>0</v>
      </c>
      <c r="D125" s="28">
        <f t="shared" si="252"/>
        <v>0</v>
      </c>
      <c r="E125" s="28">
        <f t="shared" si="252"/>
        <v>0</v>
      </c>
      <c r="F125" s="28">
        <f t="shared" si="252"/>
        <v>0</v>
      </c>
      <c r="G125" s="28">
        <f>25.8</f>
        <v>25.8</v>
      </c>
      <c r="H125" s="28">
        <f>0</f>
        <v>0</v>
      </c>
      <c r="I125" s="28">
        <f>19.35</f>
        <v>19.35</v>
      </c>
      <c r="J125" s="28">
        <f t="shared" ref="J125:L125" si="253">0</f>
        <v>0</v>
      </c>
      <c r="K125" s="28">
        <f t="shared" si="253"/>
        <v>0</v>
      </c>
      <c r="L125" s="28">
        <f t="shared" si="253"/>
        <v>0</v>
      </c>
      <c r="M125" s="28">
        <f>25.8</f>
        <v>25.8</v>
      </c>
      <c r="N125" s="28">
        <f>12.9</f>
        <v>12.9</v>
      </c>
      <c r="O125" s="28">
        <f>45.15</f>
        <v>45.15</v>
      </c>
    </row>
    <row r="126">
      <c r="B126" s="20">
        <v>46242.0</v>
      </c>
      <c r="C126" s="21">
        <v>0.0</v>
      </c>
      <c r="D126" s="21">
        <v>0.0</v>
      </c>
      <c r="E126" s="21">
        <v>0.0</v>
      </c>
      <c r="F126" s="21">
        <v>0.0</v>
      </c>
      <c r="G126" s="21">
        <v>0.0</v>
      </c>
      <c r="H126" s="21">
        <v>0.0</v>
      </c>
      <c r="I126" s="21">
        <v>0.0</v>
      </c>
      <c r="J126" s="21">
        <v>0.0</v>
      </c>
      <c r="K126" s="21">
        <v>0.0</v>
      </c>
      <c r="L126" s="21">
        <v>0.0</v>
      </c>
      <c r="M126" s="21">
        <v>0.0</v>
      </c>
      <c r="N126" s="21">
        <v>0.0</v>
      </c>
      <c r="O126" s="28">
        <f>128</f>
        <v>128</v>
      </c>
    </row>
    <row r="127">
      <c r="B127" s="20">
        <v>46242.0</v>
      </c>
      <c r="C127" s="28">
        <f t="shared" ref="C127:F127" si="254">0</f>
        <v>0</v>
      </c>
      <c r="D127" s="28">
        <f t="shared" si="254"/>
        <v>0</v>
      </c>
      <c r="E127" s="28">
        <f t="shared" si="254"/>
        <v>0</v>
      </c>
      <c r="F127" s="28">
        <f t="shared" si="254"/>
        <v>0</v>
      </c>
      <c r="G127" s="28">
        <f>78</f>
        <v>78</v>
      </c>
      <c r="H127" s="28">
        <f t="shared" ref="H127:K127" si="255">0</f>
        <v>0</v>
      </c>
      <c r="I127" s="28">
        <f t="shared" si="255"/>
        <v>0</v>
      </c>
      <c r="J127" s="28">
        <f t="shared" si="255"/>
        <v>0</v>
      </c>
      <c r="K127" s="28">
        <f t="shared" si="255"/>
        <v>0</v>
      </c>
      <c r="L127" s="28">
        <f>78</f>
        <v>78</v>
      </c>
      <c r="M127" s="28">
        <f t="shared" ref="M127:N127" si="256">0</f>
        <v>0</v>
      </c>
      <c r="N127" s="28">
        <f t="shared" si="256"/>
        <v>0</v>
      </c>
      <c r="O127" s="28">
        <f>39</f>
        <v>39</v>
      </c>
    </row>
    <row r="128">
      <c r="B128" s="20">
        <v>46242.0</v>
      </c>
      <c r="C128" s="28">
        <f t="shared" ref="C128:F128" si="257">0</f>
        <v>0</v>
      </c>
      <c r="D128" s="28">
        <f t="shared" si="257"/>
        <v>0</v>
      </c>
      <c r="E128" s="28">
        <f t="shared" si="257"/>
        <v>0</v>
      </c>
      <c r="F128" s="28">
        <f t="shared" si="257"/>
        <v>0</v>
      </c>
      <c r="G128" s="28">
        <f>61</f>
        <v>61</v>
      </c>
      <c r="H128" s="28">
        <f t="shared" ref="H128:M128" si="258">0</f>
        <v>0</v>
      </c>
      <c r="I128" s="28">
        <f t="shared" si="258"/>
        <v>0</v>
      </c>
      <c r="J128" s="28">
        <f t="shared" si="258"/>
        <v>0</v>
      </c>
      <c r="K128" s="28">
        <f t="shared" si="258"/>
        <v>0</v>
      </c>
      <c r="L128" s="28">
        <f t="shared" si="258"/>
        <v>0</v>
      </c>
      <c r="M128" s="28">
        <f t="shared" si="258"/>
        <v>0</v>
      </c>
      <c r="N128" s="28">
        <f>12.2</f>
        <v>12.2</v>
      </c>
      <c r="O128" s="28">
        <f>48.8</f>
        <v>48.8</v>
      </c>
    </row>
    <row r="129">
      <c r="B129" s="20">
        <v>46243.0</v>
      </c>
      <c r="C129" s="28">
        <f t="shared" ref="C129:F129" si="259">0</f>
        <v>0</v>
      </c>
      <c r="D129" s="28">
        <f t="shared" si="259"/>
        <v>0</v>
      </c>
      <c r="E129" s="28">
        <f t="shared" si="259"/>
        <v>0</v>
      </c>
      <c r="F129" s="28">
        <f t="shared" si="259"/>
        <v>0</v>
      </c>
      <c r="G129" s="28">
        <f>39.5</f>
        <v>39.5</v>
      </c>
      <c r="H129" s="28">
        <f t="shared" ref="H129:N129" si="260">0</f>
        <v>0</v>
      </c>
      <c r="I129" s="28">
        <f t="shared" si="260"/>
        <v>0</v>
      </c>
      <c r="J129" s="28">
        <f t="shared" si="260"/>
        <v>0</v>
      </c>
      <c r="K129" s="28">
        <f t="shared" si="260"/>
        <v>0</v>
      </c>
      <c r="L129" s="28">
        <f t="shared" si="260"/>
        <v>0</v>
      </c>
      <c r="M129" s="28">
        <f t="shared" si="260"/>
        <v>0</v>
      </c>
      <c r="N129" s="28">
        <f t="shared" si="260"/>
        <v>0</v>
      </c>
      <c r="O129" s="28">
        <f>39.5</f>
        <v>39.5</v>
      </c>
    </row>
    <row r="130">
      <c r="B130" s="20">
        <v>46243.0</v>
      </c>
      <c r="C130" s="28">
        <f t="shared" ref="C130:F130" si="261">0</f>
        <v>0</v>
      </c>
      <c r="D130" s="28">
        <f t="shared" si="261"/>
        <v>0</v>
      </c>
      <c r="E130" s="28">
        <f t="shared" si="261"/>
        <v>0</v>
      </c>
      <c r="F130" s="28">
        <f t="shared" si="261"/>
        <v>0</v>
      </c>
      <c r="G130" s="28">
        <f>61.8</f>
        <v>61.8</v>
      </c>
      <c r="H130" s="28">
        <f t="shared" ref="H130:K130" si="262">0</f>
        <v>0</v>
      </c>
      <c r="I130" s="28">
        <f t="shared" si="262"/>
        <v>0</v>
      </c>
      <c r="J130" s="28">
        <f t="shared" si="262"/>
        <v>0</v>
      </c>
      <c r="K130" s="28">
        <f t="shared" si="262"/>
        <v>0</v>
      </c>
      <c r="L130" s="28">
        <f>123.6</f>
        <v>123.6</v>
      </c>
      <c r="M130" s="28">
        <f t="shared" ref="M130:N130" si="263">0</f>
        <v>0</v>
      </c>
      <c r="N130" s="28">
        <f t="shared" si="263"/>
        <v>0</v>
      </c>
      <c r="O130" s="28">
        <f>20.6</f>
        <v>20.6</v>
      </c>
    </row>
    <row r="131">
      <c r="B131" s="20">
        <v>46243.0</v>
      </c>
      <c r="C131" s="28">
        <f>29</f>
        <v>29</v>
      </c>
      <c r="D131" s="28">
        <f t="shared" ref="D131:F131" si="264">0</f>
        <v>0</v>
      </c>
      <c r="E131" s="28">
        <f t="shared" si="264"/>
        <v>0</v>
      </c>
      <c r="F131" s="28">
        <f t="shared" si="264"/>
        <v>0</v>
      </c>
      <c r="G131" s="28">
        <f>43.5</f>
        <v>43.5</v>
      </c>
      <c r="H131" s="28">
        <f t="shared" ref="H131:H133" si="267">0</f>
        <v>0</v>
      </c>
      <c r="I131" s="28">
        <f>29</f>
        <v>29</v>
      </c>
      <c r="J131" s="28">
        <f t="shared" ref="J131:M131" si="265">0</f>
        <v>0</v>
      </c>
      <c r="K131" s="28">
        <f t="shared" si="265"/>
        <v>0</v>
      </c>
      <c r="L131" s="28">
        <f t="shared" si="265"/>
        <v>0</v>
      </c>
      <c r="M131" s="28">
        <f t="shared" si="265"/>
        <v>0</v>
      </c>
      <c r="N131" s="28">
        <f>43.5</f>
        <v>43.5</v>
      </c>
      <c r="O131" s="28">
        <f t="shared" ref="O131:O132" si="269">0</f>
        <v>0</v>
      </c>
    </row>
    <row r="132">
      <c r="B132" s="20">
        <v>46244.0</v>
      </c>
      <c r="C132" s="28">
        <f>38.2</f>
        <v>38.2</v>
      </c>
      <c r="D132" s="28">
        <f t="shared" ref="D132:F132" si="266">0</f>
        <v>0</v>
      </c>
      <c r="E132" s="28">
        <f t="shared" si="266"/>
        <v>0</v>
      </c>
      <c r="F132" s="28">
        <f t="shared" si="266"/>
        <v>0</v>
      </c>
      <c r="G132" s="28">
        <f>57.3</f>
        <v>57.3</v>
      </c>
      <c r="H132" s="28">
        <f t="shared" si="267"/>
        <v>0</v>
      </c>
      <c r="I132" s="28">
        <f t="shared" ref="I132:L132" si="268">0</f>
        <v>0</v>
      </c>
      <c r="J132" s="28">
        <f t="shared" si="268"/>
        <v>0</v>
      </c>
      <c r="K132" s="28">
        <f t="shared" si="268"/>
        <v>0</v>
      </c>
      <c r="L132" s="28">
        <f t="shared" si="268"/>
        <v>0</v>
      </c>
      <c r="M132" s="28">
        <f>38.2</f>
        <v>38.2</v>
      </c>
      <c r="N132" s="28">
        <f>57.3</f>
        <v>57.3</v>
      </c>
      <c r="O132" s="28">
        <f t="shared" si="269"/>
        <v>0</v>
      </c>
    </row>
    <row r="133">
      <c r="B133" s="20">
        <v>46244.0</v>
      </c>
      <c r="C133" s="28">
        <f>36.4</f>
        <v>36.4</v>
      </c>
      <c r="D133" s="28">
        <f t="shared" ref="D133:F133" si="270">0</f>
        <v>0</v>
      </c>
      <c r="E133" s="28">
        <f t="shared" si="270"/>
        <v>0</v>
      </c>
      <c r="F133" s="28">
        <f t="shared" si="270"/>
        <v>0</v>
      </c>
      <c r="G133" s="28">
        <f>72.8</f>
        <v>72.8</v>
      </c>
      <c r="H133" s="28">
        <f t="shared" si="267"/>
        <v>0</v>
      </c>
      <c r="I133" s="28">
        <f t="shared" ref="I133:K133" si="271">0</f>
        <v>0</v>
      </c>
      <c r="J133" s="28">
        <f t="shared" si="271"/>
        <v>0</v>
      </c>
      <c r="K133" s="28">
        <f t="shared" si="271"/>
        <v>0</v>
      </c>
      <c r="L133" s="28">
        <f>54.6</f>
        <v>54.6</v>
      </c>
      <c r="M133" s="28">
        <f>18.2</f>
        <v>18.2</v>
      </c>
      <c r="N133" s="28">
        <f t="shared" ref="N133:O133" si="272">0</f>
        <v>0</v>
      </c>
      <c r="O133" s="28">
        <f t="shared" si="272"/>
        <v>0</v>
      </c>
    </row>
    <row r="134">
      <c r="B134" s="20">
        <v>46245.0</v>
      </c>
      <c r="C134" s="28">
        <f t="shared" ref="C134:N134" si="273">0</f>
        <v>0</v>
      </c>
      <c r="D134" s="28">
        <f t="shared" si="273"/>
        <v>0</v>
      </c>
      <c r="E134" s="28">
        <f t="shared" si="273"/>
        <v>0</v>
      </c>
      <c r="F134" s="28">
        <f t="shared" si="273"/>
        <v>0</v>
      </c>
      <c r="G134" s="28">
        <f t="shared" si="273"/>
        <v>0</v>
      </c>
      <c r="H134" s="28">
        <f t="shared" si="273"/>
        <v>0</v>
      </c>
      <c r="I134" s="28">
        <f t="shared" si="273"/>
        <v>0</v>
      </c>
      <c r="J134" s="28">
        <f t="shared" si="273"/>
        <v>0</v>
      </c>
      <c r="K134" s="28">
        <f t="shared" si="273"/>
        <v>0</v>
      </c>
      <c r="L134" s="28">
        <f t="shared" si="273"/>
        <v>0</v>
      </c>
      <c r="M134" s="28">
        <f t="shared" si="273"/>
        <v>0</v>
      </c>
      <c r="N134" s="28">
        <f t="shared" si="273"/>
        <v>0</v>
      </c>
      <c r="O134" s="28">
        <f>135</f>
        <v>135</v>
      </c>
    </row>
    <row r="135">
      <c r="B135" s="20">
        <v>46245.0</v>
      </c>
      <c r="C135" s="28">
        <f t="shared" ref="C135:K135" si="274">0</f>
        <v>0</v>
      </c>
      <c r="D135" s="28">
        <f t="shared" si="274"/>
        <v>0</v>
      </c>
      <c r="E135" s="28">
        <f t="shared" si="274"/>
        <v>0</v>
      </c>
      <c r="F135" s="28">
        <f t="shared" si="274"/>
        <v>0</v>
      </c>
      <c r="G135" s="28">
        <f t="shared" si="274"/>
        <v>0</v>
      </c>
      <c r="H135" s="28">
        <f t="shared" si="274"/>
        <v>0</v>
      </c>
      <c r="I135" s="28">
        <f t="shared" si="274"/>
        <v>0</v>
      </c>
      <c r="J135" s="28">
        <f t="shared" si="274"/>
        <v>0</v>
      </c>
      <c r="K135" s="28">
        <f t="shared" si="274"/>
        <v>0</v>
      </c>
      <c r="L135" s="28">
        <f>34</f>
        <v>34</v>
      </c>
      <c r="M135" s="28">
        <f t="shared" ref="M135:N135" si="275">0</f>
        <v>0</v>
      </c>
      <c r="N135" s="28">
        <f t="shared" si="275"/>
        <v>0</v>
      </c>
      <c r="O135" s="28">
        <f>34</f>
        <v>34</v>
      </c>
    </row>
    <row r="136">
      <c r="B136" s="20">
        <v>46245.0</v>
      </c>
      <c r="C136" s="28">
        <f t="shared" ref="C136:F136" si="276">0</f>
        <v>0</v>
      </c>
      <c r="D136" s="28">
        <f t="shared" si="276"/>
        <v>0</v>
      </c>
      <c r="E136" s="28">
        <f t="shared" si="276"/>
        <v>0</v>
      </c>
      <c r="F136" s="28">
        <f t="shared" si="276"/>
        <v>0</v>
      </c>
      <c r="G136" s="28">
        <f>50.8</f>
        <v>50.8</v>
      </c>
      <c r="H136" s="28">
        <f t="shared" ref="H136:K136" si="277">0</f>
        <v>0</v>
      </c>
      <c r="I136" s="28">
        <f t="shared" si="277"/>
        <v>0</v>
      </c>
      <c r="J136" s="28">
        <f t="shared" si="277"/>
        <v>0</v>
      </c>
      <c r="K136" s="28">
        <f t="shared" si="277"/>
        <v>0</v>
      </c>
      <c r="L136" s="28">
        <f>38.1</f>
        <v>38.1</v>
      </c>
      <c r="M136" s="28">
        <f t="shared" ref="M136:N136" si="278">0</f>
        <v>0</v>
      </c>
      <c r="N136" s="28">
        <f t="shared" si="278"/>
        <v>0</v>
      </c>
      <c r="O136" s="28">
        <f>38.1</f>
        <v>38.1</v>
      </c>
    </row>
    <row r="137">
      <c r="B137" s="20">
        <v>46245.0</v>
      </c>
      <c r="C137" s="21">
        <v>0.0</v>
      </c>
      <c r="D137" s="21">
        <v>0.0</v>
      </c>
      <c r="E137" s="21">
        <v>0.0</v>
      </c>
      <c r="F137" s="21">
        <v>0.0</v>
      </c>
      <c r="G137" s="21">
        <v>0.0</v>
      </c>
      <c r="H137" s="21">
        <v>0.0</v>
      </c>
      <c r="I137" s="21">
        <v>0.0</v>
      </c>
      <c r="J137" s="21">
        <v>0.0</v>
      </c>
      <c r="K137" s="21">
        <v>0.0</v>
      </c>
      <c r="L137" s="21">
        <v>0.0</v>
      </c>
      <c r="M137" s="21">
        <v>0.0</v>
      </c>
      <c r="N137" s="21">
        <v>0.0</v>
      </c>
      <c r="O137" s="28">
        <f>186</f>
        <v>186</v>
      </c>
    </row>
    <row r="138">
      <c r="B138" s="20">
        <v>46246.0</v>
      </c>
      <c r="C138" s="28">
        <f>19.2</f>
        <v>19.2</v>
      </c>
      <c r="D138" s="28">
        <f t="shared" ref="D138:F138" si="279">0</f>
        <v>0</v>
      </c>
      <c r="E138" s="28">
        <f t="shared" si="279"/>
        <v>0</v>
      </c>
      <c r="F138" s="28">
        <f t="shared" si="279"/>
        <v>0</v>
      </c>
      <c r="G138" s="28">
        <f>19.2</f>
        <v>19.2</v>
      </c>
      <c r="H138" s="28">
        <f t="shared" ref="H138:K138" si="280">0</f>
        <v>0</v>
      </c>
      <c r="I138" s="28">
        <f t="shared" si="280"/>
        <v>0</v>
      </c>
      <c r="J138" s="28">
        <f t="shared" si="280"/>
        <v>0</v>
      </c>
      <c r="K138" s="28">
        <f t="shared" si="280"/>
        <v>0</v>
      </c>
      <c r="L138" s="28">
        <f>28.8</f>
        <v>28.8</v>
      </c>
      <c r="M138" s="28">
        <f t="shared" ref="M138:O138" si="281">9.6</f>
        <v>9.6</v>
      </c>
      <c r="N138" s="28">
        <f t="shared" si="281"/>
        <v>9.6</v>
      </c>
      <c r="O138" s="28">
        <f t="shared" si="281"/>
        <v>9.6</v>
      </c>
    </row>
    <row r="139">
      <c r="B139" s="20">
        <v>46246.0</v>
      </c>
      <c r="C139" s="28">
        <f t="shared" ref="C139:E139" si="282">0</f>
        <v>0</v>
      </c>
      <c r="D139" s="28">
        <f t="shared" si="282"/>
        <v>0</v>
      </c>
      <c r="E139" s="28">
        <f t="shared" si="282"/>
        <v>0</v>
      </c>
      <c r="F139" s="28">
        <f>41.8</f>
        <v>41.8</v>
      </c>
      <c r="G139" s="28">
        <f>83.6</f>
        <v>83.6</v>
      </c>
      <c r="H139" s="28">
        <f t="shared" ref="H139:N139" si="283">0</f>
        <v>0</v>
      </c>
      <c r="I139" s="28">
        <f t="shared" si="283"/>
        <v>0</v>
      </c>
      <c r="J139" s="28">
        <f t="shared" si="283"/>
        <v>0</v>
      </c>
      <c r="K139" s="28">
        <f t="shared" si="283"/>
        <v>0</v>
      </c>
      <c r="L139" s="28">
        <f t="shared" si="283"/>
        <v>0</v>
      </c>
      <c r="M139" s="28">
        <f t="shared" si="283"/>
        <v>0</v>
      </c>
      <c r="N139" s="28">
        <f t="shared" si="283"/>
        <v>0</v>
      </c>
      <c r="O139" s="28">
        <f>83.6</f>
        <v>83.6</v>
      </c>
    </row>
    <row r="140">
      <c r="B140" s="20">
        <v>46247.0</v>
      </c>
      <c r="C140" s="28">
        <f t="shared" ref="C140:F140" si="284">0</f>
        <v>0</v>
      </c>
      <c r="D140" s="28">
        <f t="shared" si="284"/>
        <v>0</v>
      </c>
      <c r="E140" s="28">
        <f t="shared" si="284"/>
        <v>0</v>
      </c>
      <c r="F140" s="28">
        <f t="shared" si="284"/>
        <v>0</v>
      </c>
      <c r="G140" s="28">
        <f>109.2</f>
        <v>109.2</v>
      </c>
      <c r="H140" s="28">
        <f t="shared" ref="H140:N140" si="285">0</f>
        <v>0</v>
      </c>
      <c r="I140" s="28">
        <f t="shared" si="285"/>
        <v>0</v>
      </c>
      <c r="J140" s="28">
        <f t="shared" si="285"/>
        <v>0</v>
      </c>
      <c r="K140" s="28">
        <f t="shared" si="285"/>
        <v>0</v>
      </c>
      <c r="L140" s="28">
        <f t="shared" si="285"/>
        <v>0</v>
      </c>
      <c r="M140" s="28">
        <f t="shared" si="285"/>
        <v>0</v>
      </c>
      <c r="N140" s="28">
        <f t="shared" si="285"/>
        <v>0</v>
      </c>
      <c r="O140" s="28">
        <f>46.8</f>
        <v>46.8</v>
      </c>
    </row>
    <row r="141">
      <c r="B141" s="20">
        <v>46247.0</v>
      </c>
      <c r="C141" s="28">
        <f>18.6</f>
        <v>18.6</v>
      </c>
      <c r="D141" s="28">
        <f t="shared" ref="D141:F141" si="286">0</f>
        <v>0</v>
      </c>
      <c r="E141" s="28">
        <f t="shared" si="286"/>
        <v>0</v>
      </c>
      <c r="F141" s="28">
        <f t="shared" si="286"/>
        <v>0</v>
      </c>
      <c r="G141" s="28">
        <f>37.2</f>
        <v>37.2</v>
      </c>
      <c r="H141" s="28">
        <f t="shared" ref="H141:K141" si="287">0</f>
        <v>0</v>
      </c>
      <c r="I141" s="28">
        <f t="shared" si="287"/>
        <v>0</v>
      </c>
      <c r="J141" s="28">
        <f t="shared" si="287"/>
        <v>0</v>
      </c>
      <c r="K141" s="28">
        <f t="shared" si="287"/>
        <v>0</v>
      </c>
      <c r="L141" s="28">
        <f t="shared" ref="L141:N141" si="288">37.2</f>
        <v>37.2</v>
      </c>
      <c r="M141" s="28">
        <f t="shared" si="288"/>
        <v>37.2</v>
      </c>
      <c r="N141" s="28">
        <f t="shared" si="288"/>
        <v>37.2</v>
      </c>
      <c r="O141" s="28">
        <f>18.6</f>
        <v>18.6</v>
      </c>
    </row>
    <row r="142">
      <c r="B142" s="20">
        <v>46248.0</v>
      </c>
      <c r="C142" s="28">
        <f t="shared" ref="C142:E142" si="289">0</f>
        <v>0</v>
      </c>
      <c r="D142" s="28">
        <f t="shared" si="289"/>
        <v>0</v>
      </c>
      <c r="E142" s="28">
        <f t="shared" si="289"/>
        <v>0</v>
      </c>
      <c r="F142" s="28">
        <f>117</f>
        <v>117</v>
      </c>
      <c r="G142" s="28">
        <f t="shared" ref="G142:K142" si="290">0</f>
        <v>0</v>
      </c>
      <c r="H142" s="28">
        <f t="shared" si="290"/>
        <v>0</v>
      </c>
      <c r="I142" s="28">
        <f t="shared" si="290"/>
        <v>0</v>
      </c>
      <c r="J142" s="28">
        <f t="shared" si="290"/>
        <v>0</v>
      </c>
      <c r="K142" s="28">
        <f t="shared" si="290"/>
        <v>0</v>
      </c>
      <c r="L142" s="28">
        <f>93.6</f>
        <v>93.6</v>
      </c>
      <c r="M142" s="28">
        <f t="shared" ref="M142:N142" si="291">0</f>
        <v>0</v>
      </c>
      <c r="N142" s="28">
        <f t="shared" si="291"/>
        <v>0</v>
      </c>
      <c r="O142" s="28">
        <f>23.4</f>
        <v>23.4</v>
      </c>
    </row>
    <row r="143">
      <c r="B143" s="20">
        <v>46248.0</v>
      </c>
      <c r="C143" s="28">
        <f>23.3</f>
        <v>23.3</v>
      </c>
      <c r="D143" s="28">
        <f t="shared" ref="D143:F143" si="292">0</f>
        <v>0</v>
      </c>
      <c r="E143" s="28">
        <f t="shared" si="292"/>
        <v>0</v>
      </c>
      <c r="F143" s="28">
        <f t="shared" si="292"/>
        <v>0</v>
      </c>
      <c r="G143" s="28">
        <f>69.9</f>
        <v>69.9</v>
      </c>
      <c r="H143" s="28">
        <f t="shared" ref="H143:K143" si="293">0</f>
        <v>0</v>
      </c>
      <c r="I143" s="28">
        <f t="shared" si="293"/>
        <v>0</v>
      </c>
      <c r="J143" s="28">
        <f t="shared" si="293"/>
        <v>0</v>
      </c>
      <c r="K143" s="28">
        <f t="shared" si="293"/>
        <v>0</v>
      </c>
      <c r="L143" s="28">
        <f>46.6</f>
        <v>46.6</v>
      </c>
      <c r="M143" s="28">
        <f>69.9</f>
        <v>69.9</v>
      </c>
      <c r="N143" s="28">
        <f>23.3</f>
        <v>23.3</v>
      </c>
      <c r="O143" s="28">
        <f>0</f>
        <v>0</v>
      </c>
    </row>
    <row r="144">
      <c r="B144" s="20">
        <v>46248.0</v>
      </c>
      <c r="C144" s="28">
        <f t="shared" ref="C144:F144" si="294">0</f>
        <v>0</v>
      </c>
      <c r="D144" s="28">
        <f t="shared" si="294"/>
        <v>0</v>
      </c>
      <c r="E144" s="28">
        <f t="shared" si="294"/>
        <v>0</v>
      </c>
      <c r="F144" s="28">
        <f t="shared" si="294"/>
        <v>0</v>
      </c>
      <c r="G144" s="28">
        <f>60</f>
        <v>60</v>
      </c>
      <c r="H144" s="28">
        <f t="shared" ref="H144:K144" si="295">0</f>
        <v>0</v>
      </c>
      <c r="I144" s="28">
        <f t="shared" si="295"/>
        <v>0</v>
      </c>
      <c r="J144" s="28">
        <f t="shared" si="295"/>
        <v>0</v>
      </c>
      <c r="K144" s="28">
        <f t="shared" si="295"/>
        <v>0</v>
      </c>
      <c r="L144" s="28">
        <f t="shared" ref="L144:M144" si="296">40</f>
        <v>40</v>
      </c>
      <c r="M144" s="28">
        <f t="shared" si="296"/>
        <v>40</v>
      </c>
      <c r="N144" s="28">
        <f>20</f>
        <v>20</v>
      </c>
      <c r="O144" s="28">
        <f>40</f>
        <v>40</v>
      </c>
    </row>
    <row r="145">
      <c r="B145" s="20">
        <v>46248.0</v>
      </c>
      <c r="C145" s="28">
        <f t="shared" ref="C145:F145" si="297">0</f>
        <v>0</v>
      </c>
      <c r="D145" s="28">
        <f t="shared" si="297"/>
        <v>0</v>
      </c>
      <c r="E145" s="28">
        <f t="shared" si="297"/>
        <v>0</v>
      </c>
      <c r="F145" s="28">
        <f t="shared" si="297"/>
        <v>0</v>
      </c>
      <c r="G145" s="28">
        <f>112.5</f>
        <v>112.5</v>
      </c>
      <c r="H145" s="28">
        <f t="shared" ref="H145:N145" si="298">0</f>
        <v>0</v>
      </c>
      <c r="I145" s="28">
        <f t="shared" si="298"/>
        <v>0</v>
      </c>
      <c r="J145" s="28">
        <f t="shared" si="298"/>
        <v>0</v>
      </c>
      <c r="K145" s="28">
        <f t="shared" si="298"/>
        <v>0</v>
      </c>
      <c r="L145" s="28">
        <f t="shared" si="298"/>
        <v>0</v>
      </c>
      <c r="M145" s="28">
        <f t="shared" si="298"/>
        <v>0</v>
      </c>
      <c r="N145" s="28">
        <f t="shared" si="298"/>
        <v>0</v>
      </c>
      <c r="O145" s="28">
        <f>12.5</f>
        <v>12.5</v>
      </c>
    </row>
    <row r="146">
      <c r="B146" s="20">
        <v>46248.0</v>
      </c>
      <c r="C146" s="28">
        <f t="shared" ref="C146:E146" si="299">0</f>
        <v>0</v>
      </c>
      <c r="D146" s="28">
        <f t="shared" si="299"/>
        <v>0</v>
      </c>
      <c r="E146" s="28">
        <f t="shared" si="299"/>
        <v>0</v>
      </c>
      <c r="F146" s="28">
        <f>48.9</f>
        <v>48.9</v>
      </c>
      <c r="G146" s="28">
        <f>81.5</f>
        <v>81.5</v>
      </c>
      <c r="H146" s="28">
        <f t="shared" ref="H146:N146" si="300">0</f>
        <v>0</v>
      </c>
      <c r="I146" s="28">
        <f t="shared" si="300"/>
        <v>0</v>
      </c>
      <c r="J146" s="28">
        <f t="shared" si="300"/>
        <v>0</v>
      </c>
      <c r="K146" s="28">
        <f t="shared" si="300"/>
        <v>0</v>
      </c>
      <c r="L146" s="28">
        <f t="shared" si="300"/>
        <v>0</v>
      </c>
      <c r="M146" s="28">
        <f t="shared" si="300"/>
        <v>0</v>
      </c>
      <c r="N146" s="28">
        <f t="shared" si="300"/>
        <v>0</v>
      </c>
      <c r="O146" s="28">
        <f>32.6</f>
        <v>32.6</v>
      </c>
    </row>
    <row r="147">
      <c r="B147" s="20">
        <v>46249.0</v>
      </c>
      <c r="C147" s="28">
        <f>14.1</f>
        <v>14.1</v>
      </c>
      <c r="D147" s="28">
        <f t="shared" ref="D147:F147" si="301">0</f>
        <v>0</v>
      </c>
      <c r="E147" s="28">
        <f t="shared" si="301"/>
        <v>0</v>
      </c>
      <c r="F147" s="28">
        <f t="shared" si="301"/>
        <v>0</v>
      </c>
      <c r="G147" s="28">
        <f>70.5</f>
        <v>70.5</v>
      </c>
      <c r="H147" s="28">
        <f t="shared" ref="H147:K147" si="302">0</f>
        <v>0</v>
      </c>
      <c r="I147" s="28">
        <f t="shared" si="302"/>
        <v>0</v>
      </c>
      <c r="J147" s="28">
        <f t="shared" si="302"/>
        <v>0</v>
      </c>
      <c r="K147" s="28">
        <f t="shared" si="302"/>
        <v>0</v>
      </c>
      <c r="L147" s="28">
        <f>42.3</f>
        <v>42.3</v>
      </c>
      <c r="M147" s="28">
        <f t="shared" ref="M147:N147" si="303">0</f>
        <v>0</v>
      </c>
      <c r="N147" s="28">
        <f t="shared" si="303"/>
        <v>0</v>
      </c>
      <c r="O147" s="28">
        <f>14.1</f>
        <v>14.1</v>
      </c>
    </row>
    <row r="148">
      <c r="B148" s="20">
        <v>46249.0</v>
      </c>
      <c r="C148" s="28">
        <f>11.7</f>
        <v>11.7</v>
      </c>
      <c r="D148" s="28">
        <f t="shared" ref="D148:F148" si="304">0</f>
        <v>0</v>
      </c>
      <c r="E148" s="28">
        <f t="shared" si="304"/>
        <v>0</v>
      </c>
      <c r="F148" s="28">
        <f t="shared" si="304"/>
        <v>0</v>
      </c>
      <c r="G148" s="28">
        <f>70.2</f>
        <v>70.2</v>
      </c>
      <c r="H148" s="28">
        <f t="shared" ref="H148:N148" si="305">0</f>
        <v>0</v>
      </c>
      <c r="I148" s="28">
        <f t="shared" si="305"/>
        <v>0</v>
      </c>
      <c r="J148" s="28">
        <f t="shared" si="305"/>
        <v>0</v>
      </c>
      <c r="K148" s="28">
        <f t="shared" si="305"/>
        <v>0</v>
      </c>
      <c r="L148" s="28">
        <f t="shared" si="305"/>
        <v>0</v>
      </c>
      <c r="M148" s="28">
        <f t="shared" si="305"/>
        <v>0</v>
      </c>
      <c r="N148" s="28">
        <f t="shared" si="305"/>
        <v>0</v>
      </c>
      <c r="O148" s="28">
        <f>35.1</f>
        <v>35.1</v>
      </c>
    </row>
    <row r="149">
      <c r="B149" s="20">
        <v>46249.0</v>
      </c>
      <c r="C149" s="28">
        <f t="shared" ref="C149:F149" si="306">0</f>
        <v>0</v>
      </c>
      <c r="D149" s="28">
        <f t="shared" si="306"/>
        <v>0</v>
      </c>
      <c r="E149" s="28">
        <f t="shared" si="306"/>
        <v>0</v>
      </c>
      <c r="F149" s="28">
        <f t="shared" si="306"/>
        <v>0</v>
      </c>
      <c r="G149" s="28">
        <f>92</f>
        <v>92</v>
      </c>
      <c r="H149" s="28">
        <f t="shared" ref="H149:L149" si="307">0</f>
        <v>0</v>
      </c>
      <c r="I149" s="28">
        <f t="shared" si="307"/>
        <v>0</v>
      </c>
      <c r="J149" s="28">
        <f t="shared" si="307"/>
        <v>0</v>
      </c>
      <c r="K149" s="28">
        <f t="shared" si="307"/>
        <v>0</v>
      </c>
      <c r="L149" s="28">
        <f t="shared" si="307"/>
        <v>0</v>
      </c>
      <c r="M149" s="28">
        <f>23</f>
        <v>23</v>
      </c>
      <c r="N149" s="28">
        <f t="shared" ref="N149:O149" si="308">0</f>
        <v>0</v>
      </c>
      <c r="O149" s="28">
        <f t="shared" si="308"/>
        <v>0</v>
      </c>
    </row>
    <row r="150">
      <c r="B150" s="20">
        <v>46250.0</v>
      </c>
      <c r="C150" s="28">
        <f t="shared" ref="C150:K150" si="309">0</f>
        <v>0</v>
      </c>
      <c r="D150" s="28">
        <f t="shared" si="309"/>
        <v>0</v>
      </c>
      <c r="E150" s="28">
        <f t="shared" si="309"/>
        <v>0</v>
      </c>
      <c r="F150" s="28">
        <f t="shared" si="309"/>
        <v>0</v>
      </c>
      <c r="G150" s="28">
        <f t="shared" si="309"/>
        <v>0</v>
      </c>
      <c r="H150" s="28">
        <f t="shared" si="309"/>
        <v>0</v>
      </c>
      <c r="I150" s="28">
        <f t="shared" si="309"/>
        <v>0</v>
      </c>
      <c r="J150" s="28">
        <f t="shared" si="309"/>
        <v>0</v>
      </c>
      <c r="K150" s="28">
        <f t="shared" si="309"/>
        <v>0</v>
      </c>
      <c r="L150" s="28">
        <f>69</f>
        <v>69</v>
      </c>
      <c r="M150" s="28">
        <f t="shared" ref="M150:N150" si="310">0</f>
        <v>0</v>
      </c>
      <c r="N150" s="28">
        <f t="shared" si="310"/>
        <v>0</v>
      </c>
      <c r="O150" s="28">
        <f>69</f>
        <v>69</v>
      </c>
    </row>
    <row r="151">
      <c r="B151" s="20">
        <v>46250.0</v>
      </c>
      <c r="C151" s="28">
        <f>14.2</f>
        <v>14.2</v>
      </c>
      <c r="D151" s="28">
        <f t="shared" ref="D151:F151" si="311">0</f>
        <v>0</v>
      </c>
      <c r="E151" s="28">
        <f t="shared" si="311"/>
        <v>0</v>
      </c>
      <c r="F151" s="28">
        <f t="shared" si="311"/>
        <v>0</v>
      </c>
      <c r="G151" s="28">
        <f>85.2</f>
        <v>85.2</v>
      </c>
      <c r="H151" s="28">
        <f>0</f>
        <v>0</v>
      </c>
      <c r="I151" s="28">
        <f>14.2</f>
        <v>14.2</v>
      </c>
      <c r="J151" s="28">
        <f t="shared" ref="J151:K151" si="312">0</f>
        <v>0</v>
      </c>
      <c r="K151" s="28">
        <f t="shared" si="312"/>
        <v>0</v>
      </c>
      <c r="L151" s="28">
        <f t="shared" ref="L151:M151" si="313">14.2</f>
        <v>14.2</v>
      </c>
      <c r="M151" s="28">
        <f t="shared" si="313"/>
        <v>14.2</v>
      </c>
      <c r="N151" s="28">
        <f t="shared" ref="N151:O151" si="314">0</f>
        <v>0</v>
      </c>
      <c r="O151" s="28">
        <f t="shared" si="314"/>
        <v>0</v>
      </c>
    </row>
    <row r="152">
      <c r="B152" s="20">
        <v>46251.0</v>
      </c>
      <c r="C152" s="28">
        <f t="shared" ref="C152:N152" si="315">0</f>
        <v>0</v>
      </c>
      <c r="D152" s="28">
        <f t="shared" si="315"/>
        <v>0</v>
      </c>
      <c r="E152" s="28">
        <f t="shared" si="315"/>
        <v>0</v>
      </c>
      <c r="F152" s="28">
        <f t="shared" si="315"/>
        <v>0</v>
      </c>
      <c r="G152" s="28">
        <f t="shared" si="315"/>
        <v>0</v>
      </c>
      <c r="H152" s="28">
        <f t="shared" si="315"/>
        <v>0</v>
      </c>
      <c r="I152" s="28">
        <f t="shared" si="315"/>
        <v>0</v>
      </c>
      <c r="J152" s="28">
        <f t="shared" si="315"/>
        <v>0</v>
      </c>
      <c r="K152" s="28">
        <f t="shared" si="315"/>
        <v>0</v>
      </c>
      <c r="L152" s="28">
        <f t="shared" si="315"/>
        <v>0</v>
      </c>
      <c r="M152" s="28">
        <f t="shared" si="315"/>
        <v>0</v>
      </c>
      <c r="N152" s="28">
        <f t="shared" si="315"/>
        <v>0</v>
      </c>
      <c r="O152" s="28">
        <f>210</f>
        <v>210</v>
      </c>
    </row>
    <row r="153">
      <c r="B153" s="20">
        <v>46251.0</v>
      </c>
      <c r="C153" s="28">
        <f>13.4</f>
        <v>13.4</v>
      </c>
      <c r="D153" s="28">
        <f t="shared" ref="D153:F153" si="316">0</f>
        <v>0</v>
      </c>
      <c r="E153" s="28">
        <f t="shared" si="316"/>
        <v>0</v>
      </c>
      <c r="F153" s="28">
        <f t="shared" si="316"/>
        <v>0</v>
      </c>
      <c r="G153" s="28">
        <f>26.8</f>
        <v>26.8</v>
      </c>
      <c r="H153" s="28">
        <f t="shared" ref="H153:K153" si="317">0</f>
        <v>0</v>
      </c>
      <c r="I153" s="28">
        <f t="shared" si="317"/>
        <v>0</v>
      </c>
      <c r="J153" s="28">
        <f t="shared" si="317"/>
        <v>0</v>
      </c>
      <c r="K153" s="28">
        <f t="shared" si="317"/>
        <v>0</v>
      </c>
      <c r="L153" s="28">
        <f t="shared" ref="L153:M153" si="318">26.8</f>
        <v>26.8</v>
      </c>
      <c r="M153" s="28">
        <f t="shared" si="318"/>
        <v>26.8</v>
      </c>
      <c r="N153" s="28">
        <f>13.4</f>
        <v>13.4</v>
      </c>
      <c r="O153" s="28">
        <f>26.8</f>
        <v>26.8</v>
      </c>
    </row>
    <row r="154">
      <c r="B154" s="20">
        <v>46252.0</v>
      </c>
      <c r="C154" s="28">
        <f t="shared" ref="C154:F154" si="319">0</f>
        <v>0</v>
      </c>
      <c r="D154" s="28">
        <f t="shared" si="319"/>
        <v>0</v>
      </c>
      <c r="E154" s="28">
        <f t="shared" si="319"/>
        <v>0</v>
      </c>
      <c r="F154" s="28">
        <f t="shared" si="319"/>
        <v>0</v>
      </c>
      <c r="G154" s="28">
        <f>59</f>
        <v>59</v>
      </c>
      <c r="H154" s="28">
        <f t="shared" ref="H154:N154" si="320">0</f>
        <v>0</v>
      </c>
      <c r="I154" s="28">
        <f t="shared" si="320"/>
        <v>0</v>
      </c>
      <c r="J154" s="28">
        <f t="shared" si="320"/>
        <v>0</v>
      </c>
      <c r="K154" s="28">
        <f t="shared" si="320"/>
        <v>0</v>
      </c>
      <c r="L154" s="28">
        <f t="shared" si="320"/>
        <v>0</v>
      </c>
      <c r="M154" s="28">
        <f t="shared" si="320"/>
        <v>0</v>
      </c>
      <c r="N154" s="28">
        <f t="shared" si="320"/>
        <v>0</v>
      </c>
      <c r="O154" s="28">
        <f>59</f>
        <v>59</v>
      </c>
    </row>
    <row r="155">
      <c r="B155" s="20">
        <v>46253.0</v>
      </c>
      <c r="C155" s="28">
        <f t="shared" ref="C155:F155" si="321">0</f>
        <v>0</v>
      </c>
      <c r="D155" s="28">
        <f t="shared" si="321"/>
        <v>0</v>
      </c>
      <c r="E155" s="28">
        <f t="shared" si="321"/>
        <v>0</v>
      </c>
      <c r="F155" s="28">
        <f t="shared" si="321"/>
        <v>0</v>
      </c>
      <c r="G155" s="28">
        <f>75.5</f>
        <v>75.5</v>
      </c>
      <c r="H155" s="28">
        <f t="shared" ref="H155:N155" si="322">0</f>
        <v>0</v>
      </c>
      <c r="I155" s="28">
        <f t="shared" si="322"/>
        <v>0</v>
      </c>
      <c r="J155" s="28">
        <f t="shared" si="322"/>
        <v>0</v>
      </c>
      <c r="K155" s="28">
        <f t="shared" si="322"/>
        <v>0</v>
      </c>
      <c r="L155" s="28">
        <f t="shared" si="322"/>
        <v>0</v>
      </c>
      <c r="M155" s="28">
        <f t="shared" si="322"/>
        <v>0</v>
      </c>
      <c r="N155" s="28">
        <f t="shared" si="322"/>
        <v>0</v>
      </c>
      <c r="O155" s="28">
        <f>75.5</f>
        <v>75.5</v>
      </c>
    </row>
    <row r="156">
      <c r="B156" s="20">
        <v>46253.0</v>
      </c>
      <c r="C156" s="28">
        <f>15.4</f>
        <v>15.4</v>
      </c>
      <c r="D156" s="28">
        <f t="shared" ref="D156:F156" si="323">0</f>
        <v>0</v>
      </c>
      <c r="E156" s="28">
        <f t="shared" si="323"/>
        <v>0</v>
      </c>
      <c r="F156" s="28">
        <f t="shared" si="323"/>
        <v>0</v>
      </c>
      <c r="G156" s="28">
        <f>46.2</f>
        <v>46.2</v>
      </c>
      <c r="H156" s="28">
        <f t="shared" ref="H156:H157" si="327">0</f>
        <v>0</v>
      </c>
      <c r="I156" s="28">
        <f>15.4</f>
        <v>15.4</v>
      </c>
      <c r="J156" s="28">
        <f t="shared" ref="J156:K156" si="324">0</f>
        <v>0</v>
      </c>
      <c r="K156" s="28">
        <f t="shared" si="324"/>
        <v>0</v>
      </c>
      <c r="L156" s="28">
        <f t="shared" ref="L156:M156" si="325">30.8</f>
        <v>30.8</v>
      </c>
      <c r="M156" s="28">
        <f t="shared" si="325"/>
        <v>30.8</v>
      </c>
      <c r="N156" s="28">
        <f>15.4</f>
        <v>15.4</v>
      </c>
      <c r="O156" s="28">
        <f>0</f>
        <v>0</v>
      </c>
    </row>
    <row r="157">
      <c r="B157" s="20">
        <v>46253.0</v>
      </c>
      <c r="C157" s="28">
        <f t="shared" ref="C157:F157" si="326">0</f>
        <v>0</v>
      </c>
      <c r="D157" s="28">
        <f t="shared" si="326"/>
        <v>0</v>
      </c>
      <c r="E157" s="28">
        <f t="shared" si="326"/>
        <v>0</v>
      </c>
      <c r="F157" s="28">
        <f t="shared" si="326"/>
        <v>0</v>
      </c>
      <c r="G157" s="28">
        <f>71.5</f>
        <v>71.5</v>
      </c>
      <c r="H157" s="28">
        <f t="shared" si="327"/>
        <v>0</v>
      </c>
      <c r="I157" s="28">
        <f t="shared" ref="I157:N157" si="328">0</f>
        <v>0</v>
      </c>
      <c r="J157" s="28">
        <f t="shared" si="328"/>
        <v>0</v>
      </c>
      <c r="K157" s="28">
        <f t="shared" si="328"/>
        <v>0</v>
      </c>
      <c r="L157" s="28">
        <f t="shared" si="328"/>
        <v>0</v>
      </c>
      <c r="M157" s="28">
        <f t="shared" si="328"/>
        <v>0</v>
      </c>
      <c r="N157" s="28">
        <f t="shared" si="328"/>
        <v>0</v>
      </c>
      <c r="O157" s="28">
        <f>71.5</f>
        <v>71.5</v>
      </c>
    </row>
    <row r="158">
      <c r="B158" s="20">
        <v>46254.0</v>
      </c>
      <c r="C158" s="21">
        <v>0.0</v>
      </c>
      <c r="D158" s="21">
        <v>0.0</v>
      </c>
      <c r="E158" s="21">
        <v>0.0</v>
      </c>
      <c r="F158" s="21">
        <v>0.0</v>
      </c>
      <c r="G158" s="21">
        <v>0.0</v>
      </c>
      <c r="H158" s="21">
        <v>0.0</v>
      </c>
      <c r="I158" s="21">
        <v>0.0</v>
      </c>
      <c r="J158" s="21">
        <v>0.0</v>
      </c>
      <c r="K158" s="21">
        <v>0.0</v>
      </c>
      <c r="L158" s="21">
        <v>0.0</v>
      </c>
      <c r="M158" s="21">
        <v>0.0</v>
      </c>
      <c r="N158" s="21">
        <v>0.0</v>
      </c>
      <c r="O158" s="28">
        <f>97</f>
        <v>97</v>
      </c>
    </row>
    <row r="159">
      <c r="B159" s="20">
        <v>46254.0</v>
      </c>
      <c r="C159" s="28">
        <f t="shared" ref="C159:F159" si="329">0</f>
        <v>0</v>
      </c>
      <c r="D159" s="28">
        <f t="shared" si="329"/>
        <v>0</v>
      </c>
      <c r="E159" s="28">
        <f t="shared" si="329"/>
        <v>0</v>
      </c>
      <c r="F159" s="28">
        <f t="shared" si="329"/>
        <v>0</v>
      </c>
      <c r="G159" s="28">
        <f>35</f>
        <v>35</v>
      </c>
      <c r="H159" s="28">
        <f t="shared" ref="H159:L159" si="330">0</f>
        <v>0</v>
      </c>
      <c r="I159" s="28">
        <f t="shared" si="330"/>
        <v>0</v>
      </c>
      <c r="J159" s="28">
        <f t="shared" si="330"/>
        <v>0</v>
      </c>
      <c r="K159" s="28">
        <f t="shared" si="330"/>
        <v>0</v>
      </c>
      <c r="L159" s="28">
        <f t="shared" si="330"/>
        <v>0</v>
      </c>
      <c r="M159" s="28">
        <f>21</f>
        <v>21</v>
      </c>
      <c r="N159" s="28">
        <f t="shared" ref="N159:N160" si="333">0</f>
        <v>0</v>
      </c>
      <c r="O159" s="28">
        <f>14</f>
        <v>14</v>
      </c>
    </row>
    <row r="160">
      <c r="B160" s="20">
        <v>46254.0</v>
      </c>
      <c r="C160" s="28">
        <f t="shared" ref="C160:F160" si="331">0</f>
        <v>0</v>
      </c>
      <c r="D160" s="28">
        <f t="shared" si="331"/>
        <v>0</v>
      </c>
      <c r="E160" s="28">
        <f t="shared" si="331"/>
        <v>0</v>
      </c>
      <c r="F160" s="28">
        <f t="shared" si="331"/>
        <v>0</v>
      </c>
      <c r="G160" s="28">
        <f>120.8</f>
        <v>120.8</v>
      </c>
      <c r="H160" s="28">
        <f t="shared" ref="H160:L160" si="332">0</f>
        <v>0</v>
      </c>
      <c r="I160" s="28">
        <f t="shared" si="332"/>
        <v>0</v>
      </c>
      <c r="J160" s="28">
        <f t="shared" si="332"/>
        <v>0</v>
      </c>
      <c r="K160" s="28">
        <f t="shared" si="332"/>
        <v>0</v>
      </c>
      <c r="L160" s="28">
        <f t="shared" si="332"/>
        <v>0</v>
      </c>
      <c r="M160" s="28">
        <f>30.2</f>
        <v>30.2</v>
      </c>
      <c r="N160" s="28">
        <f t="shared" si="333"/>
        <v>0</v>
      </c>
      <c r="O160" s="28">
        <f>0</f>
        <v>0</v>
      </c>
    </row>
    <row r="161">
      <c r="B161" s="20">
        <v>46255.0</v>
      </c>
      <c r="C161" s="21">
        <v>0.0</v>
      </c>
      <c r="D161" s="21">
        <v>0.0</v>
      </c>
      <c r="E161" s="21">
        <v>0.0</v>
      </c>
      <c r="F161" s="21">
        <v>0.0</v>
      </c>
      <c r="G161" s="21">
        <v>0.0</v>
      </c>
      <c r="H161" s="21">
        <v>0.0</v>
      </c>
      <c r="I161" s="21">
        <v>0.0</v>
      </c>
      <c r="J161" s="21">
        <v>0.0</v>
      </c>
      <c r="K161" s="21">
        <v>0.0</v>
      </c>
      <c r="L161" s="21">
        <v>0.0</v>
      </c>
      <c r="M161" s="21">
        <v>0.0</v>
      </c>
      <c r="N161" s="21">
        <v>0.0</v>
      </c>
      <c r="O161" s="28">
        <f>115</f>
        <v>115</v>
      </c>
    </row>
    <row r="162">
      <c r="B162" s="20">
        <v>46256.0</v>
      </c>
      <c r="C162" s="21">
        <v>0.0</v>
      </c>
      <c r="D162" s="21">
        <v>0.0</v>
      </c>
      <c r="E162" s="21">
        <v>0.0</v>
      </c>
      <c r="F162" s="21">
        <v>0.0</v>
      </c>
      <c r="G162" s="21">
        <v>0.0</v>
      </c>
      <c r="H162" s="21">
        <v>0.0</v>
      </c>
      <c r="I162" s="21">
        <v>0.0</v>
      </c>
      <c r="J162" s="21">
        <v>0.0</v>
      </c>
      <c r="K162" s="21">
        <v>0.0</v>
      </c>
      <c r="L162" s="21">
        <v>0.0</v>
      </c>
      <c r="M162" s="21">
        <v>0.0</v>
      </c>
      <c r="N162" s="21">
        <v>0.0</v>
      </c>
      <c r="O162" s="28">
        <f>148</f>
        <v>148</v>
      </c>
    </row>
    <row r="163">
      <c r="B163" s="20">
        <v>46256.0</v>
      </c>
      <c r="C163" s="28">
        <f t="shared" ref="C163:F163" si="334">0</f>
        <v>0</v>
      </c>
      <c r="D163" s="28">
        <f t="shared" si="334"/>
        <v>0</v>
      </c>
      <c r="E163" s="28">
        <f t="shared" si="334"/>
        <v>0</v>
      </c>
      <c r="F163" s="28">
        <f t="shared" si="334"/>
        <v>0</v>
      </c>
      <c r="G163" s="28">
        <f>70.7</f>
        <v>70.7</v>
      </c>
      <c r="H163" s="28">
        <f t="shared" ref="H163:K163" si="335">0</f>
        <v>0</v>
      </c>
      <c r="I163" s="28">
        <f t="shared" si="335"/>
        <v>0</v>
      </c>
      <c r="J163" s="28">
        <f t="shared" si="335"/>
        <v>0</v>
      </c>
      <c r="K163" s="28">
        <f t="shared" si="335"/>
        <v>0</v>
      </c>
      <c r="L163" s="28">
        <f>20.2</f>
        <v>20.2</v>
      </c>
      <c r="M163" s="28">
        <f t="shared" ref="M163:N163" si="336">0</f>
        <v>0</v>
      </c>
      <c r="N163" s="28">
        <f t="shared" si="336"/>
        <v>0</v>
      </c>
      <c r="O163" s="28">
        <f>10.1</f>
        <v>10.1</v>
      </c>
    </row>
    <row r="164">
      <c r="B164" s="20">
        <v>46256.0</v>
      </c>
      <c r="C164" s="28">
        <f t="shared" ref="C164:F164" si="337">0</f>
        <v>0</v>
      </c>
      <c r="D164" s="28">
        <f t="shared" si="337"/>
        <v>0</v>
      </c>
      <c r="E164" s="28">
        <f t="shared" si="337"/>
        <v>0</v>
      </c>
      <c r="F164" s="28">
        <f t="shared" si="337"/>
        <v>0</v>
      </c>
      <c r="G164" s="28">
        <f>26.4</f>
        <v>26.4</v>
      </c>
      <c r="H164" s="28">
        <f t="shared" ref="H164:K164" si="338">0</f>
        <v>0</v>
      </c>
      <c r="I164" s="28">
        <f t="shared" si="338"/>
        <v>0</v>
      </c>
      <c r="J164" s="28">
        <f t="shared" si="338"/>
        <v>0</v>
      </c>
      <c r="K164" s="28">
        <f t="shared" si="338"/>
        <v>0</v>
      </c>
      <c r="L164" s="28">
        <f>52.8</f>
        <v>52.8</v>
      </c>
      <c r="M164" s="28">
        <f>26.4</f>
        <v>26.4</v>
      </c>
      <c r="N164" s="28">
        <f t="shared" ref="N164:N165" si="341">0</f>
        <v>0</v>
      </c>
      <c r="O164" s="28">
        <f>26.4</f>
        <v>26.4</v>
      </c>
    </row>
    <row r="165">
      <c r="B165" s="20">
        <v>46256.0</v>
      </c>
      <c r="C165" s="28">
        <f t="shared" ref="C165:F165" si="339">0</f>
        <v>0</v>
      </c>
      <c r="D165" s="28">
        <f t="shared" si="339"/>
        <v>0</v>
      </c>
      <c r="E165" s="28">
        <f t="shared" si="339"/>
        <v>0</v>
      </c>
      <c r="F165" s="28">
        <f t="shared" si="339"/>
        <v>0</v>
      </c>
      <c r="G165" s="28">
        <f>55.8</f>
        <v>55.8</v>
      </c>
      <c r="H165" s="28">
        <f t="shared" ref="H165:K165" si="340">0</f>
        <v>0</v>
      </c>
      <c r="I165" s="28">
        <f t="shared" si="340"/>
        <v>0</v>
      </c>
      <c r="J165" s="28">
        <f t="shared" si="340"/>
        <v>0</v>
      </c>
      <c r="K165" s="28">
        <f t="shared" si="340"/>
        <v>0</v>
      </c>
      <c r="L165" s="28">
        <f>74.4</f>
        <v>74.4</v>
      </c>
      <c r="M165" s="28">
        <f>55.8</f>
        <v>55.8</v>
      </c>
      <c r="N165" s="28">
        <f t="shared" si="341"/>
        <v>0</v>
      </c>
      <c r="O165" s="28">
        <f>0</f>
        <v>0</v>
      </c>
    </row>
    <row r="166">
      <c r="B166" s="20">
        <v>46257.0</v>
      </c>
      <c r="C166" s="28">
        <f>8.8</f>
        <v>8.8</v>
      </c>
      <c r="D166" s="28">
        <f t="shared" ref="D166:F166" si="342">0</f>
        <v>0</v>
      </c>
      <c r="E166" s="28">
        <f t="shared" si="342"/>
        <v>0</v>
      </c>
      <c r="F166" s="28">
        <f t="shared" si="342"/>
        <v>0</v>
      </c>
      <c r="G166" s="28">
        <f>140.8</f>
        <v>140.8</v>
      </c>
      <c r="H166" s="28">
        <f t="shared" ref="H166:K166" si="343">0</f>
        <v>0</v>
      </c>
      <c r="I166" s="28">
        <f t="shared" si="343"/>
        <v>0</v>
      </c>
      <c r="J166" s="28">
        <f t="shared" si="343"/>
        <v>0</v>
      </c>
      <c r="K166" s="28">
        <f t="shared" si="343"/>
        <v>0</v>
      </c>
      <c r="L166" s="28">
        <f>26.4</f>
        <v>26.4</v>
      </c>
      <c r="M166" s="28">
        <f t="shared" ref="M166:O166" si="344">0</f>
        <v>0</v>
      </c>
      <c r="N166" s="28">
        <f t="shared" si="344"/>
        <v>0</v>
      </c>
      <c r="O166" s="28">
        <f t="shared" si="344"/>
        <v>0</v>
      </c>
    </row>
    <row r="167">
      <c r="B167" s="20">
        <v>46257.0</v>
      </c>
      <c r="C167" s="28">
        <f t="shared" ref="C167:F167" si="345">0</f>
        <v>0</v>
      </c>
      <c r="D167" s="28">
        <f t="shared" si="345"/>
        <v>0</v>
      </c>
      <c r="E167" s="28">
        <f t="shared" si="345"/>
        <v>0</v>
      </c>
      <c r="F167" s="28">
        <f t="shared" si="345"/>
        <v>0</v>
      </c>
      <c r="G167" s="28">
        <f>41</f>
        <v>41</v>
      </c>
      <c r="H167" s="28">
        <f t="shared" ref="H167:K167" si="346">0</f>
        <v>0</v>
      </c>
      <c r="I167" s="28">
        <f t="shared" si="346"/>
        <v>0</v>
      </c>
      <c r="J167" s="28">
        <f t="shared" si="346"/>
        <v>0</v>
      </c>
      <c r="K167" s="28">
        <f t="shared" si="346"/>
        <v>0</v>
      </c>
      <c r="L167" s="28">
        <f>123</f>
        <v>123</v>
      </c>
      <c r="M167" s="28">
        <f>20.5</f>
        <v>20.5</v>
      </c>
      <c r="N167" s="28">
        <f>0</f>
        <v>0</v>
      </c>
      <c r="O167" s="28">
        <f>20.5</f>
        <v>20.5</v>
      </c>
    </row>
    <row r="168">
      <c r="B168" s="20">
        <v>46257.0</v>
      </c>
      <c r="C168" s="28">
        <f>34.8</f>
        <v>34.8</v>
      </c>
      <c r="D168" s="28">
        <f t="shared" ref="D168:F168" si="347">0</f>
        <v>0</v>
      </c>
      <c r="E168" s="28">
        <f t="shared" si="347"/>
        <v>0</v>
      </c>
      <c r="F168" s="28">
        <f t="shared" si="347"/>
        <v>0</v>
      </c>
      <c r="G168" s="28">
        <f>52.2</f>
        <v>52.2</v>
      </c>
      <c r="H168" s="28">
        <f t="shared" ref="H168:H170" si="351">0</f>
        <v>0</v>
      </c>
      <c r="I168" s="28">
        <f>17.4</f>
        <v>17.4</v>
      </c>
      <c r="J168" s="28">
        <f t="shared" ref="J168:K168" si="348">0</f>
        <v>0</v>
      </c>
      <c r="K168" s="28">
        <f t="shared" si="348"/>
        <v>0</v>
      </c>
      <c r="L168" s="28">
        <f>34.8</f>
        <v>34.8</v>
      </c>
      <c r="M168" s="28">
        <f t="shared" ref="M168:N168" si="349">17.4</f>
        <v>17.4</v>
      </c>
      <c r="N168" s="28">
        <f t="shared" si="349"/>
        <v>17.4</v>
      </c>
      <c r="O168" s="28">
        <f>0</f>
        <v>0</v>
      </c>
    </row>
    <row r="169">
      <c r="B169" s="20">
        <v>46258.0</v>
      </c>
      <c r="C169" s="28">
        <f t="shared" ref="C169:F169" si="350">0</f>
        <v>0</v>
      </c>
      <c r="D169" s="28">
        <f t="shared" si="350"/>
        <v>0</v>
      </c>
      <c r="E169" s="28">
        <f t="shared" si="350"/>
        <v>0</v>
      </c>
      <c r="F169" s="28">
        <f t="shared" si="350"/>
        <v>0</v>
      </c>
      <c r="G169" s="28">
        <f>19</f>
        <v>19</v>
      </c>
      <c r="H169" s="28">
        <f t="shared" si="351"/>
        <v>0</v>
      </c>
      <c r="I169" s="28">
        <f t="shared" ref="I169:K169" si="352">0</f>
        <v>0</v>
      </c>
      <c r="J169" s="28">
        <f t="shared" si="352"/>
        <v>0</v>
      </c>
      <c r="K169" s="28">
        <f t="shared" si="352"/>
        <v>0</v>
      </c>
      <c r="L169" s="28">
        <f>19</f>
        <v>19</v>
      </c>
      <c r="M169" s="28">
        <f>152</f>
        <v>152</v>
      </c>
      <c r="N169" s="28">
        <f t="shared" ref="N169:O169" si="353">0</f>
        <v>0</v>
      </c>
      <c r="O169" s="28">
        <f t="shared" si="353"/>
        <v>0</v>
      </c>
    </row>
    <row r="170">
      <c r="B170" s="20">
        <v>46258.0</v>
      </c>
      <c r="C170" s="28">
        <f t="shared" ref="C170:F170" si="354">0</f>
        <v>0</v>
      </c>
      <c r="D170" s="28">
        <f t="shared" si="354"/>
        <v>0</v>
      </c>
      <c r="E170" s="28">
        <f t="shared" si="354"/>
        <v>0</v>
      </c>
      <c r="F170" s="28">
        <f t="shared" si="354"/>
        <v>0</v>
      </c>
      <c r="G170" s="28">
        <f>112.5</f>
        <v>112.5</v>
      </c>
      <c r="H170" s="28">
        <f t="shared" si="351"/>
        <v>0</v>
      </c>
      <c r="I170" s="28">
        <f t="shared" ref="I170:K170" si="355">0</f>
        <v>0</v>
      </c>
      <c r="J170" s="28">
        <f t="shared" si="355"/>
        <v>0</v>
      </c>
      <c r="K170" s="28">
        <f t="shared" si="355"/>
        <v>0</v>
      </c>
      <c r="L170" s="28">
        <f>112.5</f>
        <v>112.5</v>
      </c>
      <c r="M170" s="28">
        <f t="shared" ref="M170:O170" si="356">0</f>
        <v>0</v>
      </c>
      <c r="N170" s="28">
        <f t="shared" si="356"/>
        <v>0</v>
      </c>
      <c r="O170" s="28">
        <f t="shared" si="356"/>
        <v>0</v>
      </c>
    </row>
    <row r="171">
      <c r="B171" s="20">
        <v>46259.0</v>
      </c>
      <c r="C171" s="28">
        <f t="shared" ref="C171:K171" si="357">0</f>
        <v>0</v>
      </c>
      <c r="D171" s="28">
        <f t="shared" si="357"/>
        <v>0</v>
      </c>
      <c r="E171" s="28">
        <f t="shared" si="357"/>
        <v>0</v>
      </c>
      <c r="F171" s="28">
        <f t="shared" si="357"/>
        <v>0</v>
      </c>
      <c r="G171" s="28">
        <f t="shared" si="357"/>
        <v>0</v>
      </c>
      <c r="H171" s="28">
        <f t="shared" si="357"/>
        <v>0</v>
      </c>
      <c r="I171" s="28">
        <f t="shared" si="357"/>
        <v>0</v>
      </c>
      <c r="J171" s="28">
        <f t="shared" si="357"/>
        <v>0</v>
      </c>
      <c r="K171" s="28">
        <f t="shared" si="357"/>
        <v>0</v>
      </c>
      <c r="L171" s="28">
        <f>126</f>
        <v>126</v>
      </c>
      <c r="M171" s="28">
        <f t="shared" ref="M171:N171" si="358">0</f>
        <v>0</v>
      </c>
      <c r="N171" s="28">
        <f t="shared" si="358"/>
        <v>0</v>
      </c>
      <c r="O171" s="28">
        <f>14</f>
        <v>14</v>
      </c>
    </row>
    <row r="172">
      <c r="B172" s="20">
        <v>46259.0</v>
      </c>
      <c r="C172" s="28">
        <f t="shared" ref="C172:K172" si="359">0</f>
        <v>0</v>
      </c>
      <c r="D172" s="28">
        <f t="shared" si="359"/>
        <v>0</v>
      </c>
      <c r="E172" s="28">
        <f t="shared" si="359"/>
        <v>0</v>
      </c>
      <c r="F172" s="28">
        <f t="shared" si="359"/>
        <v>0</v>
      </c>
      <c r="G172" s="28">
        <f t="shared" si="359"/>
        <v>0</v>
      </c>
      <c r="H172" s="28">
        <f t="shared" si="359"/>
        <v>0</v>
      </c>
      <c r="I172" s="28">
        <f t="shared" si="359"/>
        <v>0</v>
      </c>
      <c r="J172" s="28">
        <f t="shared" si="359"/>
        <v>0</v>
      </c>
      <c r="K172" s="28">
        <f t="shared" si="359"/>
        <v>0</v>
      </c>
      <c r="L172" s="28">
        <f>139.5</f>
        <v>139.5</v>
      </c>
      <c r="M172" s="28">
        <f t="shared" ref="M172:N172" si="360">0</f>
        <v>0</v>
      </c>
      <c r="N172" s="28">
        <f t="shared" si="360"/>
        <v>0</v>
      </c>
      <c r="O172" s="28">
        <f>15.5</f>
        <v>15.5</v>
      </c>
    </row>
    <row r="173">
      <c r="B173" s="20">
        <v>46259.0</v>
      </c>
      <c r="C173" s="28">
        <f t="shared" ref="C173:F173" si="361">0</f>
        <v>0</v>
      </c>
      <c r="D173" s="28">
        <f t="shared" si="361"/>
        <v>0</v>
      </c>
      <c r="E173" s="28">
        <f t="shared" si="361"/>
        <v>0</v>
      </c>
      <c r="F173" s="28">
        <f t="shared" si="361"/>
        <v>0</v>
      </c>
      <c r="G173" s="28">
        <f>17</f>
        <v>17</v>
      </c>
      <c r="H173" s="28">
        <f t="shared" ref="H173:K173" si="362">0</f>
        <v>0</v>
      </c>
      <c r="I173" s="28">
        <f t="shared" si="362"/>
        <v>0</v>
      </c>
      <c r="J173" s="28">
        <f t="shared" si="362"/>
        <v>0</v>
      </c>
      <c r="K173" s="28">
        <f t="shared" si="362"/>
        <v>0</v>
      </c>
      <c r="L173" s="28">
        <f>119</f>
        <v>119</v>
      </c>
      <c r="M173" s="28">
        <f>34</f>
        <v>34</v>
      </c>
      <c r="N173" s="28">
        <f t="shared" ref="N173:O173" si="363">0</f>
        <v>0</v>
      </c>
      <c r="O173" s="28">
        <f t="shared" si="363"/>
        <v>0</v>
      </c>
    </row>
    <row r="174">
      <c r="B174" s="20">
        <v>46260.0</v>
      </c>
      <c r="C174" s="28">
        <f t="shared" ref="C174:F174" si="364">0</f>
        <v>0</v>
      </c>
      <c r="D174" s="28">
        <f t="shared" si="364"/>
        <v>0</v>
      </c>
      <c r="E174" s="28">
        <f t="shared" si="364"/>
        <v>0</v>
      </c>
      <c r="F174" s="28">
        <f t="shared" si="364"/>
        <v>0</v>
      </c>
      <c r="G174" s="28">
        <f>48</f>
        <v>48</v>
      </c>
      <c r="H174" s="28">
        <f t="shared" ref="H174:K174" si="365">0</f>
        <v>0</v>
      </c>
      <c r="I174" s="28">
        <f t="shared" si="365"/>
        <v>0</v>
      </c>
      <c r="J174" s="28">
        <f t="shared" si="365"/>
        <v>0</v>
      </c>
      <c r="K174" s="28">
        <f t="shared" si="365"/>
        <v>0</v>
      </c>
      <c r="L174" s="28">
        <f>120</f>
        <v>120</v>
      </c>
      <c r="M174" s="28">
        <f>24</f>
        <v>24</v>
      </c>
      <c r="N174" s="28">
        <f t="shared" ref="N174:N175" si="368">0</f>
        <v>0</v>
      </c>
      <c r="O174" s="28">
        <f>48</f>
        <v>48</v>
      </c>
    </row>
    <row r="175">
      <c r="B175" s="20">
        <v>46260.0</v>
      </c>
      <c r="C175" s="28">
        <f>57.6</f>
        <v>57.6</v>
      </c>
      <c r="D175" s="28">
        <f t="shared" ref="D175:F175" si="366">0</f>
        <v>0</v>
      </c>
      <c r="E175" s="28">
        <f t="shared" si="366"/>
        <v>0</v>
      </c>
      <c r="F175" s="28">
        <f t="shared" si="366"/>
        <v>0</v>
      </c>
      <c r="G175" s="28">
        <f>57.6</f>
        <v>57.6</v>
      </c>
      <c r="H175" s="28">
        <f t="shared" ref="H175:K175" si="367">0</f>
        <v>0</v>
      </c>
      <c r="I175" s="28">
        <f t="shared" si="367"/>
        <v>0</v>
      </c>
      <c r="J175" s="28">
        <f t="shared" si="367"/>
        <v>0</v>
      </c>
      <c r="K175" s="28">
        <f t="shared" si="367"/>
        <v>0</v>
      </c>
      <c r="L175" s="28">
        <f>57.6</f>
        <v>57.6</v>
      </c>
      <c r="M175" s="28">
        <f>19.2</f>
        <v>19.2</v>
      </c>
      <c r="N175" s="28">
        <f t="shared" si="368"/>
        <v>0</v>
      </c>
      <c r="O175" s="28">
        <f>0</f>
        <v>0</v>
      </c>
    </row>
    <row r="176">
      <c r="B176" s="20">
        <v>46261.0</v>
      </c>
      <c r="C176" s="28">
        <f t="shared" ref="C176:F176" si="369">0</f>
        <v>0</v>
      </c>
      <c r="D176" s="28">
        <f t="shared" si="369"/>
        <v>0</v>
      </c>
      <c r="E176" s="28">
        <f t="shared" si="369"/>
        <v>0</v>
      </c>
      <c r="F176" s="28">
        <f t="shared" si="369"/>
        <v>0</v>
      </c>
      <c r="G176" s="28">
        <f>52.8</f>
        <v>52.8</v>
      </c>
      <c r="H176" s="28">
        <f t="shared" ref="H176:K176" si="370">0</f>
        <v>0</v>
      </c>
      <c r="I176" s="28">
        <f t="shared" si="370"/>
        <v>0</v>
      </c>
      <c r="J176" s="28">
        <f t="shared" si="370"/>
        <v>0</v>
      </c>
      <c r="K176" s="28">
        <f t="shared" si="370"/>
        <v>0</v>
      </c>
      <c r="L176" s="28">
        <f>35.2</f>
        <v>35.2</v>
      </c>
      <c r="M176" s="28">
        <f t="shared" ref="M176:N176" si="371">0</f>
        <v>0</v>
      </c>
      <c r="N176" s="28">
        <f t="shared" si="371"/>
        <v>0</v>
      </c>
      <c r="O176" s="28">
        <f>88</f>
        <v>88</v>
      </c>
    </row>
    <row r="177">
      <c r="B177" s="20">
        <v>46262.0</v>
      </c>
      <c r="C177" s="28">
        <f>14.1</f>
        <v>14.1</v>
      </c>
      <c r="D177" s="28">
        <f t="shared" ref="D177:F177" si="372">0</f>
        <v>0</v>
      </c>
      <c r="E177" s="28">
        <f t="shared" si="372"/>
        <v>0</v>
      </c>
      <c r="F177" s="28">
        <f t="shared" si="372"/>
        <v>0</v>
      </c>
      <c r="G177" s="28">
        <f>42.3</f>
        <v>42.3</v>
      </c>
      <c r="H177" s="28">
        <f t="shared" ref="H177:H182" si="376">0</f>
        <v>0</v>
      </c>
      <c r="I177" s="28">
        <f>14.1</f>
        <v>14.1</v>
      </c>
      <c r="J177" s="28">
        <f t="shared" ref="J177:K177" si="373">0</f>
        <v>0</v>
      </c>
      <c r="K177" s="28">
        <f t="shared" si="373"/>
        <v>0</v>
      </c>
      <c r="L177" s="28">
        <f>28.2</f>
        <v>28.2</v>
      </c>
      <c r="M177" s="28">
        <f t="shared" ref="M177:O177" si="374">14.1</f>
        <v>14.1</v>
      </c>
      <c r="N177" s="28">
        <f t="shared" si="374"/>
        <v>14.1</v>
      </c>
      <c r="O177" s="28">
        <f t="shared" si="374"/>
        <v>14.1</v>
      </c>
    </row>
    <row r="178">
      <c r="B178" s="20">
        <v>46262.0</v>
      </c>
      <c r="C178" s="28">
        <f t="shared" ref="C178:F178" si="375">0</f>
        <v>0</v>
      </c>
      <c r="D178" s="28">
        <f t="shared" si="375"/>
        <v>0</v>
      </c>
      <c r="E178" s="28">
        <f t="shared" si="375"/>
        <v>0</v>
      </c>
      <c r="F178" s="28">
        <f t="shared" si="375"/>
        <v>0</v>
      </c>
      <c r="G178" s="28">
        <f>55.2</f>
        <v>55.2</v>
      </c>
      <c r="H178" s="28">
        <f t="shared" si="376"/>
        <v>0</v>
      </c>
      <c r="I178" s="28">
        <f t="shared" ref="I178:K178" si="377">0</f>
        <v>0</v>
      </c>
      <c r="J178" s="28">
        <f t="shared" si="377"/>
        <v>0</v>
      </c>
      <c r="K178" s="28">
        <f t="shared" si="377"/>
        <v>0</v>
      </c>
      <c r="L178" s="28">
        <f>13.8</f>
        <v>13.8</v>
      </c>
      <c r="M178" s="28">
        <f>27.6</f>
        <v>27.6</v>
      </c>
      <c r="N178" s="28">
        <f>13.8</f>
        <v>13.8</v>
      </c>
      <c r="O178" s="28">
        <f>27.6</f>
        <v>27.6</v>
      </c>
    </row>
    <row r="179">
      <c r="B179" s="20">
        <v>46262.0</v>
      </c>
      <c r="C179" s="28">
        <f t="shared" ref="C179:D179" si="378">13.3</f>
        <v>13.3</v>
      </c>
      <c r="D179" s="28">
        <f t="shared" si="378"/>
        <v>13.3</v>
      </c>
      <c r="E179" s="28">
        <f t="shared" ref="E179:F179" si="379">0</f>
        <v>0</v>
      </c>
      <c r="F179" s="28">
        <f t="shared" si="379"/>
        <v>0</v>
      </c>
      <c r="G179" s="28">
        <f>26.6</f>
        <v>26.6</v>
      </c>
      <c r="H179" s="28">
        <f t="shared" si="376"/>
        <v>0</v>
      </c>
      <c r="I179" s="28">
        <f t="shared" ref="I179:K179" si="380">0</f>
        <v>0</v>
      </c>
      <c r="J179" s="28">
        <f t="shared" si="380"/>
        <v>0</v>
      </c>
      <c r="K179" s="28">
        <f t="shared" si="380"/>
        <v>0</v>
      </c>
      <c r="L179" s="28">
        <f>13.3</f>
        <v>13.3</v>
      </c>
      <c r="M179" s="28">
        <f>26.6</f>
        <v>26.6</v>
      </c>
      <c r="N179" s="28">
        <f>13.3</f>
        <v>13.3</v>
      </c>
      <c r="O179" s="28">
        <f>26.6</f>
        <v>26.6</v>
      </c>
    </row>
    <row r="180">
      <c r="B180" s="20">
        <v>46262.0</v>
      </c>
      <c r="C180" s="28">
        <f t="shared" ref="C180:F180" si="381">0</f>
        <v>0</v>
      </c>
      <c r="D180" s="28">
        <f t="shared" si="381"/>
        <v>0</v>
      </c>
      <c r="E180" s="28">
        <f t="shared" si="381"/>
        <v>0</v>
      </c>
      <c r="F180" s="28">
        <f t="shared" si="381"/>
        <v>0</v>
      </c>
      <c r="G180" s="28">
        <f>41.2</f>
        <v>41.2</v>
      </c>
      <c r="H180" s="28">
        <f t="shared" si="376"/>
        <v>0</v>
      </c>
      <c r="I180" s="28">
        <f t="shared" ref="I180:K180" si="382">0</f>
        <v>0</v>
      </c>
      <c r="J180" s="28">
        <f t="shared" si="382"/>
        <v>0</v>
      </c>
      <c r="K180" s="28">
        <f t="shared" si="382"/>
        <v>0</v>
      </c>
      <c r="L180" s="28">
        <f>82.4</f>
        <v>82.4</v>
      </c>
      <c r="M180" s="28">
        <f>20.6</f>
        <v>20.6</v>
      </c>
      <c r="N180" s="28">
        <f>0</f>
        <v>0</v>
      </c>
      <c r="O180" s="28">
        <f>61.8</f>
        <v>61.8</v>
      </c>
    </row>
    <row r="181">
      <c r="B181" s="20">
        <v>46262.0</v>
      </c>
      <c r="C181" s="28">
        <f>12.6</f>
        <v>12.6</v>
      </c>
      <c r="D181" s="28">
        <f t="shared" ref="D181:E181" si="383">0</f>
        <v>0</v>
      </c>
      <c r="E181" s="28">
        <f t="shared" si="383"/>
        <v>0</v>
      </c>
      <c r="F181" s="28">
        <f>12.6</f>
        <v>12.6</v>
      </c>
      <c r="G181" s="28">
        <f>25.2</f>
        <v>25.2</v>
      </c>
      <c r="H181" s="28">
        <f t="shared" si="376"/>
        <v>0</v>
      </c>
      <c r="I181" s="28">
        <f t="shared" ref="I181:K181" si="384">0</f>
        <v>0</v>
      </c>
      <c r="J181" s="28">
        <f t="shared" si="384"/>
        <v>0</v>
      </c>
      <c r="K181" s="28">
        <f t="shared" si="384"/>
        <v>0</v>
      </c>
      <c r="L181" s="28">
        <f>37.8</f>
        <v>37.8</v>
      </c>
      <c r="M181" s="28">
        <f t="shared" ref="M181:O181" si="385">12.6</f>
        <v>12.6</v>
      </c>
      <c r="N181" s="28">
        <f t="shared" si="385"/>
        <v>12.6</v>
      </c>
      <c r="O181" s="28">
        <f t="shared" si="385"/>
        <v>12.6</v>
      </c>
    </row>
    <row r="182">
      <c r="B182" s="20">
        <v>46262.0</v>
      </c>
      <c r="C182" s="28">
        <f t="shared" ref="C182:D182" si="386">9.5</f>
        <v>9.5</v>
      </c>
      <c r="D182" s="28">
        <f t="shared" si="386"/>
        <v>9.5</v>
      </c>
      <c r="E182" s="28">
        <f t="shared" ref="E182:F182" si="387">0</f>
        <v>0</v>
      </c>
      <c r="F182" s="28">
        <f t="shared" si="387"/>
        <v>0</v>
      </c>
      <c r="G182" s="28">
        <f>28.5</f>
        <v>28.5</v>
      </c>
      <c r="H182" s="28">
        <f t="shared" si="376"/>
        <v>0</v>
      </c>
      <c r="I182" s="28">
        <f t="shared" ref="I182:K182" si="388">0</f>
        <v>0</v>
      </c>
      <c r="J182" s="28">
        <f t="shared" si="388"/>
        <v>0</v>
      </c>
      <c r="K182" s="28">
        <f t="shared" si="388"/>
        <v>0</v>
      </c>
      <c r="L182" s="28">
        <f t="shared" ref="L182:N182" si="389">9.5</f>
        <v>9.5</v>
      </c>
      <c r="M182" s="28">
        <f t="shared" si="389"/>
        <v>9.5</v>
      </c>
      <c r="N182" s="28">
        <f t="shared" si="389"/>
        <v>9.5</v>
      </c>
      <c r="O182" s="28">
        <f>19</f>
        <v>19</v>
      </c>
    </row>
    <row r="183">
      <c r="B183" s="20">
        <v>46263.0</v>
      </c>
      <c r="C183" s="28">
        <f t="shared" ref="C183:N183" si="390">0</f>
        <v>0</v>
      </c>
      <c r="D183" s="28">
        <f t="shared" si="390"/>
        <v>0</v>
      </c>
      <c r="E183" s="28">
        <f t="shared" si="390"/>
        <v>0</v>
      </c>
      <c r="F183" s="28">
        <f t="shared" si="390"/>
        <v>0</v>
      </c>
      <c r="G183" s="28">
        <f t="shared" si="390"/>
        <v>0</v>
      </c>
      <c r="H183" s="28">
        <f t="shared" si="390"/>
        <v>0</v>
      </c>
      <c r="I183" s="28">
        <f t="shared" si="390"/>
        <v>0</v>
      </c>
      <c r="J183" s="28">
        <f t="shared" si="390"/>
        <v>0</v>
      </c>
      <c r="K183" s="28">
        <f t="shared" si="390"/>
        <v>0</v>
      </c>
      <c r="L183" s="28">
        <f t="shared" si="390"/>
        <v>0</v>
      </c>
      <c r="M183" s="28">
        <f t="shared" si="390"/>
        <v>0</v>
      </c>
      <c r="N183" s="28">
        <f t="shared" si="390"/>
        <v>0</v>
      </c>
      <c r="O183" s="28">
        <f>134</f>
        <v>134</v>
      </c>
    </row>
    <row r="184">
      <c r="B184" s="20">
        <v>46264.0</v>
      </c>
      <c r="C184" s="28">
        <f t="shared" ref="C184:F184" si="391">0</f>
        <v>0</v>
      </c>
      <c r="D184" s="28">
        <f t="shared" si="391"/>
        <v>0</v>
      </c>
      <c r="E184" s="28">
        <f t="shared" si="391"/>
        <v>0</v>
      </c>
      <c r="F184" s="28">
        <f t="shared" si="391"/>
        <v>0</v>
      </c>
      <c r="G184" s="28">
        <f>93.5</f>
        <v>93.5</v>
      </c>
      <c r="H184" s="28">
        <f t="shared" ref="H184:L184" si="392">0</f>
        <v>0</v>
      </c>
      <c r="I184" s="28">
        <f t="shared" si="392"/>
        <v>0</v>
      </c>
      <c r="J184" s="28">
        <f t="shared" si="392"/>
        <v>0</v>
      </c>
      <c r="K184" s="28">
        <f t="shared" si="392"/>
        <v>0</v>
      </c>
      <c r="L184" s="28">
        <f t="shared" si="392"/>
        <v>0</v>
      </c>
      <c r="M184" s="28">
        <f>46.75</f>
        <v>46.75</v>
      </c>
      <c r="N184" s="28">
        <f t="shared" ref="N184:N185" si="395">0</f>
        <v>0</v>
      </c>
      <c r="O184" s="28">
        <f>46.75</f>
        <v>46.75</v>
      </c>
    </row>
    <row r="185">
      <c r="B185" s="20">
        <v>46265.0</v>
      </c>
      <c r="C185" s="28">
        <f t="shared" ref="C185:F185" si="393">0</f>
        <v>0</v>
      </c>
      <c r="D185" s="28">
        <f t="shared" si="393"/>
        <v>0</v>
      </c>
      <c r="E185" s="28">
        <f t="shared" si="393"/>
        <v>0</v>
      </c>
      <c r="F185" s="28">
        <f t="shared" si="393"/>
        <v>0</v>
      </c>
      <c r="G185" s="28">
        <f>24.3</f>
        <v>24.3</v>
      </c>
      <c r="H185" s="28">
        <f t="shared" ref="H185:K185" si="394">0</f>
        <v>0</v>
      </c>
      <c r="I185" s="28">
        <f t="shared" si="394"/>
        <v>0</v>
      </c>
      <c r="J185" s="28">
        <f t="shared" si="394"/>
        <v>0</v>
      </c>
      <c r="K185" s="28">
        <f t="shared" si="394"/>
        <v>0</v>
      </c>
      <c r="L185" s="28">
        <f>56.7</f>
        <v>56.7</v>
      </c>
      <c r="M185" s="28">
        <f>40.5</f>
        <v>40.5</v>
      </c>
      <c r="N185" s="28">
        <f t="shared" si="395"/>
        <v>0</v>
      </c>
      <c r="O185" s="28">
        <f>40.5</f>
        <v>40.5</v>
      </c>
    </row>
    <row r="186">
      <c r="B186" s="20">
        <v>46265.0</v>
      </c>
      <c r="C186" s="28">
        <f t="shared" ref="C186:D186" si="396">15.1</f>
        <v>15.1</v>
      </c>
      <c r="D186" s="28">
        <f t="shared" si="396"/>
        <v>15.1</v>
      </c>
      <c r="E186" s="28">
        <f>0</f>
        <v>0</v>
      </c>
      <c r="F186" s="28">
        <f>15.1</f>
        <v>15.1</v>
      </c>
      <c r="G186" s="28">
        <f>75.5</f>
        <v>75.5</v>
      </c>
      <c r="H186" s="28">
        <f t="shared" ref="H186:N186" si="397">0</f>
        <v>0</v>
      </c>
      <c r="I186" s="28">
        <f t="shared" si="397"/>
        <v>0</v>
      </c>
      <c r="J186" s="28">
        <f t="shared" si="397"/>
        <v>0</v>
      </c>
      <c r="K186" s="28">
        <f t="shared" si="397"/>
        <v>0</v>
      </c>
      <c r="L186" s="28">
        <f t="shared" si="397"/>
        <v>0</v>
      </c>
      <c r="M186" s="28">
        <f t="shared" si="397"/>
        <v>0</v>
      </c>
      <c r="N186" s="28">
        <f t="shared" si="397"/>
        <v>0</v>
      </c>
      <c r="O186" s="28">
        <f>30.2</f>
        <v>30.2</v>
      </c>
    </row>
    <row r="187">
      <c r="B187" s="20">
        <v>46265.0</v>
      </c>
      <c r="C187" s="28">
        <f>10.6</f>
        <v>10.6</v>
      </c>
      <c r="D187" s="28">
        <f t="shared" ref="D187:F187" si="398">0</f>
        <v>0</v>
      </c>
      <c r="E187" s="28">
        <f t="shared" si="398"/>
        <v>0</v>
      </c>
      <c r="F187" s="28">
        <f t="shared" si="398"/>
        <v>0</v>
      </c>
      <c r="G187" s="28">
        <f>37.1</f>
        <v>37.1</v>
      </c>
      <c r="H187" s="28">
        <f t="shared" ref="H187:H189" si="401">0</f>
        <v>0</v>
      </c>
      <c r="I187" s="28">
        <f>5.3</f>
        <v>5.3</v>
      </c>
      <c r="J187" s="28">
        <f t="shared" ref="J187:K187" si="399">0</f>
        <v>0</v>
      </c>
      <c r="K187" s="28">
        <f t="shared" si="399"/>
        <v>0</v>
      </c>
      <c r="L187" s="28">
        <f>26.5</f>
        <v>26.5</v>
      </c>
      <c r="M187" s="28">
        <f>15.9</f>
        <v>15.9</v>
      </c>
      <c r="N187" s="28">
        <f>0</f>
        <v>0</v>
      </c>
      <c r="O187" s="28">
        <f>10.6</f>
        <v>10.6</v>
      </c>
    </row>
    <row r="188">
      <c r="B188" s="20">
        <v>46265.0</v>
      </c>
      <c r="C188" s="28">
        <f>16.8</f>
        <v>16.8</v>
      </c>
      <c r="D188" s="28">
        <f t="shared" ref="D188:F188" si="400">0</f>
        <v>0</v>
      </c>
      <c r="E188" s="28">
        <f t="shared" si="400"/>
        <v>0</v>
      </c>
      <c r="F188" s="28">
        <f t="shared" si="400"/>
        <v>0</v>
      </c>
      <c r="G188" s="28">
        <f>50.4</f>
        <v>50.4</v>
      </c>
      <c r="H188" s="28">
        <f t="shared" si="401"/>
        <v>0</v>
      </c>
      <c r="I188" s="28">
        <f t="shared" ref="I188:K188" si="402">0</f>
        <v>0</v>
      </c>
      <c r="J188" s="28">
        <f t="shared" si="402"/>
        <v>0</v>
      </c>
      <c r="K188" s="28">
        <f t="shared" si="402"/>
        <v>0</v>
      </c>
      <c r="L188" s="28">
        <f>33.6</f>
        <v>33.6</v>
      </c>
      <c r="M188" s="28">
        <f>50.4</f>
        <v>50.4</v>
      </c>
      <c r="N188" s="28">
        <f>16.8</f>
        <v>16.8</v>
      </c>
      <c r="O188" s="28">
        <f>0</f>
        <v>0</v>
      </c>
    </row>
    <row r="189">
      <c r="B189" s="20">
        <v>46266.0</v>
      </c>
      <c r="C189" s="28">
        <f t="shared" ref="C189:F189" si="403">0</f>
        <v>0</v>
      </c>
      <c r="D189" s="28">
        <f t="shared" si="403"/>
        <v>0</v>
      </c>
      <c r="E189" s="28">
        <f t="shared" si="403"/>
        <v>0</v>
      </c>
      <c r="F189" s="28">
        <f t="shared" si="403"/>
        <v>0</v>
      </c>
      <c r="G189" s="28">
        <f>34.4</f>
        <v>34.4</v>
      </c>
      <c r="H189" s="28">
        <f t="shared" si="401"/>
        <v>0</v>
      </c>
      <c r="I189" s="28">
        <f t="shared" ref="I189:K189" si="404">0</f>
        <v>0</v>
      </c>
      <c r="J189" s="28">
        <f t="shared" si="404"/>
        <v>0</v>
      </c>
      <c r="K189" s="28">
        <f t="shared" si="404"/>
        <v>0</v>
      </c>
      <c r="L189" s="28">
        <f>86</f>
        <v>86</v>
      </c>
      <c r="M189" s="28">
        <f>34.4</f>
        <v>34.4</v>
      </c>
      <c r="N189" s="28">
        <f>0</f>
        <v>0</v>
      </c>
      <c r="O189" s="28">
        <f>17.2</f>
        <v>17.2</v>
      </c>
    </row>
    <row r="190">
      <c r="B190" s="20">
        <v>46266.0</v>
      </c>
      <c r="C190" s="28">
        <f t="shared" ref="C190:K190" si="405">0</f>
        <v>0</v>
      </c>
      <c r="D190" s="28">
        <f t="shared" si="405"/>
        <v>0</v>
      </c>
      <c r="E190" s="28">
        <f t="shared" si="405"/>
        <v>0</v>
      </c>
      <c r="F190" s="28">
        <f t="shared" si="405"/>
        <v>0</v>
      </c>
      <c r="G190" s="28">
        <f t="shared" si="405"/>
        <v>0</v>
      </c>
      <c r="H190" s="28">
        <f t="shared" si="405"/>
        <v>0</v>
      </c>
      <c r="I190" s="28">
        <f t="shared" si="405"/>
        <v>0</v>
      </c>
      <c r="J190" s="28">
        <f t="shared" si="405"/>
        <v>0</v>
      </c>
      <c r="K190" s="28">
        <f t="shared" si="405"/>
        <v>0</v>
      </c>
      <c r="L190" s="28">
        <f>62.8</f>
        <v>62.8</v>
      </c>
      <c r="M190" s="28">
        <f t="shared" ref="M190:N190" si="406">0</f>
        <v>0</v>
      </c>
      <c r="N190" s="28">
        <f t="shared" si="406"/>
        <v>0</v>
      </c>
      <c r="O190" s="28">
        <f>94.2</f>
        <v>94.2</v>
      </c>
    </row>
    <row r="191">
      <c r="B191" s="20">
        <v>46266.0</v>
      </c>
      <c r="C191" s="28">
        <f t="shared" ref="C191:F191" si="407">0</f>
        <v>0</v>
      </c>
      <c r="D191" s="28">
        <f t="shared" si="407"/>
        <v>0</v>
      </c>
      <c r="E191" s="28">
        <f t="shared" si="407"/>
        <v>0</v>
      </c>
      <c r="F191" s="28">
        <f t="shared" si="407"/>
        <v>0</v>
      </c>
      <c r="G191" s="28">
        <f>80.4</f>
        <v>80.4</v>
      </c>
      <c r="H191" s="28">
        <f t="shared" ref="H191:L191" si="408">0</f>
        <v>0</v>
      </c>
      <c r="I191" s="28">
        <f t="shared" si="408"/>
        <v>0</v>
      </c>
      <c r="J191" s="28">
        <f t="shared" si="408"/>
        <v>0</v>
      </c>
      <c r="K191" s="28">
        <f t="shared" si="408"/>
        <v>0</v>
      </c>
      <c r="L191" s="28">
        <f t="shared" si="408"/>
        <v>0</v>
      </c>
      <c r="M191" s="28">
        <f>40.2</f>
        <v>40.2</v>
      </c>
      <c r="N191" s="28">
        <f>0</f>
        <v>0</v>
      </c>
      <c r="O191" s="28">
        <f>13.4</f>
        <v>13.4</v>
      </c>
    </row>
    <row r="192">
      <c r="B192" s="20">
        <v>46267.0</v>
      </c>
      <c r="C192" s="21">
        <v>0.0</v>
      </c>
      <c r="D192" s="21">
        <v>0.0</v>
      </c>
      <c r="E192" s="21">
        <v>0.0</v>
      </c>
      <c r="F192" s="21">
        <v>0.0</v>
      </c>
      <c r="G192" s="21">
        <v>0.0</v>
      </c>
      <c r="H192" s="21">
        <v>0.0</v>
      </c>
      <c r="I192" s="21">
        <v>0.0</v>
      </c>
      <c r="J192" s="21">
        <v>0.0</v>
      </c>
      <c r="K192" s="21">
        <v>0.0</v>
      </c>
      <c r="L192" s="21">
        <v>0.0</v>
      </c>
      <c r="M192" s="21">
        <v>0.0</v>
      </c>
      <c r="N192" s="21">
        <v>0.0</v>
      </c>
      <c r="O192" s="28">
        <f>141</f>
        <v>141</v>
      </c>
    </row>
    <row r="193">
      <c r="B193" s="20">
        <v>46267.0</v>
      </c>
      <c r="C193" s="28">
        <f t="shared" ref="C193:F193" si="409">0</f>
        <v>0</v>
      </c>
      <c r="D193" s="28">
        <f t="shared" si="409"/>
        <v>0</v>
      </c>
      <c r="E193" s="28">
        <f t="shared" si="409"/>
        <v>0</v>
      </c>
      <c r="F193" s="28">
        <f t="shared" si="409"/>
        <v>0</v>
      </c>
      <c r="G193" s="28">
        <f>61.5</f>
        <v>61.5</v>
      </c>
      <c r="H193" s="28">
        <f t="shared" ref="H193:N193" si="410">0</f>
        <v>0</v>
      </c>
      <c r="I193" s="28">
        <f t="shared" si="410"/>
        <v>0</v>
      </c>
      <c r="J193" s="28">
        <f t="shared" si="410"/>
        <v>0</v>
      </c>
      <c r="K193" s="28">
        <f t="shared" si="410"/>
        <v>0</v>
      </c>
      <c r="L193" s="28">
        <f t="shared" si="410"/>
        <v>0</v>
      </c>
      <c r="M193" s="28">
        <f t="shared" si="410"/>
        <v>0</v>
      </c>
      <c r="N193" s="28">
        <f t="shared" si="410"/>
        <v>0</v>
      </c>
      <c r="O193" s="28">
        <f>61.5</f>
        <v>61.5</v>
      </c>
    </row>
    <row r="194">
      <c r="B194" s="20">
        <v>46268.0</v>
      </c>
      <c r="C194" s="28">
        <f t="shared" ref="C194:F194" si="411">0</f>
        <v>0</v>
      </c>
      <c r="D194" s="28">
        <f t="shared" si="411"/>
        <v>0</v>
      </c>
      <c r="E194" s="28">
        <f t="shared" si="411"/>
        <v>0</v>
      </c>
      <c r="F194" s="28">
        <f t="shared" si="411"/>
        <v>0</v>
      </c>
      <c r="G194" s="28">
        <f>57.5</f>
        <v>57.5</v>
      </c>
      <c r="H194" s="28">
        <f t="shared" ref="H194:L194" si="412">0</f>
        <v>0</v>
      </c>
      <c r="I194" s="28">
        <f t="shared" si="412"/>
        <v>0</v>
      </c>
      <c r="J194" s="28">
        <f t="shared" si="412"/>
        <v>0</v>
      </c>
      <c r="K194" s="28">
        <f t="shared" si="412"/>
        <v>0</v>
      </c>
      <c r="L194" s="28">
        <f t="shared" si="412"/>
        <v>0</v>
      </c>
      <c r="M194" s="28">
        <f>34.5</f>
        <v>34.5</v>
      </c>
      <c r="N194" s="28">
        <f>0</f>
        <v>0</v>
      </c>
      <c r="O194" s="28">
        <f>23</f>
        <v>23</v>
      </c>
    </row>
    <row r="195">
      <c r="B195" s="20">
        <v>46268.0</v>
      </c>
      <c r="C195" s="21">
        <v>0.0</v>
      </c>
      <c r="D195" s="21">
        <v>0.0</v>
      </c>
      <c r="E195" s="21">
        <v>0.0</v>
      </c>
      <c r="F195" s="21">
        <v>0.0</v>
      </c>
      <c r="G195" s="21">
        <v>0.0</v>
      </c>
      <c r="H195" s="21">
        <v>0.0</v>
      </c>
      <c r="I195" s="21">
        <v>0.0</v>
      </c>
      <c r="J195" s="21">
        <v>0.0</v>
      </c>
      <c r="K195" s="21">
        <v>0.0</v>
      </c>
      <c r="L195" s="21">
        <v>0.0</v>
      </c>
      <c r="M195" s="21">
        <v>0.0</v>
      </c>
      <c r="N195" s="21">
        <v>0.0</v>
      </c>
      <c r="O195" s="28">
        <f>260</f>
        <v>260</v>
      </c>
    </row>
    <row r="196">
      <c r="B196" s="20">
        <v>46268.0</v>
      </c>
      <c r="C196" s="28">
        <f t="shared" ref="C196:E196" si="413">0</f>
        <v>0</v>
      </c>
      <c r="D196" s="28">
        <f t="shared" si="413"/>
        <v>0</v>
      </c>
      <c r="E196" s="28">
        <f t="shared" si="413"/>
        <v>0</v>
      </c>
      <c r="F196" s="28">
        <f>20.8</f>
        <v>20.8</v>
      </c>
      <c r="G196" s="28">
        <f>31.2</f>
        <v>31.2</v>
      </c>
      <c r="H196" s="28">
        <f t="shared" ref="H196:K196" si="414">0</f>
        <v>0</v>
      </c>
      <c r="I196" s="28">
        <f t="shared" si="414"/>
        <v>0</v>
      </c>
      <c r="J196" s="28">
        <f t="shared" si="414"/>
        <v>0</v>
      </c>
      <c r="K196" s="28">
        <f t="shared" si="414"/>
        <v>0</v>
      </c>
      <c r="L196" s="28">
        <f>31.2</f>
        <v>31.2</v>
      </c>
      <c r="M196" s="28">
        <f>0</f>
        <v>0</v>
      </c>
      <c r="N196" s="28">
        <f t="shared" ref="N196:O196" si="415">10.4</f>
        <v>10.4</v>
      </c>
      <c r="O196" s="28">
        <f t="shared" si="415"/>
        <v>10.4</v>
      </c>
    </row>
    <row r="197">
      <c r="B197" s="20">
        <v>46268.0</v>
      </c>
      <c r="C197" s="28">
        <f t="shared" ref="C197:F197" si="416">0</f>
        <v>0</v>
      </c>
      <c r="D197" s="28">
        <f t="shared" si="416"/>
        <v>0</v>
      </c>
      <c r="E197" s="28">
        <f t="shared" si="416"/>
        <v>0</v>
      </c>
      <c r="F197" s="28">
        <f t="shared" si="416"/>
        <v>0</v>
      </c>
      <c r="G197" s="28">
        <f>85</f>
        <v>85</v>
      </c>
      <c r="H197" s="28">
        <f t="shared" ref="H197:N197" si="417">0</f>
        <v>0</v>
      </c>
      <c r="I197" s="28">
        <f t="shared" si="417"/>
        <v>0</v>
      </c>
      <c r="J197" s="28">
        <f t="shared" si="417"/>
        <v>0</v>
      </c>
      <c r="K197" s="28">
        <f t="shared" si="417"/>
        <v>0</v>
      </c>
      <c r="L197" s="28">
        <f t="shared" si="417"/>
        <v>0</v>
      </c>
      <c r="M197" s="28">
        <f t="shared" si="417"/>
        <v>0</v>
      </c>
      <c r="N197" s="28">
        <f t="shared" si="417"/>
        <v>0</v>
      </c>
      <c r="O197" s="28">
        <f>85</f>
        <v>85</v>
      </c>
    </row>
    <row r="198">
      <c r="B198" s="20">
        <v>46268.0</v>
      </c>
      <c r="C198" s="28">
        <f t="shared" ref="C198:F198" si="418">0</f>
        <v>0</v>
      </c>
      <c r="D198" s="28">
        <f t="shared" si="418"/>
        <v>0</v>
      </c>
      <c r="E198" s="28">
        <f t="shared" si="418"/>
        <v>0</v>
      </c>
      <c r="F198" s="28">
        <f t="shared" si="418"/>
        <v>0</v>
      </c>
      <c r="G198" s="28">
        <f>116.8</f>
        <v>116.8</v>
      </c>
      <c r="H198" s="28">
        <f t="shared" ref="H198:K198" si="419">0</f>
        <v>0</v>
      </c>
      <c r="I198" s="28">
        <f t="shared" si="419"/>
        <v>0</v>
      </c>
      <c r="J198" s="28">
        <f t="shared" si="419"/>
        <v>0</v>
      </c>
      <c r="K198" s="28">
        <f t="shared" si="419"/>
        <v>0</v>
      </c>
      <c r="L198" s="28">
        <f>29.2</f>
        <v>29.2</v>
      </c>
      <c r="M198" s="28">
        <f t="shared" ref="M198:O198" si="420">0</f>
        <v>0</v>
      </c>
      <c r="N198" s="28">
        <f t="shared" si="420"/>
        <v>0</v>
      </c>
      <c r="O198" s="28">
        <f t="shared" si="420"/>
        <v>0</v>
      </c>
    </row>
    <row r="199">
      <c r="B199" s="20">
        <v>46268.0</v>
      </c>
      <c r="C199" s="28">
        <f t="shared" ref="C199:E199" si="421">0</f>
        <v>0</v>
      </c>
      <c r="D199" s="28">
        <f t="shared" si="421"/>
        <v>0</v>
      </c>
      <c r="E199" s="28">
        <f t="shared" si="421"/>
        <v>0</v>
      </c>
      <c r="F199" s="28">
        <f>20.2</f>
        <v>20.2</v>
      </c>
      <c r="G199" s="28">
        <f>60.6</f>
        <v>60.6</v>
      </c>
      <c r="H199" s="28">
        <f t="shared" ref="H199:K199" si="422">0</f>
        <v>0</v>
      </c>
      <c r="I199" s="28">
        <f t="shared" si="422"/>
        <v>0</v>
      </c>
      <c r="J199" s="28">
        <f t="shared" si="422"/>
        <v>0</v>
      </c>
      <c r="K199" s="28">
        <f t="shared" si="422"/>
        <v>0</v>
      </c>
      <c r="L199" s="28">
        <f>60.6</f>
        <v>60.6</v>
      </c>
      <c r="M199" s="28">
        <f>20.2</f>
        <v>20.2</v>
      </c>
      <c r="N199" s="28">
        <f t="shared" ref="N199:N200" si="425">0</f>
        <v>0</v>
      </c>
      <c r="O199" s="28">
        <f>40.4</f>
        <v>40.4</v>
      </c>
    </row>
    <row r="200">
      <c r="B200" s="20">
        <v>46269.0</v>
      </c>
      <c r="C200" s="28">
        <f t="shared" ref="C200:F200" si="423">0</f>
        <v>0</v>
      </c>
      <c r="D200" s="28">
        <f t="shared" si="423"/>
        <v>0</v>
      </c>
      <c r="E200" s="28">
        <f t="shared" si="423"/>
        <v>0</v>
      </c>
      <c r="F200" s="28">
        <f t="shared" si="423"/>
        <v>0</v>
      </c>
      <c r="G200" s="28">
        <f>49</f>
        <v>49</v>
      </c>
      <c r="H200" s="28">
        <f t="shared" ref="H200:L200" si="424">0</f>
        <v>0</v>
      </c>
      <c r="I200" s="28">
        <f t="shared" si="424"/>
        <v>0</v>
      </c>
      <c r="J200" s="28">
        <f t="shared" si="424"/>
        <v>0</v>
      </c>
      <c r="K200" s="28">
        <f t="shared" si="424"/>
        <v>0</v>
      </c>
      <c r="L200" s="28">
        <f t="shared" si="424"/>
        <v>0</v>
      </c>
      <c r="M200" s="28">
        <f>49</f>
        <v>49</v>
      </c>
      <c r="N200" s="28">
        <f t="shared" si="425"/>
        <v>0</v>
      </c>
      <c r="O200" s="28">
        <f>0</f>
        <v>0</v>
      </c>
    </row>
    <row r="201">
      <c r="B201" s="20">
        <v>46269.0</v>
      </c>
      <c r="C201" s="28">
        <f t="shared" ref="C201:F201" si="426">0</f>
        <v>0</v>
      </c>
      <c r="D201" s="28">
        <f t="shared" si="426"/>
        <v>0</v>
      </c>
      <c r="E201" s="28">
        <f t="shared" si="426"/>
        <v>0</v>
      </c>
      <c r="F201" s="28">
        <f t="shared" si="426"/>
        <v>0</v>
      </c>
      <c r="G201" s="28">
        <f>84</f>
        <v>84</v>
      </c>
      <c r="H201" s="28">
        <f t="shared" ref="H201:K201" si="427">0</f>
        <v>0</v>
      </c>
      <c r="I201" s="28">
        <f t="shared" si="427"/>
        <v>0</v>
      </c>
      <c r="J201" s="28">
        <f t="shared" si="427"/>
        <v>0</v>
      </c>
      <c r="K201" s="28">
        <f t="shared" si="427"/>
        <v>0</v>
      </c>
      <c r="L201" s="28">
        <f>63</f>
        <v>63</v>
      </c>
      <c r="M201" s="28">
        <f t="shared" ref="M201:N201" si="428">0</f>
        <v>0</v>
      </c>
      <c r="N201" s="28">
        <f t="shared" si="428"/>
        <v>0</v>
      </c>
      <c r="O201" s="28">
        <f>63</f>
        <v>63</v>
      </c>
    </row>
    <row r="202">
      <c r="B202" s="20">
        <v>46270.0</v>
      </c>
      <c r="C202" s="28">
        <f>20</f>
        <v>20</v>
      </c>
      <c r="D202" s="28">
        <f t="shared" ref="D202:F202" si="429">0</f>
        <v>0</v>
      </c>
      <c r="E202" s="28">
        <f t="shared" si="429"/>
        <v>0</v>
      </c>
      <c r="F202" s="28">
        <f t="shared" si="429"/>
        <v>0</v>
      </c>
      <c r="G202" s="28">
        <f>80</f>
        <v>80</v>
      </c>
      <c r="H202" s="28">
        <f t="shared" ref="H202:K202" si="430">0</f>
        <v>0</v>
      </c>
      <c r="I202" s="28">
        <f t="shared" si="430"/>
        <v>0</v>
      </c>
      <c r="J202" s="28">
        <f t="shared" si="430"/>
        <v>0</v>
      </c>
      <c r="K202" s="28">
        <f t="shared" si="430"/>
        <v>0</v>
      </c>
      <c r="L202" s="28">
        <f>40</f>
        <v>40</v>
      </c>
      <c r="M202" s="28">
        <f t="shared" ref="M202:O202" si="431">20</f>
        <v>20</v>
      </c>
      <c r="N202" s="28">
        <f t="shared" si="431"/>
        <v>20</v>
      </c>
      <c r="O202" s="28">
        <f t="shared" si="431"/>
        <v>20</v>
      </c>
    </row>
    <row r="203">
      <c r="B203" s="20">
        <v>46270.0</v>
      </c>
      <c r="C203" s="28">
        <f>49.8</f>
        <v>49.8</v>
      </c>
      <c r="D203" s="28">
        <f t="shared" ref="D203:F203" si="432">0</f>
        <v>0</v>
      </c>
      <c r="E203" s="28">
        <f t="shared" si="432"/>
        <v>0</v>
      </c>
      <c r="F203" s="28">
        <f t="shared" si="432"/>
        <v>0</v>
      </c>
      <c r="G203" s="28">
        <f>49.8</f>
        <v>49.8</v>
      </c>
      <c r="H203" s="28">
        <f t="shared" ref="H203:K203" si="433">0</f>
        <v>0</v>
      </c>
      <c r="I203" s="28">
        <f t="shared" si="433"/>
        <v>0</v>
      </c>
      <c r="J203" s="28">
        <f t="shared" si="433"/>
        <v>0</v>
      </c>
      <c r="K203" s="28">
        <f t="shared" si="433"/>
        <v>0</v>
      </c>
      <c r="L203" s="28">
        <f>16.6</f>
        <v>16.6</v>
      </c>
      <c r="M203" s="28">
        <f>49.8</f>
        <v>49.8</v>
      </c>
      <c r="N203" s="28">
        <f t="shared" ref="N203:O203" si="434">0</f>
        <v>0</v>
      </c>
      <c r="O203" s="28">
        <f t="shared" si="434"/>
        <v>0</v>
      </c>
    </row>
    <row r="204">
      <c r="B204" s="20">
        <v>46271.0</v>
      </c>
      <c r="C204" s="28">
        <f>25</f>
        <v>25</v>
      </c>
      <c r="D204" s="28">
        <f t="shared" ref="D204:F204" si="435">0</f>
        <v>0</v>
      </c>
      <c r="E204" s="28">
        <f t="shared" si="435"/>
        <v>0</v>
      </c>
      <c r="F204" s="28">
        <f t="shared" si="435"/>
        <v>0</v>
      </c>
      <c r="G204" s="28">
        <f>50</f>
        <v>50</v>
      </c>
      <c r="H204" s="28">
        <f t="shared" ref="H204:K204" si="436">0</f>
        <v>0</v>
      </c>
      <c r="I204" s="28">
        <f t="shared" si="436"/>
        <v>0</v>
      </c>
      <c r="J204" s="28">
        <f t="shared" si="436"/>
        <v>0</v>
      </c>
      <c r="K204" s="28">
        <f t="shared" si="436"/>
        <v>0</v>
      </c>
      <c r="L204" s="28">
        <f>175</f>
        <v>175</v>
      </c>
      <c r="M204" s="28">
        <f t="shared" ref="M204:O204" si="437">0</f>
        <v>0</v>
      </c>
      <c r="N204" s="28">
        <f t="shared" si="437"/>
        <v>0</v>
      </c>
      <c r="O204" s="28">
        <f t="shared" si="437"/>
        <v>0</v>
      </c>
    </row>
    <row r="205">
      <c r="B205" s="20">
        <v>46271.0</v>
      </c>
      <c r="C205" s="28">
        <f t="shared" ref="C205:F205" si="438">0</f>
        <v>0</v>
      </c>
      <c r="D205" s="28">
        <f t="shared" si="438"/>
        <v>0</v>
      </c>
      <c r="E205" s="28">
        <f t="shared" si="438"/>
        <v>0</v>
      </c>
      <c r="F205" s="28">
        <f t="shared" si="438"/>
        <v>0</v>
      </c>
      <c r="G205" s="28">
        <f>73</f>
        <v>73</v>
      </c>
      <c r="H205" s="28">
        <f t="shared" ref="H205:K205" si="439">0</f>
        <v>0</v>
      </c>
      <c r="I205" s="28">
        <f t="shared" si="439"/>
        <v>0</v>
      </c>
      <c r="J205" s="28">
        <f t="shared" si="439"/>
        <v>0</v>
      </c>
      <c r="K205" s="28">
        <f t="shared" si="439"/>
        <v>0</v>
      </c>
      <c r="L205" s="28">
        <f>29.2</f>
        <v>29.2</v>
      </c>
      <c r="M205" s="28">
        <f t="shared" ref="M205:N205" si="440">0</f>
        <v>0</v>
      </c>
      <c r="N205" s="28">
        <f t="shared" si="440"/>
        <v>0</v>
      </c>
      <c r="O205" s="28">
        <f>43.8</f>
        <v>43.8</v>
      </c>
    </row>
    <row r="206">
      <c r="B206" s="20">
        <v>46272.0</v>
      </c>
      <c r="C206" s="28">
        <f t="shared" ref="C206:F206" si="441">0</f>
        <v>0</v>
      </c>
      <c r="D206" s="28">
        <f t="shared" si="441"/>
        <v>0</v>
      </c>
      <c r="E206" s="28">
        <f t="shared" si="441"/>
        <v>0</v>
      </c>
      <c r="F206" s="28">
        <f t="shared" si="441"/>
        <v>0</v>
      </c>
      <c r="G206" s="28">
        <f>48.9</f>
        <v>48.9</v>
      </c>
      <c r="H206" s="28">
        <f t="shared" ref="H206:K206" si="442">0</f>
        <v>0</v>
      </c>
      <c r="I206" s="28">
        <f t="shared" si="442"/>
        <v>0</v>
      </c>
      <c r="J206" s="28">
        <f t="shared" si="442"/>
        <v>0</v>
      </c>
      <c r="K206" s="28">
        <f t="shared" si="442"/>
        <v>0</v>
      </c>
      <c r="L206" s="28">
        <f>81.5</f>
        <v>81.5</v>
      </c>
      <c r="M206" s="28">
        <f t="shared" ref="M206:N206" si="443">0</f>
        <v>0</v>
      </c>
      <c r="N206" s="28">
        <f t="shared" si="443"/>
        <v>0</v>
      </c>
      <c r="O206" s="28">
        <f>32.6</f>
        <v>32.6</v>
      </c>
    </row>
    <row r="207">
      <c r="B207" s="20">
        <v>46272.0</v>
      </c>
      <c r="C207" s="28">
        <f t="shared" ref="C207:E207" si="444">0</f>
        <v>0</v>
      </c>
      <c r="D207" s="28">
        <f t="shared" si="444"/>
        <v>0</v>
      </c>
      <c r="E207" s="28">
        <f t="shared" si="444"/>
        <v>0</v>
      </c>
      <c r="F207" s="28">
        <f>17.4</f>
        <v>17.4</v>
      </c>
      <c r="G207" s="28">
        <f>87</f>
        <v>87</v>
      </c>
      <c r="H207" s="28">
        <f t="shared" ref="H207:K207" si="445">0</f>
        <v>0</v>
      </c>
      <c r="I207" s="28">
        <f t="shared" si="445"/>
        <v>0</v>
      </c>
      <c r="J207" s="28">
        <f t="shared" si="445"/>
        <v>0</v>
      </c>
      <c r="K207" s="28">
        <f t="shared" si="445"/>
        <v>0</v>
      </c>
      <c r="L207" s="28">
        <f>34.8</f>
        <v>34.8</v>
      </c>
      <c r="M207" s="28">
        <f t="shared" ref="M207:N207" si="446">0</f>
        <v>0</v>
      </c>
      <c r="N207" s="28">
        <f t="shared" si="446"/>
        <v>0</v>
      </c>
      <c r="O207" s="28">
        <f>34.8</f>
        <v>34.8</v>
      </c>
    </row>
    <row r="208">
      <c r="B208" s="20">
        <v>46272.0</v>
      </c>
      <c r="C208" s="28">
        <f t="shared" ref="C208:C210" si="450">0</f>
        <v>0</v>
      </c>
      <c r="D208" s="28">
        <f>60</f>
        <v>60</v>
      </c>
      <c r="E208" s="28">
        <f t="shared" ref="E208:F208" si="447">0</f>
        <v>0</v>
      </c>
      <c r="F208" s="28">
        <f t="shared" si="447"/>
        <v>0</v>
      </c>
      <c r="G208" s="28">
        <f>80</f>
        <v>80</v>
      </c>
      <c r="H208" s="28">
        <f t="shared" ref="H208:K208" si="448">0</f>
        <v>0</v>
      </c>
      <c r="I208" s="28">
        <f t="shared" si="448"/>
        <v>0</v>
      </c>
      <c r="J208" s="28">
        <f t="shared" si="448"/>
        <v>0</v>
      </c>
      <c r="K208" s="28">
        <f t="shared" si="448"/>
        <v>0</v>
      </c>
      <c r="L208" s="28">
        <f>60</f>
        <v>60</v>
      </c>
      <c r="M208" s="28">
        <f t="shared" ref="M208:O208" si="449">0</f>
        <v>0</v>
      </c>
      <c r="N208" s="28">
        <f t="shared" si="449"/>
        <v>0</v>
      </c>
      <c r="O208" s="28">
        <f t="shared" si="449"/>
        <v>0</v>
      </c>
    </row>
    <row r="209">
      <c r="B209" s="20">
        <v>46273.0</v>
      </c>
      <c r="C209" s="28">
        <f t="shared" si="450"/>
        <v>0</v>
      </c>
      <c r="D209" s="28">
        <f t="shared" ref="D209:F209" si="451">0</f>
        <v>0</v>
      </c>
      <c r="E209" s="28">
        <f t="shared" si="451"/>
        <v>0</v>
      </c>
      <c r="F209" s="28">
        <f t="shared" si="451"/>
        <v>0</v>
      </c>
      <c r="G209" s="28">
        <f>15.2</f>
        <v>15.2</v>
      </c>
      <c r="H209" s="28">
        <f t="shared" ref="H209:K209" si="452">0</f>
        <v>0</v>
      </c>
      <c r="I209" s="28">
        <f t="shared" si="452"/>
        <v>0</v>
      </c>
      <c r="J209" s="28">
        <f t="shared" si="452"/>
        <v>0</v>
      </c>
      <c r="K209" s="28">
        <f t="shared" si="452"/>
        <v>0</v>
      </c>
      <c r="L209" s="28">
        <f>45.6</f>
        <v>45.6</v>
      </c>
      <c r="M209" s="28">
        <f t="shared" ref="M209:M210" si="456">0</f>
        <v>0</v>
      </c>
      <c r="N209" s="28">
        <f t="shared" ref="N209:O209" si="453">45.6</f>
        <v>45.6</v>
      </c>
      <c r="O209" s="28">
        <f t="shared" si="453"/>
        <v>45.6</v>
      </c>
    </row>
    <row r="210">
      <c r="B210" s="20">
        <v>46273.0</v>
      </c>
      <c r="C210" s="28">
        <f t="shared" si="450"/>
        <v>0</v>
      </c>
      <c r="D210" s="28">
        <f t="shared" ref="D210:E210" si="454">0</f>
        <v>0</v>
      </c>
      <c r="E210" s="28">
        <f t="shared" si="454"/>
        <v>0</v>
      </c>
      <c r="F210" s="28">
        <f>6.9</f>
        <v>6.9</v>
      </c>
      <c r="G210" s="28">
        <f>41.4</f>
        <v>41.4</v>
      </c>
      <c r="H210" s="28">
        <f t="shared" ref="H210:K210" si="455">0</f>
        <v>0</v>
      </c>
      <c r="I210" s="28">
        <f t="shared" si="455"/>
        <v>0</v>
      </c>
      <c r="J210" s="28">
        <f t="shared" si="455"/>
        <v>0</v>
      </c>
      <c r="K210" s="28">
        <f t="shared" si="455"/>
        <v>0</v>
      </c>
      <c r="L210" s="28">
        <f>6.9</f>
        <v>6.9</v>
      </c>
      <c r="M210" s="28">
        <f t="shared" si="456"/>
        <v>0</v>
      </c>
      <c r="N210" s="28">
        <f>13.8</f>
        <v>13.8</v>
      </c>
      <c r="O210" s="28">
        <f>0</f>
        <v>0</v>
      </c>
    </row>
    <row r="211">
      <c r="B211" s="20">
        <v>46273.0</v>
      </c>
      <c r="C211" s="21">
        <v>0.0</v>
      </c>
      <c r="D211" s="21">
        <v>0.0</v>
      </c>
      <c r="E211" s="21">
        <v>0.0</v>
      </c>
      <c r="F211" s="21">
        <v>0.0</v>
      </c>
      <c r="G211" s="21">
        <v>0.0</v>
      </c>
      <c r="H211" s="21">
        <v>0.0</v>
      </c>
      <c r="I211" s="21">
        <v>0.0</v>
      </c>
      <c r="J211" s="21">
        <v>0.0</v>
      </c>
      <c r="K211" s="21">
        <v>0.0</v>
      </c>
      <c r="L211" s="21">
        <v>0.0</v>
      </c>
      <c r="M211" s="21">
        <v>0.0</v>
      </c>
      <c r="N211" s="21">
        <v>0.0</v>
      </c>
      <c r="O211" s="28">
        <f>147</f>
        <v>147</v>
      </c>
    </row>
    <row r="212">
      <c r="B212" s="20">
        <v>46274.0</v>
      </c>
      <c r="C212" s="28">
        <f t="shared" ref="C212:F212" si="457">0</f>
        <v>0</v>
      </c>
      <c r="D212" s="28">
        <f t="shared" si="457"/>
        <v>0</v>
      </c>
      <c r="E212" s="28">
        <f t="shared" si="457"/>
        <v>0</v>
      </c>
      <c r="F212" s="28">
        <f t="shared" si="457"/>
        <v>0</v>
      </c>
      <c r="G212" s="28">
        <f>39</f>
        <v>39</v>
      </c>
      <c r="H212" s="28">
        <f t="shared" ref="H212:K212" si="458">0</f>
        <v>0</v>
      </c>
      <c r="I212" s="28">
        <f t="shared" si="458"/>
        <v>0</v>
      </c>
      <c r="J212" s="28">
        <f t="shared" si="458"/>
        <v>0</v>
      </c>
      <c r="K212" s="28">
        <f t="shared" si="458"/>
        <v>0</v>
      </c>
      <c r="L212" s="28">
        <f>39</f>
        <v>39</v>
      </c>
      <c r="M212" s="28">
        <f t="shared" ref="M212:N212" si="459">0</f>
        <v>0</v>
      </c>
      <c r="N212" s="28">
        <f t="shared" si="459"/>
        <v>0</v>
      </c>
      <c r="O212" s="28">
        <f>52</f>
        <v>52</v>
      </c>
    </row>
    <row r="213">
      <c r="B213" s="20">
        <v>46274.0</v>
      </c>
      <c r="C213" s="28">
        <f t="shared" ref="C213:F213" si="460">0</f>
        <v>0</v>
      </c>
      <c r="D213" s="28">
        <f t="shared" si="460"/>
        <v>0</v>
      </c>
      <c r="E213" s="28">
        <f t="shared" si="460"/>
        <v>0</v>
      </c>
      <c r="F213" s="28">
        <f t="shared" si="460"/>
        <v>0</v>
      </c>
      <c r="G213" s="28">
        <f>35.1</f>
        <v>35.1</v>
      </c>
      <c r="H213" s="28">
        <f t="shared" ref="H213:N213" si="461">0</f>
        <v>0</v>
      </c>
      <c r="I213" s="28">
        <f t="shared" si="461"/>
        <v>0</v>
      </c>
      <c r="J213" s="28">
        <f t="shared" si="461"/>
        <v>0</v>
      </c>
      <c r="K213" s="28">
        <f t="shared" si="461"/>
        <v>0</v>
      </c>
      <c r="L213" s="28">
        <f t="shared" si="461"/>
        <v>0</v>
      </c>
      <c r="M213" s="28">
        <f t="shared" si="461"/>
        <v>0</v>
      </c>
      <c r="N213" s="28">
        <f t="shared" si="461"/>
        <v>0</v>
      </c>
      <c r="O213" s="28">
        <f>81.9</f>
        <v>81.9</v>
      </c>
    </row>
    <row r="214">
      <c r="B214" s="20">
        <v>46274.0</v>
      </c>
      <c r="C214" s="21">
        <v>0.0</v>
      </c>
      <c r="D214" s="21">
        <v>0.0</v>
      </c>
      <c r="E214" s="21">
        <v>0.0</v>
      </c>
      <c r="F214" s="21">
        <v>0.0</v>
      </c>
      <c r="G214" s="21">
        <v>0.0</v>
      </c>
      <c r="H214" s="21">
        <v>0.0</v>
      </c>
      <c r="I214" s="21">
        <v>0.0</v>
      </c>
      <c r="J214" s="21">
        <v>0.0</v>
      </c>
      <c r="K214" s="21">
        <v>0.0</v>
      </c>
      <c r="L214" s="21">
        <v>0.0</v>
      </c>
      <c r="M214" s="21">
        <v>0.0</v>
      </c>
      <c r="N214" s="21">
        <v>0.0</v>
      </c>
      <c r="O214" s="28">
        <f>93</f>
        <v>93</v>
      </c>
    </row>
    <row r="215">
      <c r="B215" s="20">
        <v>46274.0</v>
      </c>
      <c r="C215" s="28">
        <f>13.9</f>
        <v>13.9</v>
      </c>
      <c r="D215" s="28">
        <f t="shared" ref="D215:F215" si="462">0</f>
        <v>0</v>
      </c>
      <c r="E215" s="28">
        <f t="shared" si="462"/>
        <v>0</v>
      </c>
      <c r="F215" s="28">
        <f t="shared" si="462"/>
        <v>0</v>
      </c>
      <c r="G215" s="28">
        <f>69.5</f>
        <v>69.5</v>
      </c>
      <c r="H215" s="28">
        <f t="shared" ref="H215:L215" si="463">0</f>
        <v>0</v>
      </c>
      <c r="I215" s="28">
        <f t="shared" si="463"/>
        <v>0</v>
      </c>
      <c r="J215" s="28">
        <f t="shared" si="463"/>
        <v>0</v>
      </c>
      <c r="K215" s="28">
        <f t="shared" si="463"/>
        <v>0</v>
      </c>
      <c r="L215" s="28">
        <f t="shared" si="463"/>
        <v>0</v>
      </c>
      <c r="M215" s="28">
        <f>55.6</f>
        <v>55.6</v>
      </c>
      <c r="N215" s="28">
        <f t="shared" ref="N215:O215" si="464">0</f>
        <v>0</v>
      </c>
      <c r="O215" s="28">
        <f t="shared" si="464"/>
        <v>0</v>
      </c>
    </row>
    <row r="216">
      <c r="B216" s="20">
        <v>46275.0</v>
      </c>
      <c r="C216" s="21">
        <v>0.0</v>
      </c>
      <c r="D216" s="21">
        <v>0.0</v>
      </c>
      <c r="E216" s="21">
        <v>0.0</v>
      </c>
      <c r="F216" s="21">
        <v>0.0</v>
      </c>
      <c r="G216" s="21">
        <v>0.0</v>
      </c>
      <c r="H216" s="21">
        <v>0.0</v>
      </c>
      <c r="I216" s="21">
        <v>0.0</v>
      </c>
      <c r="J216" s="21">
        <v>0.0</v>
      </c>
      <c r="K216" s="21">
        <v>0.0</v>
      </c>
      <c r="L216" s="21">
        <v>0.0</v>
      </c>
      <c r="M216" s="21">
        <v>0.0</v>
      </c>
      <c r="N216" s="21">
        <v>0.0</v>
      </c>
      <c r="O216" s="28">
        <f>159</f>
        <v>159</v>
      </c>
    </row>
    <row r="217">
      <c r="B217" s="20">
        <v>46275.0</v>
      </c>
      <c r="C217" s="28">
        <f t="shared" ref="C217:F217" si="465">0</f>
        <v>0</v>
      </c>
      <c r="D217" s="28">
        <f t="shared" si="465"/>
        <v>0</v>
      </c>
      <c r="E217" s="28">
        <f t="shared" si="465"/>
        <v>0</v>
      </c>
      <c r="F217" s="28">
        <f t="shared" si="465"/>
        <v>0</v>
      </c>
      <c r="G217" s="28">
        <f>32.5</f>
        <v>32.5</v>
      </c>
      <c r="H217" s="28">
        <f t="shared" ref="H217:K217" si="466">0</f>
        <v>0</v>
      </c>
      <c r="I217" s="28">
        <f t="shared" si="466"/>
        <v>0</v>
      </c>
      <c r="J217" s="28">
        <f t="shared" si="466"/>
        <v>0</v>
      </c>
      <c r="K217" s="28">
        <f t="shared" si="466"/>
        <v>0</v>
      </c>
      <c r="L217" s="28">
        <f>6.5</f>
        <v>6.5</v>
      </c>
      <c r="M217" s="28">
        <f>0</f>
        <v>0</v>
      </c>
      <c r="N217" s="28">
        <f>6.5</f>
        <v>6.5</v>
      </c>
      <c r="O217" s="28">
        <f>19.5</f>
        <v>19.5</v>
      </c>
    </row>
    <row r="218">
      <c r="B218" s="20">
        <v>46275.0</v>
      </c>
      <c r="C218" s="28">
        <f t="shared" ref="C218:F218" si="467">0</f>
        <v>0</v>
      </c>
      <c r="D218" s="28">
        <f t="shared" si="467"/>
        <v>0</v>
      </c>
      <c r="E218" s="28">
        <f t="shared" si="467"/>
        <v>0</v>
      </c>
      <c r="F218" s="28">
        <f t="shared" si="467"/>
        <v>0</v>
      </c>
      <c r="G218" s="28">
        <f>133.6</f>
        <v>133.6</v>
      </c>
      <c r="H218" s="28">
        <f t="shared" ref="H218:K218" si="468">0</f>
        <v>0</v>
      </c>
      <c r="I218" s="28">
        <f t="shared" si="468"/>
        <v>0</v>
      </c>
      <c r="J218" s="28">
        <f t="shared" si="468"/>
        <v>0</v>
      </c>
      <c r="K218" s="28">
        <f t="shared" si="468"/>
        <v>0</v>
      </c>
      <c r="L218" s="28">
        <f t="shared" ref="L218:M218" si="469">16.7</f>
        <v>16.7</v>
      </c>
      <c r="M218" s="28">
        <f t="shared" si="469"/>
        <v>16.7</v>
      </c>
      <c r="N218" s="28">
        <f t="shared" ref="N218:O218" si="470">0</f>
        <v>0</v>
      </c>
      <c r="O218" s="28">
        <f t="shared" si="470"/>
        <v>0</v>
      </c>
    </row>
    <row r="219">
      <c r="B219" s="20">
        <v>46276.0</v>
      </c>
      <c r="C219" s="28">
        <f>14.1</f>
        <v>14.1</v>
      </c>
      <c r="D219" s="28">
        <f t="shared" ref="D219:F219" si="471">0</f>
        <v>0</v>
      </c>
      <c r="E219" s="28">
        <f t="shared" si="471"/>
        <v>0</v>
      </c>
      <c r="F219" s="28">
        <f t="shared" si="471"/>
        <v>0</v>
      </c>
      <c r="G219" s="28">
        <f>70.5</f>
        <v>70.5</v>
      </c>
      <c r="H219" s="28">
        <f t="shared" ref="H219:H223" si="475">0</f>
        <v>0</v>
      </c>
      <c r="I219" s="28">
        <f>14.1</f>
        <v>14.1</v>
      </c>
      <c r="J219" s="28">
        <f t="shared" ref="J219:K219" si="472">0</f>
        <v>0</v>
      </c>
      <c r="K219" s="28">
        <f t="shared" si="472"/>
        <v>0</v>
      </c>
      <c r="L219" s="28">
        <f>28.2</f>
        <v>28.2</v>
      </c>
      <c r="M219" s="28">
        <f>14.1</f>
        <v>14.1</v>
      </c>
      <c r="N219" s="28">
        <f t="shared" ref="N219:O219" si="473">0</f>
        <v>0</v>
      </c>
      <c r="O219" s="28">
        <f t="shared" si="473"/>
        <v>0</v>
      </c>
    </row>
    <row r="220">
      <c r="B220" s="20">
        <v>46276.0</v>
      </c>
      <c r="C220" s="28">
        <f t="shared" ref="C220:F220" si="474">0</f>
        <v>0</v>
      </c>
      <c r="D220" s="28">
        <f t="shared" si="474"/>
        <v>0</v>
      </c>
      <c r="E220" s="28">
        <f t="shared" si="474"/>
        <v>0</v>
      </c>
      <c r="F220" s="28">
        <f t="shared" si="474"/>
        <v>0</v>
      </c>
      <c r="G220" s="28">
        <f>101</f>
        <v>101</v>
      </c>
      <c r="H220" s="28">
        <f t="shared" si="475"/>
        <v>0</v>
      </c>
      <c r="I220" s="28">
        <f t="shared" ref="I220:K220" si="476">0</f>
        <v>0</v>
      </c>
      <c r="J220" s="28">
        <f t="shared" si="476"/>
        <v>0</v>
      </c>
      <c r="K220" s="28">
        <f t="shared" si="476"/>
        <v>0</v>
      </c>
      <c r="L220" s="28">
        <f>60.6</f>
        <v>60.6</v>
      </c>
      <c r="M220" s="28">
        <f>0</f>
        <v>0</v>
      </c>
      <c r="N220" s="28">
        <f>40.4</f>
        <v>40.4</v>
      </c>
      <c r="O220" s="28">
        <f t="shared" ref="O220:O221" si="479">0</f>
        <v>0</v>
      </c>
    </row>
    <row r="221">
      <c r="B221" s="20">
        <v>46277.0</v>
      </c>
      <c r="C221" s="28">
        <f t="shared" ref="C221:F221" si="477">0</f>
        <v>0</v>
      </c>
      <c r="D221" s="28">
        <f t="shared" si="477"/>
        <v>0</v>
      </c>
      <c r="E221" s="28">
        <f t="shared" si="477"/>
        <v>0</v>
      </c>
      <c r="F221" s="28">
        <f t="shared" si="477"/>
        <v>0</v>
      </c>
      <c r="G221" s="28">
        <f>93</f>
        <v>93</v>
      </c>
      <c r="H221" s="28">
        <f t="shared" si="475"/>
        <v>0</v>
      </c>
      <c r="I221" s="28">
        <f t="shared" ref="I221:L221" si="478">0</f>
        <v>0</v>
      </c>
      <c r="J221" s="28">
        <f t="shared" si="478"/>
        <v>0</v>
      </c>
      <c r="K221" s="28">
        <f t="shared" si="478"/>
        <v>0</v>
      </c>
      <c r="L221" s="28">
        <f t="shared" si="478"/>
        <v>0</v>
      </c>
      <c r="M221" s="28">
        <f>37.2</f>
        <v>37.2</v>
      </c>
      <c r="N221" s="28">
        <f>55.8</f>
        <v>55.8</v>
      </c>
      <c r="O221" s="28">
        <f t="shared" si="479"/>
        <v>0</v>
      </c>
    </row>
    <row r="222">
      <c r="B222" s="20">
        <v>46278.0</v>
      </c>
      <c r="C222" s="28">
        <f t="shared" ref="C222:F222" si="480">0</f>
        <v>0</v>
      </c>
      <c r="D222" s="28">
        <f t="shared" si="480"/>
        <v>0</v>
      </c>
      <c r="E222" s="28">
        <f t="shared" si="480"/>
        <v>0</v>
      </c>
      <c r="F222" s="28">
        <f t="shared" si="480"/>
        <v>0</v>
      </c>
      <c r="G222" s="28">
        <f>99</f>
        <v>99</v>
      </c>
      <c r="H222" s="28">
        <f t="shared" si="475"/>
        <v>0</v>
      </c>
      <c r="I222" s="28">
        <f t="shared" ref="I222:O222" si="481">0</f>
        <v>0</v>
      </c>
      <c r="J222" s="28">
        <f t="shared" si="481"/>
        <v>0</v>
      </c>
      <c r="K222" s="28">
        <f t="shared" si="481"/>
        <v>0</v>
      </c>
      <c r="L222" s="28">
        <f t="shared" si="481"/>
        <v>0</v>
      </c>
      <c r="M222" s="28">
        <f t="shared" si="481"/>
        <v>0</v>
      </c>
      <c r="N222" s="28">
        <f t="shared" si="481"/>
        <v>0</v>
      </c>
      <c r="O222" s="28">
        <f t="shared" si="481"/>
        <v>0</v>
      </c>
    </row>
    <row r="223">
      <c r="B223" s="20">
        <v>46278.0</v>
      </c>
      <c r="C223" s="28">
        <f>21.7</f>
        <v>21.7</v>
      </c>
      <c r="D223" s="28">
        <f t="shared" ref="D223:F223" si="482">0</f>
        <v>0</v>
      </c>
      <c r="E223" s="28">
        <f t="shared" si="482"/>
        <v>0</v>
      </c>
      <c r="F223" s="28">
        <f t="shared" si="482"/>
        <v>0</v>
      </c>
      <c r="G223" s="28">
        <f>65.1</f>
        <v>65.1</v>
      </c>
      <c r="H223" s="28">
        <f t="shared" si="475"/>
        <v>0</v>
      </c>
      <c r="I223" s="28">
        <f>21.7</f>
        <v>21.7</v>
      </c>
      <c r="J223" s="28">
        <f t="shared" ref="J223:K223" si="483">0</f>
        <v>0</v>
      </c>
      <c r="K223" s="28">
        <f t="shared" si="483"/>
        <v>0</v>
      </c>
      <c r="L223" s="28">
        <f>108.5</f>
        <v>108.5</v>
      </c>
      <c r="M223" s="28">
        <f t="shared" ref="M223:O223" si="484">0</f>
        <v>0</v>
      </c>
      <c r="N223" s="28">
        <f t="shared" si="484"/>
        <v>0</v>
      </c>
      <c r="O223" s="28">
        <f t="shared" si="484"/>
        <v>0</v>
      </c>
    </row>
    <row r="224">
      <c r="B224" s="20">
        <v>46279.0</v>
      </c>
      <c r="C224" s="21">
        <v>0.0</v>
      </c>
      <c r="D224" s="21">
        <v>0.0</v>
      </c>
      <c r="E224" s="21">
        <v>0.0</v>
      </c>
      <c r="F224" s="21">
        <v>0.0</v>
      </c>
      <c r="G224" s="21">
        <v>0.0</v>
      </c>
      <c r="H224" s="21">
        <v>0.0</v>
      </c>
      <c r="I224" s="21">
        <v>0.0</v>
      </c>
      <c r="J224" s="21">
        <v>0.0</v>
      </c>
      <c r="K224" s="21">
        <v>0.0</v>
      </c>
      <c r="L224" s="21">
        <v>0.0</v>
      </c>
      <c r="M224" s="21">
        <v>0.0</v>
      </c>
      <c r="N224" s="21">
        <v>0.0</v>
      </c>
      <c r="O224" s="28">
        <f>177</f>
        <v>177</v>
      </c>
    </row>
    <row r="225">
      <c r="B225" s="20">
        <v>46280.0</v>
      </c>
      <c r="C225" s="28">
        <f>15.5</f>
        <v>15.5</v>
      </c>
      <c r="D225" s="28">
        <f t="shared" ref="D225:F225" si="485">0</f>
        <v>0</v>
      </c>
      <c r="E225" s="28">
        <f t="shared" si="485"/>
        <v>0</v>
      </c>
      <c r="F225" s="28">
        <f t="shared" si="485"/>
        <v>0</v>
      </c>
      <c r="G225" s="28">
        <f>62</f>
        <v>62</v>
      </c>
      <c r="H225" s="28">
        <f t="shared" ref="H225:K225" si="486">0</f>
        <v>0</v>
      </c>
      <c r="I225" s="28">
        <f t="shared" si="486"/>
        <v>0</v>
      </c>
      <c r="J225" s="28">
        <f t="shared" si="486"/>
        <v>0</v>
      </c>
      <c r="K225" s="28">
        <f t="shared" si="486"/>
        <v>0</v>
      </c>
      <c r="L225" s="28">
        <f>62</f>
        <v>62</v>
      </c>
      <c r="M225" s="28">
        <f t="shared" ref="M225:N225" si="487">0</f>
        <v>0</v>
      </c>
      <c r="N225" s="28">
        <f t="shared" si="487"/>
        <v>0</v>
      </c>
      <c r="O225" s="28">
        <f>15.5</f>
        <v>15.5</v>
      </c>
    </row>
    <row r="226">
      <c r="B226" s="20">
        <v>46281.0</v>
      </c>
      <c r="C226" s="28">
        <f t="shared" ref="C226:E226" si="488">0</f>
        <v>0</v>
      </c>
      <c r="D226" s="28">
        <f t="shared" si="488"/>
        <v>0</v>
      </c>
      <c r="E226" s="28">
        <f t="shared" si="488"/>
        <v>0</v>
      </c>
      <c r="F226" s="28">
        <f>74.4</f>
        <v>74.4</v>
      </c>
      <c r="G226" s="28">
        <f>111.6</f>
        <v>111.6</v>
      </c>
      <c r="H226" s="28">
        <f t="shared" ref="H226:O226" si="489">0</f>
        <v>0</v>
      </c>
      <c r="I226" s="28">
        <f t="shared" si="489"/>
        <v>0</v>
      </c>
      <c r="J226" s="28">
        <f t="shared" si="489"/>
        <v>0</v>
      </c>
      <c r="K226" s="28">
        <f t="shared" si="489"/>
        <v>0</v>
      </c>
      <c r="L226" s="28">
        <f t="shared" si="489"/>
        <v>0</v>
      </c>
      <c r="M226" s="28">
        <f t="shared" si="489"/>
        <v>0</v>
      </c>
      <c r="N226" s="28">
        <f t="shared" si="489"/>
        <v>0</v>
      </c>
      <c r="O226" s="28">
        <f t="shared" si="489"/>
        <v>0</v>
      </c>
    </row>
    <row r="227">
      <c r="B227" s="20">
        <v>46281.0</v>
      </c>
      <c r="C227" s="28">
        <f t="shared" ref="C227:K227" si="490">0</f>
        <v>0</v>
      </c>
      <c r="D227" s="28">
        <f t="shared" si="490"/>
        <v>0</v>
      </c>
      <c r="E227" s="28">
        <f t="shared" si="490"/>
        <v>0</v>
      </c>
      <c r="F227" s="28">
        <f t="shared" si="490"/>
        <v>0</v>
      </c>
      <c r="G227" s="28">
        <f t="shared" si="490"/>
        <v>0</v>
      </c>
      <c r="H227" s="28">
        <f t="shared" si="490"/>
        <v>0</v>
      </c>
      <c r="I227" s="28">
        <f t="shared" si="490"/>
        <v>0</v>
      </c>
      <c r="J227" s="28">
        <f t="shared" si="490"/>
        <v>0</v>
      </c>
      <c r="K227" s="28">
        <f t="shared" si="490"/>
        <v>0</v>
      </c>
      <c r="L227" s="28">
        <f>221.6</f>
        <v>221.6</v>
      </c>
      <c r="M227" s="28">
        <f t="shared" ref="M227:N227" si="491">0</f>
        <v>0</v>
      </c>
      <c r="N227" s="28">
        <f t="shared" si="491"/>
        <v>0</v>
      </c>
      <c r="O227" s="28">
        <f>55.4</f>
        <v>55.4</v>
      </c>
    </row>
    <row r="228">
      <c r="B228" s="20">
        <v>46281.0</v>
      </c>
      <c r="C228" s="28">
        <f t="shared" ref="C228:F228" si="492">0</f>
        <v>0</v>
      </c>
      <c r="D228" s="28">
        <f t="shared" si="492"/>
        <v>0</v>
      </c>
      <c r="E228" s="28">
        <f t="shared" si="492"/>
        <v>0</v>
      </c>
      <c r="F228" s="28">
        <f t="shared" si="492"/>
        <v>0</v>
      </c>
      <c r="G228" s="28">
        <f>124.2</f>
        <v>124.2</v>
      </c>
      <c r="H228" s="28">
        <f t="shared" ref="H228:K228" si="493">0</f>
        <v>0</v>
      </c>
      <c r="I228" s="28">
        <f t="shared" si="493"/>
        <v>0</v>
      </c>
      <c r="J228" s="28">
        <f t="shared" si="493"/>
        <v>0</v>
      </c>
      <c r="K228" s="28">
        <f t="shared" si="493"/>
        <v>0</v>
      </c>
      <c r="L228" s="28">
        <f>62.1</f>
        <v>62.1</v>
      </c>
      <c r="M228" s="28">
        <f>20.7</f>
        <v>20.7</v>
      </c>
      <c r="N228" s="28">
        <f t="shared" ref="N228:O228" si="494">0</f>
        <v>0</v>
      </c>
      <c r="O228" s="28">
        <f t="shared" si="494"/>
        <v>0</v>
      </c>
    </row>
    <row r="229">
      <c r="B229" s="20">
        <v>46282.0</v>
      </c>
      <c r="C229" s="28">
        <f t="shared" ref="C229:F229" si="495">0</f>
        <v>0</v>
      </c>
      <c r="D229" s="28">
        <f t="shared" si="495"/>
        <v>0</v>
      </c>
      <c r="E229" s="28">
        <f t="shared" si="495"/>
        <v>0</v>
      </c>
      <c r="F229" s="28">
        <f t="shared" si="495"/>
        <v>0</v>
      </c>
      <c r="G229" s="28">
        <f>42.3</f>
        <v>42.3</v>
      </c>
      <c r="H229" s="28">
        <f t="shared" ref="H229:K229" si="496">0</f>
        <v>0</v>
      </c>
      <c r="I229" s="28">
        <f t="shared" si="496"/>
        <v>0</v>
      </c>
      <c r="J229" s="28">
        <f t="shared" si="496"/>
        <v>0</v>
      </c>
      <c r="K229" s="28">
        <f t="shared" si="496"/>
        <v>0</v>
      </c>
      <c r="L229" s="28">
        <f>70.5</f>
        <v>70.5</v>
      </c>
      <c r="M229" s="28">
        <f t="shared" ref="M229:N229" si="497">0</f>
        <v>0</v>
      </c>
      <c r="N229" s="28">
        <f t="shared" si="497"/>
        <v>0</v>
      </c>
      <c r="O229" s="28">
        <f>28.2</f>
        <v>28.2</v>
      </c>
    </row>
    <row r="230">
      <c r="B230" s="20">
        <v>46282.0</v>
      </c>
      <c r="C230" s="28">
        <f t="shared" ref="C230:D230" si="498">15.8</f>
        <v>15.8</v>
      </c>
      <c r="D230" s="28">
        <f t="shared" si="498"/>
        <v>15.8</v>
      </c>
      <c r="E230" s="28">
        <f t="shared" ref="E230:F230" si="499">0</f>
        <v>0</v>
      </c>
      <c r="F230" s="28">
        <f t="shared" si="499"/>
        <v>0</v>
      </c>
      <c r="G230" s="28">
        <f>31.6</f>
        <v>31.6</v>
      </c>
      <c r="H230" s="28">
        <f t="shared" ref="H230:H232" si="503">0</f>
        <v>0</v>
      </c>
      <c r="I230" s="28">
        <f>31.6</f>
        <v>31.6</v>
      </c>
      <c r="J230" s="28">
        <f t="shared" ref="J230:L230" si="500">0</f>
        <v>0</v>
      </c>
      <c r="K230" s="28">
        <f t="shared" si="500"/>
        <v>0</v>
      </c>
      <c r="L230" s="28">
        <f t="shared" si="500"/>
        <v>0</v>
      </c>
      <c r="M230" s="28">
        <f>31.6</f>
        <v>31.6</v>
      </c>
      <c r="N230" s="28">
        <f t="shared" ref="N230:O230" si="501">15.8</f>
        <v>15.8</v>
      </c>
      <c r="O230" s="28">
        <f t="shared" si="501"/>
        <v>15.8</v>
      </c>
    </row>
    <row r="231">
      <c r="B231" s="20">
        <v>46283.0</v>
      </c>
      <c r="C231" s="28">
        <f t="shared" ref="C231:F231" si="502">0</f>
        <v>0</v>
      </c>
      <c r="D231" s="28">
        <f t="shared" si="502"/>
        <v>0</v>
      </c>
      <c r="E231" s="28">
        <f t="shared" si="502"/>
        <v>0</v>
      </c>
      <c r="F231" s="28">
        <f t="shared" si="502"/>
        <v>0</v>
      </c>
      <c r="G231" s="28">
        <f>110</f>
        <v>110</v>
      </c>
      <c r="H231" s="28">
        <f t="shared" si="503"/>
        <v>0</v>
      </c>
      <c r="I231" s="28">
        <f t="shared" ref="I231:J231" si="504">0</f>
        <v>0</v>
      </c>
      <c r="J231" s="28">
        <f t="shared" si="504"/>
        <v>0</v>
      </c>
      <c r="K231" s="28">
        <f>22</f>
        <v>22</v>
      </c>
      <c r="L231" s="28">
        <f>88</f>
        <v>88</v>
      </c>
      <c r="M231" s="28">
        <f t="shared" ref="M231:O231" si="505">0</f>
        <v>0</v>
      </c>
      <c r="N231" s="28">
        <f t="shared" si="505"/>
        <v>0</v>
      </c>
      <c r="O231" s="28">
        <f t="shared" si="505"/>
        <v>0</v>
      </c>
    </row>
    <row r="232">
      <c r="B232" s="20">
        <v>46283.0</v>
      </c>
      <c r="C232" s="28">
        <f t="shared" ref="C232:F232" si="506">0</f>
        <v>0</v>
      </c>
      <c r="D232" s="28">
        <f t="shared" si="506"/>
        <v>0</v>
      </c>
      <c r="E232" s="28">
        <f t="shared" si="506"/>
        <v>0</v>
      </c>
      <c r="F232" s="28">
        <f t="shared" si="506"/>
        <v>0</v>
      </c>
      <c r="G232" s="28">
        <f>54</f>
        <v>54</v>
      </c>
      <c r="H232" s="28">
        <f t="shared" si="503"/>
        <v>0</v>
      </c>
      <c r="I232" s="28">
        <f t="shared" ref="I232:K232" si="507">0</f>
        <v>0</v>
      </c>
      <c r="J232" s="28">
        <f t="shared" si="507"/>
        <v>0</v>
      </c>
      <c r="K232" s="28">
        <f t="shared" si="507"/>
        <v>0</v>
      </c>
      <c r="L232" s="28">
        <f>54</f>
        <v>54</v>
      </c>
      <c r="M232" s="28">
        <f>36</f>
        <v>36</v>
      </c>
      <c r="N232" s="28">
        <f t="shared" ref="N232:O232" si="508">18</f>
        <v>18</v>
      </c>
      <c r="O232" s="28">
        <f t="shared" si="508"/>
        <v>18</v>
      </c>
    </row>
    <row r="233">
      <c r="B233" s="20">
        <v>46284.0</v>
      </c>
      <c r="C233" s="28">
        <f t="shared" ref="C233:N233" si="509">0</f>
        <v>0</v>
      </c>
      <c r="D233" s="28">
        <f t="shared" si="509"/>
        <v>0</v>
      </c>
      <c r="E233" s="28">
        <f t="shared" si="509"/>
        <v>0</v>
      </c>
      <c r="F233" s="28">
        <f t="shared" si="509"/>
        <v>0</v>
      </c>
      <c r="G233" s="28">
        <f t="shared" si="509"/>
        <v>0</v>
      </c>
      <c r="H233" s="28">
        <f t="shared" si="509"/>
        <v>0</v>
      </c>
      <c r="I233" s="28">
        <f t="shared" si="509"/>
        <v>0</v>
      </c>
      <c r="J233" s="28">
        <f t="shared" si="509"/>
        <v>0</v>
      </c>
      <c r="K233" s="28">
        <f t="shared" si="509"/>
        <v>0</v>
      </c>
      <c r="L233" s="28">
        <f t="shared" si="509"/>
        <v>0</v>
      </c>
      <c r="M233" s="28">
        <f t="shared" si="509"/>
        <v>0</v>
      </c>
      <c r="N233" s="28">
        <f t="shared" si="509"/>
        <v>0</v>
      </c>
      <c r="O233" s="28">
        <f>183</f>
        <v>183</v>
      </c>
    </row>
    <row r="234">
      <c r="B234" s="20">
        <v>46284.0</v>
      </c>
      <c r="C234" s="28">
        <f>11.25</f>
        <v>11.25</v>
      </c>
      <c r="D234" s="28">
        <f t="shared" ref="D234:F234" si="510">0</f>
        <v>0</v>
      </c>
      <c r="E234" s="28">
        <f t="shared" si="510"/>
        <v>0</v>
      </c>
      <c r="F234" s="28">
        <f t="shared" si="510"/>
        <v>0</v>
      </c>
      <c r="G234" s="28">
        <f>33.75</f>
        <v>33.75</v>
      </c>
      <c r="H234" s="28">
        <f t="shared" ref="H234:K234" si="511">0</f>
        <v>0</v>
      </c>
      <c r="I234" s="28">
        <f t="shared" si="511"/>
        <v>0</v>
      </c>
      <c r="J234" s="28">
        <f t="shared" si="511"/>
        <v>0</v>
      </c>
      <c r="K234" s="28">
        <f t="shared" si="511"/>
        <v>0</v>
      </c>
      <c r="L234" s="28">
        <f t="shared" ref="L234:M234" si="512">15</f>
        <v>15</v>
      </c>
      <c r="M234" s="28">
        <f t="shared" si="512"/>
        <v>15</v>
      </c>
      <c r="N234" s="28">
        <f t="shared" ref="N234:O234" si="513">0</f>
        <v>0</v>
      </c>
      <c r="O234" s="28">
        <f t="shared" si="513"/>
        <v>0</v>
      </c>
    </row>
    <row r="235">
      <c r="B235" s="20">
        <v>46285.0</v>
      </c>
      <c r="C235" s="28">
        <f t="shared" ref="C235:F235" si="514">0</f>
        <v>0</v>
      </c>
      <c r="D235" s="28">
        <f t="shared" si="514"/>
        <v>0</v>
      </c>
      <c r="E235" s="28">
        <f t="shared" si="514"/>
        <v>0</v>
      </c>
      <c r="F235" s="28">
        <f t="shared" si="514"/>
        <v>0</v>
      </c>
      <c r="G235" s="28">
        <f>83</f>
        <v>83</v>
      </c>
      <c r="H235" s="28">
        <f t="shared" ref="H235:K235" si="515">0</f>
        <v>0</v>
      </c>
      <c r="I235" s="28">
        <f t="shared" si="515"/>
        <v>0</v>
      </c>
      <c r="J235" s="28">
        <f t="shared" si="515"/>
        <v>0</v>
      </c>
      <c r="K235" s="28">
        <f t="shared" si="515"/>
        <v>0</v>
      </c>
      <c r="L235" s="28">
        <f>33.2</f>
        <v>33.2</v>
      </c>
      <c r="M235" s="28">
        <f t="shared" ref="M235:N235" si="516">0</f>
        <v>0</v>
      </c>
      <c r="N235" s="28">
        <f t="shared" si="516"/>
        <v>0</v>
      </c>
      <c r="O235" s="28">
        <f>49.8</f>
        <v>49.8</v>
      </c>
    </row>
    <row r="236">
      <c r="B236" s="20">
        <v>46285.0</v>
      </c>
      <c r="C236" s="21">
        <v>0.0</v>
      </c>
      <c r="D236" s="21">
        <v>0.0</v>
      </c>
      <c r="E236" s="21">
        <v>0.0</v>
      </c>
      <c r="F236" s="21">
        <v>0.0</v>
      </c>
      <c r="G236" s="21">
        <v>0.0</v>
      </c>
      <c r="H236" s="21">
        <v>0.0</v>
      </c>
      <c r="I236" s="21">
        <v>0.0</v>
      </c>
      <c r="J236" s="21">
        <v>0.0</v>
      </c>
      <c r="K236" s="21">
        <v>0.0</v>
      </c>
      <c r="L236" s="21">
        <v>0.0</v>
      </c>
      <c r="M236" s="21">
        <v>0.0</v>
      </c>
      <c r="N236" s="21">
        <v>0.0</v>
      </c>
      <c r="O236" s="28">
        <f>130</f>
        <v>130</v>
      </c>
    </row>
    <row r="237">
      <c r="B237" s="20">
        <v>46286.0</v>
      </c>
      <c r="C237" s="21">
        <v>0.0</v>
      </c>
      <c r="D237" s="21">
        <v>0.0</v>
      </c>
      <c r="E237" s="21">
        <v>0.0</v>
      </c>
      <c r="F237" s="21">
        <v>0.0</v>
      </c>
      <c r="G237" s="21">
        <v>0.0</v>
      </c>
      <c r="H237" s="21">
        <v>0.0</v>
      </c>
      <c r="I237" s="21">
        <v>0.0</v>
      </c>
      <c r="J237" s="21">
        <v>0.0</v>
      </c>
      <c r="K237" s="21">
        <v>0.0</v>
      </c>
      <c r="L237" s="21">
        <v>0.0</v>
      </c>
      <c r="M237" s="21">
        <v>0.0</v>
      </c>
      <c r="N237" s="21">
        <v>0.0</v>
      </c>
      <c r="O237" s="28">
        <f>142</f>
        <v>142</v>
      </c>
    </row>
    <row r="238">
      <c r="B238" s="20">
        <v>46286.0</v>
      </c>
      <c r="C238" s="28">
        <f t="shared" ref="C238:F238" si="517">0</f>
        <v>0</v>
      </c>
      <c r="D238" s="28">
        <f t="shared" si="517"/>
        <v>0</v>
      </c>
      <c r="E238" s="28">
        <f t="shared" si="517"/>
        <v>0</v>
      </c>
      <c r="F238" s="28">
        <f t="shared" si="517"/>
        <v>0</v>
      </c>
      <c r="G238" s="28">
        <f>67.5</f>
        <v>67.5</v>
      </c>
      <c r="H238" s="28">
        <f t="shared" ref="H238:N238" si="518">0</f>
        <v>0</v>
      </c>
      <c r="I238" s="28">
        <f t="shared" si="518"/>
        <v>0</v>
      </c>
      <c r="J238" s="28">
        <f t="shared" si="518"/>
        <v>0</v>
      </c>
      <c r="K238" s="28">
        <f t="shared" si="518"/>
        <v>0</v>
      </c>
      <c r="L238" s="28">
        <f t="shared" si="518"/>
        <v>0</v>
      </c>
      <c r="M238" s="28">
        <f t="shared" si="518"/>
        <v>0</v>
      </c>
      <c r="N238" s="28">
        <f t="shared" si="518"/>
        <v>0</v>
      </c>
      <c r="O238" s="28">
        <f>67.5</f>
        <v>67.5</v>
      </c>
    </row>
    <row r="239">
      <c r="B239" s="20">
        <v>46286.0</v>
      </c>
      <c r="C239" s="28">
        <f t="shared" ref="C239:F239" si="519">0</f>
        <v>0</v>
      </c>
      <c r="D239" s="28">
        <f t="shared" si="519"/>
        <v>0</v>
      </c>
      <c r="E239" s="28">
        <f t="shared" si="519"/>
        <v>0</v>
      </c>
      <c r="F239" s="28">
        <f t="shared" si="519"/>
        <v>0</v>
      </c>
      <c r="G239" s="28">
        <f>75</f>
        <v>75</v>
      </c>
      <c r="H239" s="28">
        <f t="shared" ref="H239:N239" si="520">0</f>
        <v>0</v>
      </c>
      <c r="I239" s="28">
        <f t="shared" si="520"/>
        <v>0</v>
      </c>
      <c r="J239" s="28">
        <f t="shared" si="520"/>
        <v>0</v>
      </c>
      <c r="K239" s="28">
        <f t="shared" si="520"/>
        <v>0</v>
      </c>
      <c r="L239" s="28">
        <f t="shared" si="520"/>
        <v>0</v>
      </c>
      <c r="M239" s="28">
        <f t="shared" si="520"/>
        <v>0</v>
      </c>
      <c r="N239" s="28">
        <f t="shared" si="520"/>
        <v>0</v>
      </c>
      <c r="O239" s="28">
        <f>75</f>
        <v>75</v>
      </c>
    </row>
    <row r="240">
      <c r="B240" s="20">
        <v>46287.0</v>
      </c>
      <c r="C240" s="28">
        <f t="shared" ref="C240:F240" si="521">0</f>
        <v>0</v>
      </c>
      <c r="D240" s="28">
        <f t="shared" si="521"/>
        <v>0</v>
      </c>
      <c r="E240" s="28">
        <f t="shared" si="521"/>
        <v>0</v>
      </c>
      <c r="F240" s="28">
        <f t="shared" si="521"/>
        <v>0</v>
      </c>
      <c r="G240" s="28">
        <f>86.5</f>
        <v>86.5</v>
      </c>
      <c r="H240" s="28">
        <f t="shared" ref="H240:N240" si="522">0</f>
        <v>0</v>
      </c>
      <c r="I240" s="28">
        <f t="shared" si="522"/>
        <v>0</v>
      </c>
      <c r="J240" s="28">
        <f t="shared" si="522"/>
        <v>0</v>
      </c>
      <c r="K240" s="28">
        <f t="shared" si="522"/>
        <v>0</v>
      </c>
      <c r="L240" s="28">
        <f t="shared" si="522"/>
        <v>0</v>
      </c>
      <c r="M240" s="28">
        <f t="shared" si="522"/>
        <v>0</v>
      </c>
      <c r="N240" s="28">
        <f t="shared" si="522"/>
        <v>0</v>
      </c>
      <c r="O240" s="28">
        <f>86.5</f>
        <v>86.5</v>
      </c>
    </row>
    <row r="241">
      <c r="B241" s="20">
        <v>46287.0</v>
      </c>
      <c r="C241" s="28">
        <f t="shared" ref="C241:F241" si="523">0</f>
        <v>0</v>
      </c>
      <c r="D241" s="28">
        <f t="shared" si="523"/>
        <v>0</v>
      </c>
      <c r="E241" s="28">
        <f t="shared" si="523"/>
        <v>0</v>
      </c>
      <c r="F241" s="28">
        <f t="shared" si="523"/>
        <v>0</v>
      </c>
      <c r="G241" s="28">
        <f>75.5</f>
        <v>75.5</v>
      </c>
      <c r="H241" s="28">
        <f t="shared" ref="H241:N241" si="524">0</f>
        <v>0</v>
      </c>
      <c r="I241" s="28">
        <f t="shared" si="524"/>
        <v>0</v>
      </c>
      <c r="J241" s="28">
        <f t="shared" si="524"/>
        <v>0</v>
      </c>
      <c r="K241" s="28">
        <f t="shared" si="524"/>
        <v>0</v>
      </c>
      <c r="L241" s="28">
        <f t="shared" si="524"/>
        <v>0</v>
      </c>
      <c r="M241" s="28">
        <f t="shared" si="524"/>
        <v>0</v>
      </c>
      <c r="N241" s="28">
        <f t="shared" si="524"/>
        <v>0</v>
      </c>
      <c r="O241" s="28">
        <f>75.5</f>
        <v>75.5</v>
      </c>
    </row>
    <row r="242">
      <c r="B242" s="20">
        <v>46288.0</v>
      </c>
      <c r="C242" s="28">
        <f t="shared" ref="C242:F242" si="525">0</f>
        <v>0</v>
      </c>
      <c r="D242" s="28">
        <f t="shared" si="525"/>
        <v>0</v>
      </c>
      <c r="E242" s="28">
        <f t="shared" si="525"/>
        <v>0</v>
      </c>
      <c r="F242" s="28">
        <f t="shared" si="525"/>
        <v>0</v>
      </c>
      <c r="G242" s="28">
        <f>15</f>
        <v>15</v>
      </c>
      <c r="H242" s="28">
        <f t="shared" ref="H242:K242" si="526">0</f>
        <v>0</v>
      </c>
      <c r="I242" s="28">
        <f t="shared" si="526"/>
        <v>0</v>
      </c>
      <c r="J242" s="28">
        <f t="shared" si="526"/>
        <v>0</v>
      </c>
      <c r="K242" s="28">
        <f t="shared" si="526"/>
        <v>0</v>
      </c>
      <c r="L242" s="28">
        <f>9</f>
        <v>9</v>
      </c>
      <c r="M242" s="28">
        <f t="shared" ref="M242:N242" si="527">0</f>
        <v>0</v>
      </c>
      <c r="N242" s="28">
        <f t="shared" si="527"/>
        <v>0</v>
      </c>
      <c r="O242" s="28">
        <f>6</f>
        <v>6</v>
      </c>
    </row>
    <row r="243">
      <c r="B243" s="20">
        <v>46288.0</v>
      </c>
      <c r="C243" s="28">
        <f t="shared" ref="C243:N243" si="528">0</f>
        <v>0</v>
      </c>
      <c r="D243" s="28">
        <f t="shared" si="528"/>
        <v>0</v>
      </c>
      <c r="E243" s="28">
        <f t="shared" si="528"/>
        <v>0</v>
      </c>
      <c r="F243" s="28">
        <f t="shared" si="528"/>
        <v>0</v>
      </c>
      <c r="G243" s="28">
        <f t="shared" si="528"/>
        <v>0</v>
      </c>
      <c r="H243" s="28">
        <f t="shared" si="528"/>
        <v>0</v>
      </c>
      <c r="I243" s="28">
        <f t="shared" si="528"/>
        <v>0</v>
      </c>
      <c r="J243" s="28">
        <f t="shared" si="528"/>
        <v>0</v>
      </c>
      <c r="K243" s="28">
        <f t="shared" si="528"/>
        <v>0</v>
      </c>
      <c r="L243" s="28">
        <f t="shared" si="528"/>
        <v>0</v>
      </c>
      <c r="M243" s="28">
        <f t="shared" si="528"/>
        <v>0</v>
      </c>
      <c r="N243" s="28">
        <f t="shared" si="528"/>
        <v>0</v>
      </c>
      <c r="O243" s="28">
        <f>165</f>
        <v>165</v>
      </c>
    </row>
    <row r="244">
      <c r="B244" s="20">
        <v>46289.0</v>
      </c>
      <c r="C244" s="28">
        <f t="shared" ref="C244:N244" si="529">0</f>
        <v>0</v>
      </c>
      <c r="D244" s="28">
        <f t="shared" si="529"/>
        <v>0</v>
      </c>
      <c r="E244" s="28">
        <f t="shared" si="529"/>
        <v>0</v>
      </c>
      <c r="F244" s="28">
        <f t="shared" si="529"/>
        <v>0</v>
      </c>
      <c r="G244" s="28">
        <f t="shared" si="529"/>
        <v>0</v>
      </c>
      <c r="H244" s="28">
        <f t="shared" si="529"/>
        <v>0</v>
      </c>
      <c r="I244" s="28">
        <f t="shared" si="529"/>
        <v>0</v>
      </c>
      <c r="J244" s="28">
        <f t="shared" si="529"/>
        <v>0</v>
      </c>
      <c r="K244" s="28">
        <f t="shared" si="529"/>
        <v>0</v>
      </c>
      <c r="L244" s="28">
        <f t="shared" si="529"/>
        <v>0</v>
      </c>
      <c r="M244" s="28">
        <f t="shared" si="529"/>
        <v>0</v>
      </c>
      <c r="N244" s="28">
        <f t="shared" si="529"/>
        <v>0</v>
      </c>
      <c r="O244" s="28">
        <f>176</f>
        <v>176</v>
      </c>
    </row>
    <row r="245">
      <c r="B245" s="20">
        <v>46289.0</v>
      </c>
      <c r="C245" s="28">
        <f t="shared" ref="C245:F245" si="530">0</f>
        <v>0</v>
      </c>
      <c r="D245" s="28">
        <f t="shared" si="530"/>
        <v>0</v>
      </c>
      <c r="E245" s="28">
        <f t="shared" si="530"/>
        <v>0</v>
      </c>
      <c r="F245" s="28">
        <f t="shared" si="530"/>
        <v>0</v>
      </c>
      <c r="G245" s="28">
        <f>60</f>
        <v>60</v>
      </c>
      <c r="H245" s="28">
        <f t="shared" ref="H245:K245" si="531">0</f>
        <v>0</v>
      </c>
      <c r="I245" s="28">
        <f t="shared" si="531"/>
        <v>0</v>
      </c>
      <c r="J245" s="28">
        <f t="shared" si="531"/>
        <v>0</v>
      </c>
      <c r="K245" s="28">
        <f t="shared" si="531"/>
        <v>0</v>
      </c>
      <c r="L245" s="28">
        <f>24</f>
        <v>24</v>
      </c>
      <c r="M245" s="28">
        <f t="shared" ref="M245:N245" si="532">0</f>
        <v>0</v>
      </c>
      <c r="N245" s="28">
        <f t="shared" si="532"/>
        <v>0</v>
      </c>
      <c r="O245" s="28">
        <f>36</f>
        <v>36</v>
      </c>
    </row>
    <row r="246">
      <c r="B246" s="20">
        <v>46289.0</v>
      </c>
      <c r="C246" s="28">
        <f t="shared" ref="C246:E246" si="533">0</f>
        <v>0</v>
      </c>
      <c r="D246" s="28">
        <f t="shared" si="533"/>
        <v>0</v>
      </c>
      <c r="E246" s="28">
        <f t="shared" si="533"/>
        <v>0</v>
      </c>
      <c r="F246" s="28">
        <f>64</f>
        <v>64</v>
      </c>
      <c r="G246" s="28">
        <f t="shared" ref="G246:K246" si="534">0</f>
        <v>0</v>
      </c>
      <c r="H246" s="28">
        <f t="shared" si="534"/>
        <v>0</v>
      </c>
      <c r="I246" s="28">
        <f t="shared" si="534"/>
        <v>0</v>
      </c>
      <c r="J246" s="28">
        <f t="shared" si="534"/>
        <v>0</v>
      </c>
      <c r="K246" s="28">
        <f t="shared" si="534"/>
        <v>0</v>
      </c>
      <c r="L246" s="28">
        <f>38.4</f>
        <v>38.4</v>
      </c>
      <c r="M246" s="28">
        <f t="shared" ref="M246:N246" si="535">0</f>
        <v>0</v>
      </c>
      <c r="N246" s="28">
        <f t="shared" si="535"/>
        <v>0</v>
      </c>
      <c r="O246" s="28">
        <f>25.6</f>
        <v>25.6</v>
      </c>
    </row>
    <row r="247">
      <c r="B247" s="20">
        <v>46289.0</v>
      </c>
      <c r="C247" s="28">
        <f t="shared" ref="C247:F247" si="536">0</f>
        <v>0</v>
      </c>
      <c r="D247" s="28">
        <f t="shared" si="536"/>
        <v>0</v>
      </c>
      <c r="E247" s="28">
        <f t="shared" si="536"/>
        <v>0</v>
      </c>
      <c r="F247" s="28">
        <f t="shared" si="536"/>
        <v>0</v>
      </c>
      <c r="G247" s="28">
        <f>48</f>
        <v>48</v>
      </c>
      <c r="H247" s="28">
        <f t="shared" ref="H247:K247" si="537">0</f>
        <v>0</v>
      </c>
      <c r="I247" s="28">
        <f t="shared" si="537"/>
        <v>0</v>
      </c>
      <c r="J247" s="28">
        <f t="shared" si="537"/>
        <v>0</v>
      </c>
      <c r="K247" s="28">
        <f t="shared" si="537"/>
        <v>0</v>
      </c>
      <c r="L247" s="28">
        <f>96</f>
        <v>96</v>
      </c>
      <c r="M247" s="28">
        <f>16</f>
        <v>16</v>
      </c>
      <c r="N247" s="28">
        <f t="shared" ref="N247:O247" si="538">0</f>
        <v>0</v>
      </c>
      <c r="O247" s="28">
        <f t="shared" si="538"/>
        <v>0</v>
      </c>
    </row>
    <row r="248">
      <c r="B248" s="20">
        <v>46290.0</v>
      </c>
      <c r="C248" s="28">
        <f t="shared" ref="C248:E248" si="539">0</f>
        <v>0</v>
      </c>
      <c r="D248" s="28">
        <f t="shared" si="539"/>
        <v>0</v>
      </c>
      <c r="E248" s="28">
        <f t="shared" si="539"/>
        <v>0</v>
      </c>
      <c r="F248" s="28">
        <f>19.5</f>
        <v>19.5</v>
      </c>
      <c r="G248" s="28">
        <f t="shared" ref="G248:K248" si="540">0</f>
        <v>0</v>
      </c>
      <c r="H248" s="28">
        <f t="shared" si="540"/>
        <v>0</v>
      </c>
      <c r="I248" s="28">
        <f t="shared" si="540"/>
        <v>0</v>
      </c>
      <c r="J248" s="28">
        <f t="shared" si="540"/>
        <v>0</v>
      </c>
      <c r="K248" s="28">
        <f t="shared" si="540"/>
        <v>0</v>
      </c>
      <c r="L248" s="28">
        <f>136.5</f>
        <v>136.5</v>
      </c>
      <c r="M248" s="28">
        <f t="shared" ref="M248:N248" si="541">19.5</f>
        <v>19.5</v>
      </c>
      <c r="N248" s="28">
        <f t="shared" si="541"/>
        <v>19.5</v>
      </c>
      <c r="O248" s="28">
        <f>0</f>
        <v>0</v>
      </c>
    </row>
    <row r="249">
      <c r="B249" s="20">
        <v>46290.0</v>
      </c>
      <c r="C249" s="28">
        <f t="shared" ref="C249:F249" si="542">0</f>
        <v>0</v>
      </c>
      <c r="D249" s="28">
        <f t="shared" si="542"/>
        <v>0</v>
      </c>
      <c r="E249" s="28">
        <f t="shared" si="542"/>
        <v>0</v>
      </c>
      <c r="F249" s="28">
        <f t="shared" si="542"/>
        <v>0</v>
      </c>
      <c r="G249" s="28">
        <f>27.6</f>
        <v>27.6</v>
      </c>
      <c r="H249" s="28">
        <f t="shared" ref="H249:K249" si="543">0</f>
        <v>0</v>
      </c>
      <c r="I249" s="28">
        <f t="shared" si="543"/>
        <v>0</v>
      </c>
      <c r="J249" s="28">
        <f t="shared" si="543"/>
        <v>0</v>
      </c>
      <c r="K249" s="28">
        <f t="shared" si="543"/>
        <v>0</v>
      </c>
      <c r="L249" s="28">
        <f>41.4</f>
        <v>41.4</v>
      </c>
      <c r="M249" s="28">
        <f t="shared" ref="M249:N249" si="544">27.6</f>
        <v>27.6</v>
      </c>
      <c r="N249" s="28">
        <f t="shared" si="544"/>
        <v>27.6</v>
      </c>
      <c r="O249" s="28">
        <f>13.8</f>
        <v>13.8</v>
      </c>
    </row>
    <row r="250">
      <c r="B250" s="20">
        <v>46290.0</v>
      </c>
      <c r="C250" s="21">
        <v>0.0</v>
      </c>
      <c r="D250" s="21">
        <v>0.0</v>
      </c>
      <c r="E250" s="21">
        <v>0.0</v>
      </c>
      <c r="F250" s="21">
        <v>0.0</v>
      </c>
      <c r="G250" s="21">
        <v>0.0</v>
      </c>
      <c r="H250" s="21">
        <v>0.0</v>
      </c>
      <c r="I250" s="21">
        <v>0.0</v>
      </c>
      <c r="J250" s="21">
        <v>0.0</v>
      </c>
      <c r="K250" s="21">
        <v>0.0</v>
      </c>
      <c r="L250" s="21">
        <v>0.0</v>
      </c>
      <c r="M250" s="21">
        <v>0.0</v>
      </c>
      <c r="N250" s="21">
        <v>0.0</v>
      </c>
      <c r="O250" s="28">
        <f>187</f>
        <v>187</v>
      </c>
    </row>
    <row r="251">
      <c r="B251" s="20">
        <v>46291.0</v>
      </c>
      <c r="C251" s="28">
        <f>23.4</f>
        <v>23.4</v>
      </c>
      <c r="D251" s="28">
        <f t="shared" ref="D251:K251" si="545">0</f>
        <v>0</v>
      </c>
      <c r="E251" s="28">
        <f t="shared" si="545"/>
        <v>0</v>
      </c>
      <c r="F251" s="28">
        <f t="shared" si="545"/>
        <v>0</v>
      </c>
      <c r="G251" s="28">
        <f t="shared" si="545"/>
        <v>0</v>
      </c>
      <c r="H251" s="28">
        <f t="shared" si="545"/>
        <v>0</v>
      </c>
      <c r="I251" s="28">
        <f t="shared" si="545"/>
        <v>0</v>
      </c>
      <c r="J251" s="28">
        <f t="shared" si="545"/>
        <v>0</v>
      </c>
      <c r="K251" s="28">
        <f t="shared" si="545"/>
        <v>0</v>
      </c>
      <c r="L251" s="28">
        <f>23.4</f>
        <v>23.4</v>
      </c>
      <c r="M251" s="28">
        <f t="shared" ref="M251:N251" si="546">0</f>
        <v>0</v>
      </c>
      <c r="N251" s="28">
        <f t="shared" si="546"/>
        <v>0</v>
      </c>
      <c r="O251" s="28">
        <f>70.2</f>
        <v>70.2</v>
      </c>
    </row>
    <row r="252">
      <c r="B252" s="20">
        <v>46291.0</v>
      </c>
      <c r="C252" s="28">
        <f>13.4</f>
        <v>13.4</v>
      </c>
      <c r="D252" s="28">
        <f t="shared" ref="D252:F252" si="547">0</f>
        <v>0</v>
      </c>
      <c r="E252" s="28">
        <f t="shared" si="547"/>
        <v>0</v>
      </c>
      <c r="F252" s="28">
        <f t="shared" si="547"/>
        <v>0</v>
      </c>
      <c r="G252" s="28">
        <f>53.6</f>
        <v>53.6</v>
      </c>
      <c r="H252" s="28">
        <f>0</f>
        <v>0</v>
      </c>
      <c r="I252" s="28">
        <f>13.4</f>
        <v>13.4</v>
      </c>
      <c r="J252" s="28">
        <f t="shared" ref="J252:K252" si="548">0</f>
        <v>0</v>
      </c>
      <c r="K252" s="28">
        <f t="shared" si="548"/>
        <v>0</v>
      </c>
      <c r="L252" s="28">
        <f>40.2</f>
        <v>40.2</v>
      </c>
      <c r="M252" s="28">
        <f>0</f>
        <v>0</v>
      </c>
      <c r="N252" s="28">
        <f>13.4</f>
        <v>13.4</v>
      </c>
      <c r="O252" s="28">
        <f>0</f>
        <v>0</v>
      </c>
    </row>
    <row r="253">
      <c r="B253" s="20">
        <v>46291.0</v>
      </c>
      <c r="C253" s="21">
        <v>0.0</v>
      </c>
      <c r="D253" s="21">
        <v>0.0</v>
      </c>
      <c r="E253" s="21">
        <v>0.0</v>
      </c>
      <c r="F253" s="21">
        <v>0.0</v>
      </c>
      <c r="G253" s="21">
        <v>0.0</v>
      </c>
      <c r="H253" s="21">
        <v>0.0</v>
      </c>
      <c r="I253" s="21">
        <v>0.0</v>
      </c>
      <c r="J253" s="21">
        <v>0.0</v>
      </c>
      <c r="K253" s="21">
        <v>0.0</v>
      </c>
      <c r="L253" s="21">
        <v>0.0</v>
      </c>
      <c r="M253" s="21">
        <v>0.0</v>
      </c>
      <c r="N253" s="21">
        <v>0.0</v>
      </c>
      <c r="O253" s="28">
        <f>139</f>
        <v>139</v>
      </c>
    </row>
    <row r="254">
      <c r="B254" s="20">
        <v>46292.0</v>
      </c>
      <c r="C254" s="28">
        <f t="shared" ref="C254:F254" si="549">0</f>
        <v>0</v>
      </c>
      <c r="D254" s="28">
        <f t="shared" si="549"/>
        <v>0</v>
      </c>
      <c r="E254" s="28">
        <f t="shared" si="549"/>
        <v>0</v>
      </c>
      <c r="F254" s="28">
        <f t="shared" si="549"/>
        <v>0</v>
      </c>
      <c r="G254" s="28">
        <f>73.8</f>
        <v>73.8</v>
      </c>
      <c r="H254" s="28">
        <f t="shared" ref="H254:N254" si="550">0</f>
        <v>0</v>
      </c>
      <c r="I254" s="28">
        <f t="shared" si="550"/>
        <v>0</v>
      </c>
      <c r="J254" s="28">
        <f t="shared" si="550"/>
        <v>0</v>
      </c>
      <c r="K254" s="28">
        <f t="shared" si="550"/>
        <v>0</v>
      </c>
      <c r="L254" s="28">
        <f t="shared" si="550"/>
        <v>0</v>
      </c>
      <c r="M254" s="28">
        <f t="shared" si="550"/>
        <v>0</v>
      </c>
      <c r="N254" s="28">
        <f t="shared" si="550"/>
        <v>0</v>
      </c>
      <c r="O254" s="28">
        <f>49.2</f>
        <v>49.2</v>
      </c>
    </row>
    <row r="255">
      <c r="B255" s="20">
        <v>46292.0</v>
      </c>
      <c r="C255" s="28">
        <f t="shared" ref="C255:F255" si="551">0</f>
        <v>0</v>
      </c>
      <c r="D255" s="28">
        <f t="shared" si="551"/>
        <v>0</v>
      </c>
      <c r="E255" s="28">
        <f t="shared" si="551"/>
        <v>0</v>
      </c>
      <c r="F255" s="28">
        <f t="shared" si="551"/>
        <v>0</v>
      </c>
      <c r="G255" s="28">
        <f>34.6</f>
        <v>34.6</v>
      </c>
      <c r="H255" s="28">
        <f t="shared" ref="H255:K255" si="552">0</f>
        <v>0</v>
      </c>
      <c r="I255" s="28">
        <f t="shared" si="552"/>
        <v>0</v>
      </c>
      <c r="J255" s="28">
        <f t="shared" si="552"/>
        <v>0</v>
      </c>
      <c r="K255" s="28">
        <f t="shared" si="552"/>
        <v>0</v>
      </c>
      <c r="L255" s="28">
        <f>86.5</f>
        <v>86.5</v>
      </c>
      <c r="M255" s="28">
        <f t="shared" ref="M255:N255" si="553">0</f>
        <v>0</v>
      </c>
      <c r="N255" s="28">
        <f t="shared" si="553"/>
        <v>0</v>
      </c>
      <c r="O255" s="28">
        <f>51.9</f>
        <v>51.9</v>
      </c>
    </row>
    <row r="256">
      <c r="B256" s="20">
        <v>46292.0</v>
      </c>
      <c r="C256" s="21">
        <v>0.0</v>
      </c>
      <c r="D256" s="21">
        <v>0.0</v>
      </c>
      <c r="E256" s="21">
        <v>0.0</v>
      </c>
      <c r="F256" s="21">
        <v>0.0</v>
      </c>
      <c r="G256" s="21">
        <v>0.0</v>
      </c>
      <c r="H256" s="21">
        <v>0.0</v>
      </c>
      <c r="I256" s="21">
        <v>0.0</v>
      </c>
      <c r="J256" s="21">
        <v>0.0</v>
      </c>
      <c r="K256" s="21">
        <v>0.0</v>
      </c>
      <c r="L256" s="21">
        <v>0.0</v>
      </c>
      <c r="M256" s="21">
        <v>0.0</v>
      </c>
      <c r="N256" s="21">
        <v>0.0</v>
      </c>
      <c r="O256" s="28">
        <f>156</f>
        <v>156</v>
      </c>
    </row>
    <row r="257">
      <c r="B257" s="20">
        <v>46292.0</v>
      </c>
      <c r="C257" s="28">
        <f>22.4</f>
        <v>22.4</v>
      </c>
      <c r="D257" s="28">
        <f t="shared" ref="D257:F257" si="554">0</f>
        <v>0</v>
      </c>
      <c r="E257" s="28">
        <f t="shared" si="554"/>
        <v>0</v>
      </c>
      <c r="F257" s="28">
        <f t="shared" si="554"/>
        <v>0</v>
      </c>
      <c r="G257" s="28">
        <f>112</f>
        <v>112</v>
      </c>
      <c r="H257" s="28">
        <f t="shared" ref="H257:L257" si="555">0</f>
        <v>0</v>
      </c>
      <c r="I257" s="28">
        <f t="shared" si="555"/>
        <v>0</v>
      </c>
      <c r="J257" s="28">
        <f t="shared" si="555"/>
        <v>0</v>
      </c>
      <c r="K257" s="28">
        <f t="shared" si="555"/>
        <v>0</v>
      </c>
      <c r="L257" s="28">
        <f t="shared" si="555"/>
        <v>0</v>
      </c>
      <c r="M257" s="28">
        <f>33.6</f>
        <v>33.6</v>
      </c>
      <c r="N257" s="28">
        <f t="shared" ref="N257:N259" si="557">0</f>
        <v>0</v>
      </c>
      <c r="O257" s="28">
        <f>56</f>
        <v>56</v>
      </c>
    </row>
    <row r="258">
      <c r="B258" s="20">
        <v>46293.0</v>
      </c>
      <c r="C258" s="28">
        <f>10.1</f>
        <v>10.1</v>
      </c>
      <c r="D258" s="28">
        <f t="shared" ref="D258:K258" si="556">0</f>
        <v>0</v>
      </c>
      <c r="E258" s="28">
        <f t="shared" si="556"/>
        <v>0</v>
      </c>
      <c r="F258" s="28">
        <f t="shared" si="556"/>
        <v>0</v>
      </c>
      <c r="G258" s="28">
        <f t="shared" si="556"/>
        <v>0</v>
      </c>
      <c r="H258" s="28">
        <f t="shared" si="556"/>
        <v>0</v>
      </c>
      <c r="I258" s="28">
        <f t="shared" si="556"/>
        <v>0</v>
      </c>
      <c r="J258" s="28">
        <f t="shared" si="556"/>
        <v>0</v>
      </c>
      <c r="K258" s="28">
        <f t="shared" si="556"/>
        <v>0</v>
      </c>
      <c r="L258" s="28">
        <f>181.8</f>
        <v>181.8</v>
      </c>
      <c r="M258" s="28">
        <f>10.1</f>
        <v>10.1</v>
      </c>
      <c r="N258" s="28">
        <f t="shared" si="557"/>
        <v>0</v>
      </c>
      <c r="O258" s="28">
        <f>0</f>
        <v>0</v>
      </c>
    </row>
    <row r="259">
      <c r="B259" s="20">
        <v>46293.0</v>
      </c>
      <c r="C259" s="28">
        <f t="shared" ref="C259:E259" si="558">0</f>
        <v>0</v>
      </c>
      <c r="D259" s="28">
        <f t="shared" si="558"/>
        <v>0</v>
      </c>
      <c r="E259" s="28">
        <f t="shared" si="558"/>
        <v>0</v>
      </c>
      <c r="F259" s="28">
        <f>14.4</f>
        <v>14.4</v>
      </c>
      <c r="G259" s="28">
        <f>33.6</f>
        <v>33.6</v>
      </c>
      <c r="H259" s="28">
        <f t="shared" ref="H259:L259" si="559">0</f>
        <v>0</v>
      </c>
      <c r="I259" s="28">
        <f t="shared" si="559"/>
        <v>0</v>
      </c>
      <c r="J259" s="28">
        <f t="shared" si="559"/>
        <v>0</v>
      </c>
      <c r="K259" s="28">
        <f t="shared" si="559"/>
        <v>0</v>
      </c>
      <c r="L259" s="28">
        <f t="shared" si="559"/>
        <v>0</v>
      </c>
      <c r="M259" s="28">
        <f>24</f>
        <v>24</v>
      </c>
      <c r="N259" s="28">
        <f t="shared" si="557"/>
        <v>0</v>
      </c>
      <c r="O259" s="28">
        <f>24</f>
        <v>24</v>
      </c>
    </row>
    <row r="260">
      <c r="B260" s="20">
        <v>46293.0</v>
      </c>
      <c r="C260" s="28">
        <f t="shared" ref="C260:E260" si="560">0</f>
        <v>0</v>
      </c>
      <c r="D260" s="28">
        <f t="shared" si="560"/>
        <v>0</v>
      </c>
      <c r="E260" s="28">
        <f t="shared" si="560"/>
        <v>0</v>
      </c>
      <c r="F260" s="28">
        <f>14.1</f>
        <v>14.1</v>
      </c>
      <c r="G260" s="28">
        <f>56.4</f>
        <v>56.4</v>
      </c>
      <c r="H260" s="28">
        <f t="shared" ref="H260:K260" si="561">0</f>
        <v>0</v>
      </c>
      <c r="I260" s="28">
        <f t="shared" si="561"/>
        <v>0</v>
      </c>
      <c r="J260" s="28">
        <f t="shared" si="561"/>
        <v>0</v>
      </c>
      <c r="K260" s="28">
        <f t="shared" si="561"/>
        <v>0</v>
      </c>
      <c r="L260" s="28">
        <f>28.2</f>
        <v>28.2</v>
      </c>
      <c r="M260" s="28">
        <f t="shared" ref="M260:N260" si="562">0</f>
        <v>0</v>
      </c>
      <c r="N260" s="28">
        <f t="shared" si="562"/>
        <v>0</v>
      </c>
      <c r="O260" s="28">
        <f>42.3</f>
        <v>42.3</v>
      </c>
    </row>
    <row r="261">
      <c r="B261" s="20">
        <v>46293.0</v>
      </c>
      <c r="C261" s="21">
        <v>0.0</v>
      </c>
      <c r="D261" s="21">
        <v>0.0</v>
      </c>
      <c r="E261" s="21">
        <v>0.0</v>
      </c>
      <c r="F261" s="21">
        <v>0.0</v>
      </c>
      <c r="G261" s="21">
        <v>0.0</v>
      </c>
      <c r="H261" s="21">
        <v>0.0</v>
      </c>
      <c r="I261" s="21">
        <v>0.0</v>
      </c>
      <c r="J261" s="21">
        <v>0.0</v>
      </c>
      <c r="K261" s="21">
        <v>0.0</v>
      </c>
      <c r="L261" s="21">
        <v>0.0</v>
      </c>
      <c r="M261" s="21">
        <v>0.0</v>
      </c>
      <c r="N261" s="21">
        <v>0.0</v>
      </c>
      <c r="O261" s="28">
        <f>231</f>
        <v>231</v>
      </c>
    </row>
    <row r="262">
      <c r="B262" s="20">
        <v>46294.0</v>
      </c>
      <c r="C262" s="28">
        <f t="shared" ref="C262:F262" si="563">0</f>
        <v>0</v>
      </c>
      <c r="D262" s="28">
        <f t="shared" si="563"/>
        <v>0</v>
      </c>
      <c r="E262" s="28">
        <f t="shared" si="563"/>
        <v>0</v>
      </c>
      <c r="F262" s="28">
        <f t="shared" si="563"/>
        <v>0</v>
      </c>
      <c r="G262" s="28">
        <f>42.3</f>
        <v>42.3</v>
      </c>
      <c r="H262" s="28">
        <f t="shared" ref="H262:L262" si="564">0</f>
        <v>0</v>
      </c>
      <c r="I262" s="28">
        <f t="shared" si="564"/>
        <v>0</v>
      </c>
      <c r="J262" s="28">
        <f t="shared" si="564"/>
        <v>0</v>
      </c>
      <c r="K262" s="28">
        <f t="shared" si="564"/>
        <v>0</v>
      </c>
      <c r="L262" s="28">
        <f t="shared" si="564"/>
        <v>0</v>
      </c>
      <c r="M262" s="28">
        <f>28.2</f>
        <v>28.2</v>
      </c>
      <c r="N262" s="28">
        <f>42.3</f>
        <v>42.3</v>
      </c>
      <c r="O262" s="28">
        <f>28.2</f>
        <v>28.2</v>
      </c>
    </row>
    <row r="263">
      <c r="B263" s="20">
        <v>46294.0</v>
      </c>
      <c r="C263" s="28">
        <f t="shared" ref="C263:F263" si="565">0</f>
        <v>0</v>
      </c>
      <c r="D263" s="28">
        <f t="shared" si="565"/>
        <v>0</v>
      </c>
      <c r="E263" s="28">
        <f t="shared" si="565"/>
        <v>0</v>
      </c>
      <c r="F263" s="28">
        <f t="shared" si="565"/>
        <v>0</v>
      </c>
      <c r="G263" s="28">
        <f>87.5</f>
        <v>87.5</v>
      </c>
      <c r="H263" s="28">
        <f t="shared" ref="H263:N263" si="566">0</f>
        <v>0</v>
      </c>
      <c r="I263" s="28">
        <f t="shared" si="566"/>
        <v>0</v>
      </c>
      <c r="J263" s="28">
        <f t="shared" si="566"/>
        <v>0</v>
      </c>
      <c r="K263" s="28">
        <f t="shared" si="566"/>
        <v>0</v>
      </c>
      <c r="L263" s="28">
        <f t="shared" si="566"/>
        <v>0</v>
      </c>
      <c r="M263" s="28">
        <f t="shared" si="566"/>
        <v>0</v>
      </c>
      <c r="N263" s="28">
        <f t="shared" si="566"/>
        <v>0</v>
      </c>
      <c r="O263" s="28">
        <f>37.5</f>
        <v>37.5</v>
      </c>
    </row>
    <row r="264">
      <c r="B264" s="20">
        <v>46294.0</v>
      </c>
      <c r="C264" s="21">
        <v>0.0</v>
      </c>
      <c r="D264" s="21">
        <v>0.0</v>
      </c>
      <c r="E264" s="21">
        <v>0.0</v>
      </c>
      <c r="F264" s="21">
        <v>0.0</v>
      </c>
      <c r="G264" s="21">
        <v>0.0</v>
      </c>
      <c r="H264" s="21">
        <v>0.0</v>
      </c>
      <c r="I264" s="21">
        <v>0.0</v>
      </c>
      <c r="J264" s="21">
        <v>0.0</v>
      </c>
      <c r="K264" s="21">
        <v>0.0</v>
      </c>
      <c r="L264" s="21">
        <v>0.0</v>
      </c>
      <c r="M264" s="21">
        <v>0.0</v>
      </c>
      <c r="N264" s="21">
        <v>0.0</v>
      </c>
      <c r="O264" s="28">
        <f>178</f>
        <v>178</v>
      </c>
    </row>
    <row r="265">
      <c r="B265" s="20">
        <v>46294.0</v>
      </c>
      <c r="C265" s="28">
        <f t="shared" ref="C265:E265" si="567">0</f>
        <v>0</v>
      </c>
      <c r="D265" s="28">
        <f t="shared" si="567"/>
        <v>0</v>
      </c>
      <c r="E265" s="28">
        <f t="shared" si="567"/>
        <v>0</v>
      </c>
      <c r="F265" s="28">
        <f>18.6</f>
        <v>18.6</v>
      </c>
      <c r="G265" s="28">
        <f>37.2</f>
        <v>37.2</v>
      </c>
      <c r="H265" s="28">
        <f t="shared" ref="H265:H266" si="570">0</f>
        <v>0</v>
      </c>
      <c r="I265" s="28">
        <f>18.6</f>
        <v>18.6</v>
      </c>
      <c r="J265" s="28">
        <f t="shared" ref="J265:K265" si="568">0</f>
        <v>0</v>
      </c>
      <c r="K265" s="28">
        <f t="shared" si="568"/>
        <v>0</v>
      </c>
      <c r="L265" s="28">
        <f>55.8</f>
        <v>55.8</v>
      </c>
      <c r="M265" s="28">
        <f>37.2</f>
        <v>37.2</v>
      </c>
      <c r="N265" s="28">
        <f>18.6</f>
        <v>18.6</v>
      </c>
      <c r="O265" s="28">
        <f>0</f>
        <v>0</v>
      </c>
    </row>
    <row r="266">
      <c r="B266" s="20">
        <v>46295.0</v>
      </c>
      <c r="C266" s="28">
        <f t="shared" ref="C266:E266" si="569">0</f>
        <v>0</v>
      </c>
      <c r="D266" s="28">
        <f t="shared" si="569"/>
        <v>0</v>
      </c>
      <c r="E266" s="28">
        <f t="shared" si="569"/>
        <v>0</v>
      </c>
      <c r="F266" s="28">
        <f>17</f>
        <v>17</v>
      </c>
      <c r="G266" s="28">
        <f>51</f>
        <v>51</v>
      </c>
      <c r="H266" s="28">
        <f t="shared" si="570"/>
        <v>0</v>
      </c>
      <c r="I266" s="28">
        <f>34</f>
        <v>34</v>
      </c>
      <c r="J266" s="28">
        <f t="shared" ref="J266:N266" si="571">0</f>
        <v>0</v>
      </c>
      <c r="K266" s="28">
        <f t="shared" si="571"/>
        <v>0</v>
      </c>
      <c r="L266" s="28">
        <f t="shared" si="571"/>
        <v>0</v>
      </c>
      <c r="M266" s="28">
        <f t="shared" si="571"/>
        <v>0</v>
      </c>
      <c r="N266" s="28">
        <f t="shared" si="571"/>
        <v>0</v>
      </c>
      <c r="O266" s="28">
        <f>68</f>
        <v>68</v>
      </c>
    </row>
    <row r="267">
      <c r="B267" s="20">
        <v>46295.0</v>
      </c>
      <c r="C267" s="28">
        <f t="shared" ref="C267:K267" si="572">0</f>
        <v>0</v>
      </c>
      <c r="D267" s="28">
        <f t="shared" si="572"/>
        <v>0</v>
      </c>
      <c r="E267" s="28">
        <f t="shared" si="572"/>
        <v>0</v>
      </c>
      <c r="F267" s="28">
        <f t="shared" si="572"/>
        <v>0</v>
      </c>
      <c r="G267" s="28">
        <f t="shared" si="572"/>
        <v>0</v>
      </c>
      <c r="H267" s="28">
        <f t="shared" si="572"/>
        <v>0</v>
      </c>
      <c r="I267" s="28">
        <f t="shared" si="572"/>
        <v>0</v>
      </c>
      <c r="J267" s="28">
        <f t="shared" si="572"/>
        <v>0</v>
      </c>
      <c r="K267" s="28">
        <f t="shared" si="572"/>
        <v>0</v>
      </c>
      <c r="L267" s="28">
        <f>52</f>
        <v>52</v>
      </c>
      <c r="M267" s="28">
        <f t="shared" ref="M267:N267" si="573">0</f>
        <v>0</v>
      </c>
      <c r="N267" s="28">
        <f t="shared" si="573"/>
        <v>0</v>
      </c>
      <c r="O267" s="28">
        <f>52</f>
        <v>52</v>
      </c>
    </row>
    <row r="268">
      <c r="B268" s="20">
        <v>46295.0</v>
      </c>
      <c r="C268" s="28">
        <f t="shared" ref="C268:E268" si="574">0</f>
        <v>0</v>
      </c>
      <c r="D268" s="28">
        <f t="shared" si="574"/>
        <v>0</v>
      </c>
      <c r="E268" s="28">
        <f t="shared" si="574"/>
        <v>0</v>
      </c>
      <c r="F268" s="28">
        <f>21</f>
        <v>21</v>
      </c>
      <c r="G268" s="28">
        <f>42</f>
        <v>42</v>
      </c>
      <c r="H268" s="28">
        <f t="shared" ref="H268:K268" si="575">0</f>
        <v>0</v>
      </c>
      <c r="I268" s="28">
        <f t="shared" si="575"/>
        <v>0</v>
      </c>
      <c r="J268" s="28">
        <f t="shared" si="575"/>
        <v>0</v>
      </c>
      <c r="K268" s="28">
        <f t="shared" si="575"/>
        <v>0</v>
      </c>
      <c r="L268" s="28">
        <f>63</f>
        <v>63</v>
      </c>
      <c r="M268" s="28">
        <f t="shared" ref="M268:N268" si="576">21</f>
        <v>21</v>
      </c>
      <c r="N268" s="28">
        <f t="shared" si="576"/>
        <v>21</v>
      </c>
      <c r="O268" s="28">
        <f>42</f>
        <v>42</v>
      </c>
    </row>
    <row r="269">
      <c r="B269" s="20">
        <v>46296.0</v>
      </c>
      <c r="C269" s="28">
        <f>19</f>
        <v>19</v>
      </c>
      <c r="D269" s="28">
        <f t="shared" ref="D269:F269" si="577">0</f>
        <v>0</v>
      </c>
      <c r="E269" s="28">
        <f t="shared" si="577"/>
        <v>0</v>
      </c>
      <c r="F269" s="28">
        <f t="shared" si="577"/>
        <v>0</v>
      </c>
      <c r="G269" s="28">
        <f>57</f>
        <v>57</v>
      </c>
      <c r="H269" s="28">
        <f t="shared" ref="H269:K269" si="578">0</f>
        <v>0</v>
      </c>
      <c r="I269" s="28">
        <f t="shared" si="578"/>
        <v>0</v>
      </c>
      <c r="J269" s="28">
        <f t="shared" si="578"/>
        <v>0</v>
      </c>
      <c r="K269" s="28">
        <f t="shared" si="578"/>
        <v>0</v>
      </c>
      <c r="L269" s="28">
        <f t="shared" ref="L269:M269" si="579">57</f>
        <v>57</v>
      </c>
      <c r="M269" s="28">
        <f t="shared" si="579"/>
        <v>57</v>
      </c>
      <c r="N269" s="28">
        <f t="shared" ref="N269:O269" si="580">0</f>
        <v>0</v>
      </c>
      <c r="O269" s="28">
        <f t="shared" si="580"/>
        <v>0</v>
      </c>
    </row>
    <row r="270">
      <c r="B270" s="20">
        <v>46296.0</v>
      </c>
      <c r="C270" s="28">
        <f t="shared" ref="C270:F270" si="581">0</f>
        <v>0</v>
      </c>
      <c r="D270" s="28">
        <f t="shared" si="581"/>
        <v>0</v>
      </c>
      <c r="E270" s="28">
        <f t="shared" si="581"/>
        <v>0</v>
      </c>
      <c r="F270" s="28">
        <f t="shared" si="581"/>
        <v>0</v>
      </c>
      <c r="G270" s="28">
        <f>101.4</f>
        <v>101.4</v>
      </c>
      <c r="H270" s="28">
        <f t="shared" ref="H270:N270" si="582">0</f>
        <v>0</v>
      </c>
      <c r="I270" s="28">
        <f t="shared" si="582"/>
        <v>0</v>
      </c>
      <c r="J270" s="28">
        <f t="shared" si="582"/>
        <v>0</v>
      </c>
      <c r="K270" s="28">
        <f t="shared" si="582"/>
        <v>0</v>
      </c>
      <c r="L270" s="28">
        <f t="shared" si="582"/>
        <v>0</v>
      </c>
      <c r="M270" s="28">
        <f t="shared" si="582"/>
        <v>0</v>
      </c>
      <c r="N270" s="28">
        <f t="shared" si="582"/>
        <v>0</v>
      </c>
      <c r="O270" s="28">
        <f>67.6</f>
        <v>67.6</v>
      </c>
    </row>
    <row r="271">
      <c r="B271" s="20">
        <v>46296.0</v>
      </c>
      <c r="C271" s="28">
        <f t="shared" ref="C271:K271" si="583">0</f>
        <v>0</v>
      </c>
      <c r="D271" s="28">
        <f t="shared" si="583"/>
        <v>0</v>
      </c>
      <c r="E271" s="28">
        <f t="shared" si="583"/>
        <v>0</v>
      </c>
      <c r="F271" s="28">
        <f t="shared" si="583"/>
        <v>0</v>
      </c>
      <c r="G271" s="28">
        <f t="shared" si="583"/>
        <v>0</v>
      </c>
      <c r="H271" s="28">
        <f t="shared" si="583"/>
        <v>0</v>
      </c>
      <c r="I271" s="28">
        <f t="shared" si="583"/>
        <v>0</v>
      </c>
      <c r="J271" s="28">
        <f t="shared" si="583"/>
        <v>0</v>
      </c>
      <c r="K271" s="28">
        <f t="shared" si="583"/>
        <v>0</v>
      </c>
      <c r="L271" s="28">
        <f>99.6</f>
        <v>99.6</v>
      </c>
      <c r="M271" s="28">
        <f t="shared" ref="M271:N271" si="584">0</f>
        <v>0</v>
      </c>
      <c r="N271" s="28">
        <f t="shared" si="584"/>
        <v>0</v>
      </c>
      <c r="O271" s="28">
        <f>66.4</f>
        <v>66.4</v>
      </c>
    </row>
    <row r="272">
      <c r="B272" s="20">
        <v>46296.0</v>
      </c>
      <c r="C272" s="28">
        <f t="shared" ref="C272:E272" si="585">0</f>
        <v>0</v>
      </c>
      <c r="D272" s="28">
        <f t="shared" si="585"/>
        <v>0</v>
      </c>
      <c r="E272" s="28">
        <f t="shared" si="585"/>
        <v>0</v>
      </c>
      <c r="F272" s="28">
        <f>20.1</f>
        <v>20.1</v>
      </c>
      <c r="G272" s="28">
        <f>80.4</f>
        <v>80.4</v>
      </c>
      <c r="H272" s="28">
        <f t="shared" ref="H272:K272" si="586">0</f>
        <v>0</v>
      </c>
      <c r="I272" s="28">
        <f t="shared" si="586"/>
        <v>0</v>
      </c>
      <c r="J272" s="28">
        <f t="shared" si="586"/>
        <v>0</v>
      </c>
      <c r="K272" s="28">
        <f t="shared" si="586"/>
        <v>0</v>
      </c>
      <c r="L272" s="28">
        <f>40.2</f>
        <v>40.2</v>
      </c>
      <c r="M272" s="28">
        <f t="shared" ref="M272:N272" si="587">0</f>
        <v>0</v>
      </c>
      <c r="N272" s="28">
        <f t="shared" si="587"/>
        <v>0</v>
      </c>
      <c r="O272" s="28">
        <f>60.3</f>
        <v>60.3</v>
      </c>
    </row>
    <row r="273">
      <c r="B273" s="20">
        <v>46297.0</v>
      </c>
      <c r="C273" s="21">
        <v>0.0</v>
      </c>
      <c r="D273" s="21">
        <v>0.0</v>
      </c>
      <c r="E273" s="21">
        <v>0.0</v>
      </c>
      <c r="F273" s="21">
        <v>0.0</v>
      </c>
      <c r="G273" s="21">
        <v>0.0</v>
      </c>
      <c r="H273" s="21">
        <v>0.0</v>
      </c>
      <c r="I273" s="21">
        <v>0.0</v>
      </c>
      <c r="J273" s="21">
        <v>0.0</v>
      </c>
      <c r="K273" s="21">
        <v>0.0</v>
      </c>
      <c r="L273" s="21">
        <v>0.0</v>
      </c>
      <c r="M273" s="21">
        <v>0.0</v>
      </c>
      <c r="N273" s="21">
        <v>0.0</v>
      </c>
      <c r="O273" s="28">
        <f>194</f>
        <v>194</v>
      </c>
    </row>
    <row r="274">
      <c r="B274" s="20">
        <v>46297.0</v>
      </c>
      <c r="C274" s="28">
        <f t="shared" ref="C274:N274" si="588">0</f>
        <v>0</v>
      </c>
      <c r="D274" s="28">
        <f t="shared" si="588"/>
        <v>0</v>
      </c>
      <c r="E274" s="28">
        <f t="shared" si="588"/>
        <v>0</v>
      </c>
      <c r="F274" s="28">
        <f t="shared" si="588"/>
        <v>0</v>
      </c>
      <c r="G274" s="28">
        <f t="shared" si="588"/>
        <v>0</v>
      </c>
      <c r="H274" s="28">
        <f t="shared" si="588"/>
        <v>0</v>
      </c>
      <c r="I274" s="28">
        <f t="shared" si="588"/>
        <v>0</v>
      </c>
      <c r="J274" s="28">
        <f t="shared" si="588"/>
        <v>0</v>
      </c>
      <c r="K274" s="28">
        <f t="shared" si="588"/>
        <v>0</v>
      </c>
      <c r="L274" s="28">
        <f t="shared" si="588"/>
        <v>0</v>
      </c>
      <c r="M274" s="28">
        <f t="shared" si="588"/>
        <v>0</v>
      </c>
      <c r="N274" s="28">
        <f t="shared" si="588"/>
        <v>0</v>
      </c>
      <c r="O274" s="28">
        <f>97</f>
        <v>97</v>
      </c>
    </row>
    <row r="275">
      <c r="B275" s="20">
        <v>46297.0</v>
      </c>
      <c r="C275" s="21">
        <v>0.0</v>
      </c>
      <c r="D275" s="21">
        <v>0.0</v>
      </c>
      <c r="E275" s="21">
        <v>0.0</v>
      </c>
      <c r="F275" s="21">
        <v>0.0</v>
      </c>
      <c r="G275" s="21">
        <v>0.0</v>
      </c>
      <c r="H275" s="21">
        <v>0.0</v>
      </c>
      <c r="I275" s="21">
        <v>0.0</v>
      </c>
      <c r="J275" s="21">
        <v>0.0</v>
      </c>
      <c r="K275" s="21">
        <v>0.0</v>
      </c>
      <c r="L275" s="21">
        <v>0.0</v>
      </c>
      <c r="M275" s="21">
        <v>0.0</v>
      </c>
      <c r="N275" s="21">
        <v>0.0</v>
      </c>
      <c r="O275" s="28">
        <f>111</f>
        <v>111</v>
      </c>
    </row>
    <row r="276">
      <c r="B276" s="20">
        <v>46297.0</v>
      </c>
      <c r="C276" s="21">
        <v>0.0</v>
      </c>
      <c r="D276" s="21">
        <v>0.0</v>
      </c>
      <c r="E276" s="21">
        <v>0.0</v>
      </c>
      <c r="F276" s="21">
        <v>0.0</v>
      </c>
      <c r="G276" s="21">
        <v>0.0</v>
      </c>
      <c r="H276" s="21">
        <v>0.0</v>
      </c>
      <c r="I276" s="21">
        <v>0.0</v>
      </c>
      <c r="J276" s="21">
        <v>0.0</v>
      </c>
      <c r="K276" s="21">
        <v>0.0</v>
      </c>
      <c r="L276" s="21">
        <v>0.0</v>
      </c>
      <c r="M276" s="21">
        <v>0.0</v>
      </c>
      <c r="N276" s="21">
        <v>0.0</v>
      </c>
      <c r="O276" s="28">
        <f>119</f>
        <v>119</v>
      </c>
    </row>
    <row r="277">
      <c r="B277" s="20">
        <v>46298.0</v>
      </c>
      <c r="C277" s="21">
        <v>0.0</v>
      </c>
      <c r="D277" s="21">
        <v>0.0</v>
      </c>
      <c r="E277" s="21">
        <v>0.0</v>
      </c>
      <c r="F277" s="21">
        <v>0.0</v>
      </c>
      <c r="G277" s="21">
        <v>0.0</v>
      </c>
      <c r="H277" s="21">
        <v>0.0</v>
      </c>
      <c r="I277" s="21">
        <v>0.0</v>
      </c>
      <c r="J277" s="21">
        <v>0.0</v>
      </c>
      <c r="K277" s="21">
        <v>0.0</v>
      </c>
      <c r="L277" s="21">
        <v>0.0</v>
      </c>
      <c r="M277" s="21">
        <v>0.0</v>
      </c>
      <c r="N277" s="21">
        <v>0.0</v>
      </c>
      <c r="O277" s="28">
        <f>144</f>
        <v>144</v>
      </c>
    </row>
    <row r="278">
      <c r="B278" s="20">
        <v>46303.0</v>
      </c>
      <c r="C278" s="28">
        <f t="shared" ref="C278:C279" si="591">25.6</f>
        <v>25.6</v>
      </c>
      <c r="D278" s="28">
        <f t="shared" ref="D278:F278" si="589">0</f>
        <v>0</v>
      </c>
      <c r="E278" s="28">
        <f t="shared" si="589"/>
        <v>0</v>
      </c>
      <c r="F278" s="28">
        <f t="shared" si="589"/>
        <v>0</v>
      </c>
      <c r="G278" s="28">
        <f t="shared" ref="G278:G279" si="593">38.4</f>
        <v>38.4</v>
      </c>
      <c r="H278" s="28">
        <f t="shared" ref="H278:O278" si="590">0</f>
        <v>0</v>
      </c>
      <c r="I278" s="28">
        <f t="shared" si="590"/>
        <v>0</v>
      </c>
      <c r="J278" s="28">
        <f t="shared" si="590"/>
        <v>0</v>
      </c>
      <c r="K278" s="28">
        <f t="shared" si="590"/>
        <v>0</v>
      </c>
      <c r="L278" s="28">
        <f t="shared" si="590"/>
        <v>0</v>
      </c>
      <c r="M278" s="28">
        <f t="shared" si="590"/>
        <v>0</v>
      </c>
      <c r="N278" s="28">
        <f t="shared" si="590"/>
        <v>0</v>
      </c>
      <c r="O278" s="28">
        <f t="shared" si="590"/>
        <v>0</v>
      </c>
    </row>
    <row r="279">
      <c r="B279" s="20">
        <v>46303.0</v>
      </c>
      <c r="C279" s="28">
        <f t="shared" si="591"/>
        <v>25.6</v>
      </c>
      <c r="D279" s="28">
        <f t="shared" ref="D279:F279" si="592">0</f>
        <v>0</v>
      </c>
      <c r="E279" s="28">
        <f t="shared" si="592"/>
        <v>0</v>
      </c>
      <c r="F279" s="28">
        <f t="shared" si="592"/>
        <v>0</v>
      </c>
      <c r="G279" s="28">
        <f t="shared" si="593"/>
        <v>38.4</v>
      </c>
      <c r="H279" s="28">
        <f t="shared" ref="H279:O279" si="594">0</f>
        <v>0</v>
      </c>
      <c r="I279" s="28">
        <f t="shared" si="594"/>
        <v>0</v>
      </c>
      <c r="J279" s="28">
        <f t="shared" si="594"/>
        <v>0</v>
      </c>
      <c r="K279" s="28">
        <f t="shared" si="594"/>
        <v>0</v>
      </c>
      <c r="L279" s="28">
        <f t="shared" si="594"/>
        <v>0</v>
      </c>
      <c r="M279" s="28">
        <f t="shared" si="594"/>
        <v>0</v>
      </c>
      <c r="N279" s="28">
        <f t="shared" si="594"/>
        <v>0</v>
      </c>
      <c r="O279" s="28">
        <f t="shared" si="594"/>
        <v>0</v>
      </c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13"/>
    <col customWidth="1" min="12" max="12" width="16.63"/>
  </cols>
  <sheetData>
    <row r="1">
      <c r="B1" s="1" t="s">
        <v>12</v>
      </c>
      <c r="C1" s="1" t="s">
        <v>8</v>
      </c>
      <c r="D1" s="1" t="s">
        <v>15</v>
      </c>
      <c r="E1" s="1" t="s">
        <v>19</v>
      </c>
      <c r="F1" s="1" t="s">
        <v>23</v>
      </c>
      <c r="G1" s="1" t="s">
        <v>13</v>
      </c>
      <c r="H1" s="1" t="s">
        <v>18</v>
      </c>
      <c r="I1" s="1" t="s">
        <v>11</v>
      </c>
      <c r="J1" s="1" t="s">
        <v>30</v>
      </c>
      <c r="K1" s="1" t="s">
        <v>58</v>
      </c>
      <c r="L1" s="1" t="s">
        <v>16</v>
      </c>
      <c r="M1" s="1" t="s">
        <v>14</v>
      </c>
      <c r="N1" s="1" t="s">
        <v>22</v>
      </c>
      <c r="O1" s="1" t="s">
        <v>24</v>
      </c>
    </row>
    <row r="2">
      <c r="B2" s="20">
        <v>46204.0</v>
      </c>
      <c r="C2" s="21">
        <f>14.4</f>
        <v>14.4</v>
      </c>
      <c r="D2" s="21">
        <f t="shared" ref="D2:H2" si="1">0</f>
        <v>0</v>
      </c>
      <c r="E2" s="21">
        <f t="shared" si="1"/>
        <v>0</v>
      </c>
      <c r="F2" s="21">
        <f t="shared" si="1"/>
        <v>0</v>
      </c>
      <c r="G2" s="21">
        <f t="shared" si="1"/>
        <v>0</v>
      </c>
      <c r="H2" s="21">
        <f t="shared" si="1"/>
        <v>0</v>
      </c>
      <c r="I2" s="21">
        <f>7.2</f>
        <v>7.2</v>
      </c>
      <c r="J2" s="21">
        <f t="shared" ref="J2:L2" si="2">0</f>
        <v>0</v>
      </c>
      <c r="K2" s="21">
        <f t="shared" si="2"/>
        <v>0</v>
      </c>
      <c r="L2" s="21">
        <f t="shared" si="2"/>
        <v>0</v>
      </c>
      <c r="M2" s="21">
        <f>2.4</f>
        <v>2.4</v>
      </c>
      <c r="N2" s="21">
        <f t="shared" ref="N2:O2" si="3">0</f>
        <v>0</v>
      </c>
      <c r="O2" s="21">
        <f t="shared" si="3"/>
        <v>0</v>
      </c>
    </row>
    <row r="3">
      <c r="B3" s="20">
        <v>46204.0</v>
      </c>
      <c r="C3" s="21">
        <f>25.2</f>
        <v>25.2</v>
      </c>
      <c r="D3" s="21">
        <f t="shared" ref="D3:H3" si="4">0</f>
        <v>0</v>
      </c>
      <c r="E3" s="21">
        <f t="shared" si="4"/>
        <v>0</v>
      </c>
      <c r="F3" s="21">
        <f t="shared" si="4"/>
        <v>0</v>
      </c>
      <c r="G3" s="21">
        <f t="shared" si="4"/>
        <v>0</v>
      </c>
      <c r="H3" s="21">
        <f t="shared" si="4"/>
        <v>0</v>
      </c>
      <c r="I3" s="21">
        <f>31.5</f>
        <v>31.5</v>
      </c>
      <c r="J3" s="21">
        <f t="shared" ref="J3:L3" si="5">0</f>
        <v>0</v>
      </c>
      <c r="K3" s="21">
        <f t="shared" si="5"/>
        <v>0</v>
      </c>
      <c r="L3" s="21">
        <f t="shared" si="5"/>
        <v>0</v>
      </c>
      <c r="M3" s="21">
        <f>6.3</f>
        <v>6.3</v>
      </c>
      <c r="N3" s="21">
        <f t="shared" ref="N3:O3" si="6">0</f>
        <v>0</v>
      </c>
      <c r="O3" s="21">
        <f t="shared" si="6"/>
        <v>0</v>
      </c>
    </row>
    <row r="4">
      <c r="B4" s="20">
        <v>46204.0</v>
      </c>
      <c r="C4" s="21">
        <f>51.2</f>
        <v>51.2</v>
      </c>
      <c r="D4" s="21">
        <f t="shared" ref="D4:H4" si="7">0</f>
        <v>0</v>
      </c>
      <c r="E4" s="21">
        <f t="shared" si="7"/>
        <v>0</v>
      </c>
      <c r="F4" s="21">
        <f t="shared" si="7"/>
        <v>0</v>
      </c>
      <c r="G4" s="21">
        <f t="shared" si="7"/>
        <v>0</v>
      </c>
      <c r="H4" s="21">
        <f t="shared" si="7"/>
        <v>0</v>
      </c>
      <c r="I4" s="21">
        <f>6.4</f>
        <v>6.4</v>
      </c>
      <c r="J4" s="21">
        <f t="shared" ref="J4:N4" si="8">0</f>
        <v>0</v>
      </c>
      <c r="K4" s="21">
        <f t="shared" si="8"/>
        <v>0</v>
      </c>
      <c r="L4" s="21">
        <f t="shared" si="8"/>
        <v>0</v>
      </c>
      <c r="M4" s="21">
        <f t="shared" si="8"/>
        <v>0</v>
      </c>
      <c r="N4" s="21">
        <f t="shared" si="8"/>
        <v>0</v>
      </c>
      <c r="O4" s="21">
        <f>6.4</f>
        <v>6.4</v>
      </c>
    </row>
    <row r="5">
      <c r="B5" s="20">
        <v>46204.0</v>
      </c>
      <c r="C5" s="21">
        <f>43.2</f>
        <v>43.2</v>
      </c>
      <c r="D5" s="21">
        <f t="shared" ref="D5:L5" si="9">0</f>
        <v>0</v>
      </c>
      <c r="E5" s="21">
        <f t="shared" si="9"/>
        <v>0</v>
      </c>
      <c r="F5" s="21">
        <f t="shared" si="9"/>
        <v>0</v>
      </c>
      <c r="G5" s="21">
        <f t="shared" si="9"/>
        <v>0</v>
      </c>
      <c r="H5" s="21">
        <f t="shared" si="9"/>
        <v>0</v>
      </c>
      <c r="I5" s="21">
        <f t="shared" si="9"/>
        <v>0</v>
      </c>
      <c r="J5" s="21">
        <f t="shared" si="9"/>
        <v>0</v>
      </c>
      <c r="K5" s="21">
        <f t="shared" si="9"/>
        <v>0</v>
      </c>
      <c r="L5" s="21">
        <f t="shared" si="9"/>
        <v>0</v>
      </c>
      <c r="M5" s="21">
        <f>4.8</f>
        <v>4.8</v>
      </c>
      <c r="N5" s="21">
        <f t="shared" ref="N5:O5" si="10">0</f>
        <v>0</v>
      </c>
      <c r="O5" s="21">
        <f t="shared" si="10"/>
        <v>0</v>
      </c>
    </row>
    <row r="6">
      <c r="B6" s="20">
        <v>46204.0</v>
      </c>
      <c r="C6" s="21">
        <f t="shared" ref="C6:F6" si="11">0</f>
        <v>0</v>
      </c>
      <c r="D6" s="21">
        <f t="shared" si="11"/>
        <v>0</v>
      </c>
      <c r="E6" s="21">
        <f t="shared" si="11"/>
        <v>0</v>
      </c>
      <c r="F6" s="21">
        <f t="shared" si="11"/>
        <v>0</v>
      </c>
      <c r="G6" s="21">
        <f>41</f>
        <v>41</v>
      </c>
      <c r="H6" s="21">
        <f t="shared" ref="H6:O6" si="12">0</f>
        <v>0</v>
      </c>
      <c r="I6" s="21">
        <f t="shared" si="12"/>
        <v>0</v>
      </c>
      <c r="J6" s="21">
        <f t="shared" si="12"/>
        <v>0</v>
      </c>
      <c r="K6" s="21">
        <f t="shared" si="12"/>
        <v>0</v>
      </c>
      <c r="L6" s="21">
        <f t="shared" si="12"/>
        <v>0</v>
      </c>
      <c r="M6" s="21">
        <f t="shared" si="12"/>
        <v>0</v>
      </c>
      <c r="N6" s="21">
        <f t="shared" si="12"/>
        <v>0</v>
      </c>
      <c r="O6" s="21">
        <f t="shared" si="12"/>
        <v>0</v>
      </c>
    </row>
    <row r="7">
      <c r="B7" s="20">
        <v>46204.0</v>
      </c>
      <c r="C7" s="21">
        <f>105</f>
        <v>105</v>
      </c>
      <c r="D7" s="21">
        <f t="shared" ref="D7:O7" si="13">0</f>
        <v>0</v>
      </c>
      <c r="E7" s="21">
        <f t="shared" si="13"/>
        <v>0</v>
      </c>
      <c r="F7" s="21">
        <f t="shared" si="13"/>
        <v>0</v>
      </c>
      <c r="G7" s="21">
        <f t="shared" si="13"/>
        <v>0</v>
      </c>
      <c r="H7" s="21">
        <f t="shared" si="13"/>
        <v>0</v>
      </c>
      <c r="I7" s="21">
        <f t="shared" si="13"/>
        <v>0</v>
      </c>
      <c r="J7" s="21">
        <f t="shared" si="13"/>
        <v>0</v>
      </c>
      <c r="K7" s="21">
        <f t="shared" si="13"/>
        <v>0</v>
      </c>
      <c r="L7" s="21">
        <f t="shared" si="13"/>
        <v>0</v>
      </c>
      <c r="M7" s="21">
        <f t="shared" si="13"/>
        <v>0</v>
      </c>
      <c r="N7" s="21">
        <f t="shared" si="13"/>
        <v>0</v>
      </c>
      <c r="O7" s="21">
        <f t="shared" si="13"/>
        <v>0</v>
      </c>
    </row>
    <row r="8">
      <c r="B8" s="20">
        <v>46204.0</v>
      </c>
      <c r="C8" s="21">
        <v>0.0</v>
      </c>
      <c r="D8" s="21">
        <v>0.0</v>
      </c>
      <c r="E8" s="21">
        <v>0.0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0.0</v>
      </c>
      <c r="L8" s="21">
        <v>0.0</v>
      </c>
      <c r="M8" s="21">
        <v>0.0</v>
      </c>
      <c r="N8" s="21">
        <v>0.0</v>
      </c>
      <c r="O8" s="21">
        <f>34</f>
        <v>34</v>
      </c>
    </row>
    <row r="9">
      <c r="B9" s="20">
        <v>46204.0</v>
      </c>
      <c r="C9" s="21">
        <f t="shared" ref="C9:I9" si="14">0</f>
        <v>0</v>
      </c>
      <c r="D9" s="21">
        <f t="shared" si="14"/>
        <v>0</v>
      </c>
      <c r="E9" s="21">
        <f t="shared" si="14"/>
        <v>0</v>
      </c>
      <c r="F9" s="21">
        <f t="shared" si="14"/>
        <v>0</v>
      </c>
      <c r="G9" s="21">
        <f t="shared" si="14"/>
        <v>0</v>
      </c>
      <c r="H9" s="21">
        <f t="shared" si="14"/>
        <v>0</v>
      </c>
      <c r="I9" s="21">
        <f t="shared" si="14"/>
        <v>0</v>
      </c>
      <c r="J9" s="21">
        <f>126</f>
        <v>126</v>
      </c>
      <c r="K9" s="21">
        <f t="shared" ref="K9:O9" si="15">0</f>
        <v>0</v>
      </c>
      <c r="L9" s="21">
        <f t="shared" si="15"/>
        <v>0</v>
      </c>
      <c r="M9" s="21">
        <f t="shared" si="15"/>
        <v>0</v>
      </c>
      <c r="N9" s="21">
        <f t="shared" si="15"/>
        <v>0</v>
      </c>
      <c r="O9" s="21">
        <f t="shared" si="15"/>
        <v>0</v>
      </c>
    </row>
    <row r="10">
      <c r="B10" s="20">
        <v>46204.0</v>
      </c>
      <c r="C10" s="21">
        <f t="shared" ref="C10:E10" si="16">0</f>
        <v>0</v>
      </c>
      <c r="D10" s="21">
        <f t="shared" si="16"/>
        <v>0</v>
      </c>
      <c r="E10" s="21">
        <f t="shared" si="16"/>
        <v>0</v>
      </c>
      <c r="F10" s="21">
        <f>44</f>
        <v>44</v>
      </c>
      <c r="G10" s="21">
        <f t="shared" ref="G10:O10" si="17">0</f>
        <v>0</v>
      </c>
      <c r="H10" s="21">
        <f t="shared" si="17"/>
        <v>0</v>
      </c>
      <c r="I10" s="21">
        <f t="shared" si="17"/>
        <v>0</v>
      </c>
      <c r="J10" s="21">
        <f t="shared" si="17"/>
        <v>0</v>
      </c>
      <c r="K10" s="21">
        <f t="shared" si="17"/>
        <v>0</v>
      </c>
      <c r="L10" s="21">
        <f t="shared" si="17"/>
        <v>0</v>
      </c>
      <c r="M10" s="21">
        <f t="shared" si="17"/>
        <v>0</v>
      </c>
      <c r="N10" s="21">
        <f t="shared" si="17"/>
        <v>0</v>
      </c>
      <c r="O10" s="21">
        <f t="shared" si="17"/>
        <v>0</v>
      </c>
    </row>
    <row r="11">
      <c r="B11" s="20">
        <v>46204.0</v>
      </c>
      <c r="C11" s="21">
        <f t="shared" ref="C11:H11" si="18">0</f>
        <v>0</v>
      </c>
      <c r="D11" s="21">
        <f t="shared" si="18"/>
        <v>0</v>
      </c>
      <c r="E11" s="21">
        <f t="shared" si="18"/>
        <v>0</v>
      </c>
      <c r="F11" s="21">
        <f t="shared" si="18"/>
        <v>0</v>
      </c>
      <c r="G11" s="21">
        <f t="shared" si="18"/>
        <v>0</v>
      </c>
      <c r="H11" s="21">
        <f t="shared" si="18"/>
        <v>0</v>
      </c>
      <c r="I11" s="21">
        <f>9</f>
        <v>9</v>
      </c>
      <c r="J11" s="21">
        <f t="shared" ref="J11:L11" si="19">0</f>
        <v>0</v>
      </c>
      <c r="K11" s="21">
        <f t="shared" si="19"/>
        <v>0</v>
      </c>
      <c r="L11" s="21">
        <f t="shared" si="19"/>
        <v>0</v>
      </c>
      <c r="M11" s="21">
        <f>6</f>
        <v>6</v>
      </c>
      <c r="N11" s="21">
        <f t="shared" ref="N11:O11" si="20">0</f>
        <v>0</v>
      </c>
      <c r="O11" s="21">
        <f t="shared" si="20"/>
        <v>0</v>
      </c>
    </row>
    <row r="12">
      <c r="B12" s="20">
        <v>46205.0</v>
      </c>
      <c r="C12" s="21">
        <f>27</f>
        <v>27</v>
      </c>
      <c r="D12" s="21">
        <f t="shared" ref="D12:H12" si="21">0</f>
        <v>0</v>
      </c>
      <c r="E12" s="21">
        <f t="shared" si="21"/>
        <v>0</v>
      </c>
      <c r="F12" s="21">
        <f t="shared" si="21"/>
        <v>0</v>
      </c>
      <c r="G12" s="21">
        <f t="shared" si="21"/>
        <v>0</v>
      </c>
      <c r="H12" s="21">
        <f t="shared" si="21"/>
        <v>0</v>
      </c>
      <c r="I12" s="21">
        <f>27</f>
        <v>27</v>
      </c>
      <c r="J12" s="21">
        <f t="shared" ref="J12:O12" si="22">0</f>
        <v>0</v>
      </c>
      <c r="K12" s="21">
        <f t="shared" si="22"/>
        <v>0</v>
      </c>
      <c r="L12" s="21">
        <f t="shared" si="22"/>
        <v>0</v>
      </c>
      <c r="M12" s="21">
        <f t="shared" si="22"/>
        <v>0</v>
      </c>
      <c r="N12" s="21">
        <f t="shared" si="22"/>
        <v>0</v>
      </c>
      <c r="O12" s="21">
        <f t="shared" si="22"/>
        <v>0</v>
      </c>
    </row>
    <row r="13">
      <c r="B13" s="20">
        <v>46205.0</v>
      </c>
      <c r="C13" s="21">
        <f>2.6</f>
        <v>2.6</v>
      </c>
      <c r="D13" s="21">
        <f t="shared" ref="D13:H13" si="23">0</f>
        <v>0</v>
      </c>
      <c r="E13" s="21">
        <f t="shared" si="23"/>
        <v>0</v>
      </c>
      <c r="F13" s="21">
        <f t="shared" si="23"/>
        <v>0</v>
      </c>
      <c r="G13" s="21">
        <f t="shared" si="23"/>
        <v>0</v>
      </c>
      <c r="H13" s="21">
        <f t="shared" si="23"/>
        <v>0</v>
      </c>
      <c r="I13" s="21">
        <f>20.8</f>
        <v>20.8</v>
      </c>
      <c r="J13" s="21">
        <f t="shared" ref="J13:M13" si="24">0</f>
        <v>0</v>
      </c>
      <c r="K13" s="21">
        <f t="shared" si="24"/>
        <v>0</v>
      </c>
      <c r="L13" s="21">
        <f t="shared" si="24"/>
        <v>0</v>
      </c>
      <c r="M13" s="21">
        <f t="shared" si="24"/>
        <v>0</v>
      </c>
      <c r="N13" s="21">
        <f>2.6</f>
        <v>2.6</v>
      </c>
      <c r="O13" s="21">
        <f>0</f>
        <v>0</v>
      </c>
    </row>
    <row r="14">
      <c r="B14" s="20">
        <v>46205.0</v>
      </c>
      <c r="C14" s="21">
        <f>3.8</f>
        <v>3.8</v>
      </c>
      <c r="D14" s="21">
        <f t="shared" ref="D14:H14" si="25">0</f>
        <v>0</v>
      </c>
      <c r="E14" s="21">
        <f t="shared" si="25"/>
        <v>0</v>
      </c>
      <c r="F14" s="21">
        <f t="shared" si="25"/>
        <v>0</v>
      </c>
      <c r="G14" s="21">
        <f t="shared" si="25"/>
        <v>0</v>
      </c>
      <c r="H14" s="21">
        <f t="shared" si="25"/>
        <v>0</v>
      </c>
      <c r="I14" s="21">
        <f>3.8</f>
        <v>3.8</v>
      </c>
      <c r="J14" s="21">
        <f t="shared" ref="J14:N14" si="26">0</f>
        <v>0</v>
      </c>
      <c r="K14" s="21">
        <f t="shared" si="26"/>
        <v>0</v>
      </c>
      <c r="L14" s="21">
        <f t="shared" si="26"/>
        <v>0</v>
      </c>
      <c r="M14" s="21">
        <f t="shared" si="26"/>
        <v>0</v>
      </c>
      <c r="N14" s="21">
        <f t="shared" si="26"/>
        <v>0</v>
      </c>
      <c r="O14" s="21">
        <f>11.4</f>
        <v>11.4</v>
      </c>
    </row>
    <row r="15">
      <c r="B15" s="20">
        <v>46205.0</v>
      </c>
      <c r="C15" s="21">
        <f>48</f>
        <v>48</v>
      </c>
      <c r="D15" s="21">
        <f t="shared" ref="D15:O15" si="27">0</f>
        <v>0</v>
      </c>
      <c r="E15" s="21">
        <f t="shared" si="27"/>
        <v>0</v>
      </c>
      <c r="F15" s="21">
        <f t="shared" si="27"/>
        <v>0</v>
      </c>
      <c r="G15" s="21">
        <f t="shared" si="27"/>
        <v>0</v>
      </c>
      <c r="H15" s="21">
        <f t="shared" si="27"/>
        <v>0</v>
      </c>
      <c r="I15" s="21">
        <f t="shared" si="27"/>
        <v>0</v>
      </c>
      <c r="J15" s="21">
        <f t="shared" si="27"/>
        <v>0</v>
      </c>
      <c r="K15" s="21">
        <f t="shared" si="27"/>
        <v>0</v>
      </c>
      <c r="L15" s="21">
        <f t="shared" si="27"/>
        <v>0</v>
      </c>
      <c r="M15" s="21">
        <f t="shared" si="27"/>
        <v>0</v>
      </c>
      <c r="N15" s="21">
        <f t="shared" si="27"/>
        <v>0</v>
      </c>
      <c r="O15" s="21">
        <f t="shared" si="27"/>
        <v>0</v>
      </c>
    </row>
    <row r="16">
      <c r="B16" s="20">
        <v>46205.0</v>
      </c>
      <c r="C16" s="21">
        <f t="shared" ref="C16:F16" si="28">0</f>
        <v>0</v>
      </c>
      <c r="D16" s="21">
        <f t="shared" si="28"/>
        <v>0</v>
      </c>
      <c r="E16" s="21">
        <f t="shared" si="28"/>
        <v>0</v>
      </c>
      <c r="F16" s="21">
        <f t="shared" si="28"/>
        <v>0</v>
      </c>
      <c r="G16" s="21">
        <f>66</f>
        <v>66</v>
      </c>
      <c r="H16" s="21">
        <f>0</f>
        <v>0</v>
      </c>
      <c r="I16" s="21">
        <f>66</f>
        <v>66</v>
      </c>
      <c r="J16" s="21">
        <f t="shared" ref="J16:O16" si="29">0</f>
        <v>0</v>
      </c>
      <c r="K16" s="21">
        <f t="shared" si="29"/>
        <v>0</v>
      </c>
      <c r="L16" s="21">
        <f t="shared" si="29"/>
        <v>0</v>
      </c>
      <c r="M16" s="21">
        <f t="shared" si="29"/>
        <v>0</v>
      </c>
      <c r="N16" s="21">
        <f t="shared" si="29"/>
        <v>0</v>
      </c>
      <c r="O16" s="21">
        <f t="shared" si="29"/>
        <v>0</v>
      </c>
    </row>
    <row r="17">
      <c r="B17" s="20">
        <v>46205.0</v>
      </c>
      <c r="C17" s="21">
        <f t="shared" ref="C17:E17" si="30">0</f>
        <v>0</v>
      </c>
      <c r="D17" s="21">
        <f t="shared" si="30"/>
        <v>0</v>
      </c>
      <c r="E17" s="21">
        <f t="shared" si="30"/>
        <v>0</v>
      </c>
      <c r="F17" s="21">
        <f>66</f>
        <v>66</v>
      </c>
      <c r="G17" s="21">
        <f t="shared" ref="G17:O17" si="31">0</f>
        <v>0</v>
      </c>
      <c r="H17" s="21">
        <f t="shared" si="31"/>
        <v>0</v>
      </c>
      <c r="I17" s="21">
        <f t="shared" si="31"/>
        <v>0</v>
      </c>
      <c r="J17" s="21">
        <f t="shared" si="31"/>
        <v>0</v>
      </c>
      <c r="K17" s="21">
        <f t="shared" si="31"/>
        <v>0</v>
      </c>
      <c r="L17" s="21">
        <f t="shared" si="31"/>
        <v>0</v>
      </c>
      <c r="M17" s="21">
        <f t="shared" si="31"/>
        <v>0</v>
      </c>
      <c r="N17" s="21">
        <f t="shared" si="31"/>
        <v>0</v>
      </c>
      <c r="O17" s="21">
        <f t="shared" si="31"/>
        <v>0</v>
      </c>
    </row>
    <row r="18">
      <c r="B18" s="20">
        <v>46206.0</v>
      </c>
      <c r="C18" s="21">
        <v>0.0</v>
      </c>
      <c r="D18" s="21">
        <v>0.0</v>
      </c>
      <c r="E18" s="21">
        <v>0.0</v>
      </c>
      <c r="F18" s="21">
        <v>0.0</v>
      </c>
      <c r="G18" s="21">
        <v>0.0</v>
      </c>
      <c r="H18" s="21">
        <v>0.0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  <c r="N18" s="21">
        <v>0.0</v>
      </c>
      <c r="O18" s="21">
        <f>59</f>
        <v>59</v>
      </c>
    </row>
    <row r="19">
      <c r="B19" s="20">
        <v>46206.0</v>
      </c>
      <c r="C19" s="21">
        <v>0.0</v>
      </c>
      <c r="D19" s="21">
        <v>0.0</v>
      </c>
      <c r="E19" s="21">
        <v>0.0</v>
      </c>
      <c r="F19" s="21">
        <v>0.0</v>
      </c>
      <c r="G19" s="21">
        <v>0.0</v>
      </c>
      <c r="H19" s="21">
        <v>0.0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  <c r="N19" s="21">
        <v>0.0</v>
      </c>
      <c r="O19" s="21">
        <f>66</f>
        <v>66</v>
      </c>
    </row>
    <row r="20">
      <c r="B20" s="20">
        <v>46206.0</v>
      </c>
      <c r="C20" s="21">
        <f>0</f>
        <v>0</v>
      </c>
      <c r="D20" s="21">
        <f>10</f>
        <v>10</v>
      </c>
      <c r="E20" s="21">
        <f t="shared" ref="E20:H20" si="32">0</f>
        <v>0</v>
      </c>
      <c r="F20" s="21">
        <f t="shared" si="32"/>
        <v>0</v>
      </c>
      <c r="G20" s="21">
        <f t="shared" si="32"/>
        <v>0</v>
      </c>
      <c r="H20" s="21">
        <f t="shared" si="32"/>
        <v>0</v>
      </c>
      <c r="I20" s="21">
        <f>40</f>
        <v>40</v>
      </c>
      <c r="J20" s="21">
        <f t="shared" ref="J20:O20" si="33">0</f>
        <v>0</v>
      </c>
      <c r="K20" s="21">
        <f t="shared" si="33"/>
        <v>0</v>
      </c>
      <c r="L20" s="21">
        <f t="shared" si="33"/>
        <v>0</v>
      </c>
      <c r="M20" s="21">
        <f t="shared" si="33"/>
        <v>0</v>
      </c>
      <c r="N20" s="21">
        <f t="shared" si="33"/>
        <v>0</v>
      </c>
      <c r="O20" s="21">
        <f t="shared" si="33"/>
        <v>0</v>
      </c>
    </row>
    <row r="21">
      <c r="B21" s="20">
        <v>46206.0</v>
      </c>
      <c r="C21" s="21">
        <v>0.0</v>
      </c>
      <c r="D21" s="21">
        <v>0.0</v>
      </c>
      <c r="E21" s="21">
        <v>0.0</v>
      </c>
      <c r="F21" s="21">
        <v>0.0</v>
      </c>
      <c r="G21" s="21">
        <v>0.0</v>
      </c>
      <c r="H21" s="21">
        <v>0.0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  <c r="N21" s="21">
        <v>0.0</v>
      </c>
      <c r="O21" s="21">
        <f>72</f>
        <v>72</v>
      </c>
    </row>
    <row r="22">
      <c r="B22" s="20">
        <v>46206.0</v>
      </c>
      <c r="C22" s="21">
        <f>4.8</f>
        <v>4.8</v>
      </c>
      <c r="D22" s="21">
        <f t="shared" ref="D22:H22" si="34">0</f>
        <v>0</v>
      </c>
      <c r="E22" s="21">
        <f t="shared" si="34"/>
        <v>0</v>
      </c>
      <c r="F22" s="21">
        <f t="shared" si="34"/>
        <v>0</v>
      </c>
      <c r="G22" s="21">
        <f t="shared" si="34"/>
        <v>0</v>
      </c>
      <c r="H22" s="21">
        <f t="shared" si="34"/>
        <v>0</v>
      </c>
      <c r="I22" s="21">
        <f>14.4</f>
        <v>14.4</v>
      </c>
      <c r="J22" s="21">
        <f t="shared" ref="J22:L22" si="35">0</f>
        <v>0</v>
      </c>
      <c r="K22" s="21">
        <f t="shared" si="35"/>
        <v>0</v>
      </c>
      <c r="L22" s="21">
        <f t="shared" si="35"/>
        <v>0</v>
      </c>
      <c r="M22" s="21">
        <f>4.8</f>
        <v>4.8</v>
      </c>
      <c r="N22" s="21">
        <f t="shared" ref="N22:O22" si="36">0</f>
        <v>0</v>
      </c>
      <c r="O22" s="21">
        <f t="shared" si="36"/>
        <v>0</v>
      </c>
    </row>
    <row r="23">
      <c r="B23" s="20">
        <v>46206.0</v>
      </c>
      <c r="C23" s="21">
        <f t="shared" ref="C23:F23" si="37">0</f>
        <v>0</v>
      </c>
      <c r="D23" s="21">
        <f t="shared" si="37"/>
        <v>0</v>
      </c>
      <c r="E23" s="21">
        <f t="shared" si="37"/>
        <v>0</v>
      </c>
      <c r="F23" s="21">
        <f t="shared" si="37"/>
        <v>0</v>
      </c>
      <c r="G23" s="21">
        <f>6</f>
        <v>6</v>
      </c>
      <c r="H23" s="21">
        <f t="shared" ref="H23:L23" si="38">0</f>
        <v>0</v>
      </c>
      <c r="I23" s="21">
        <f t="shared" si="38"/>
        <v>0</v>
      </c>
      <c r="J23" s="21">
        <f t="shared" si="38"/>
        <v>0</v>
      </c>
      <c r="K23" s="21">
        <f t="shared" si="38"/>
        <v>0</v>
      </c>
      <c r="L23" s="21">
        <f t="shared" si="38"/>
        <v>0</v>
      </c>
      <c r="M23" s="21">
        <f>24</f>
        <v>24</v>
      </c>
      <c r="N23" s="21">
        <f t="shared" ref="N23:O23" si="39">0</f>
        <v>0</v>
      </c>
      <c r="O23" s="21">
        <f t="shared" si="39"/>
        <v>0</v>
      </c>
    </row>
    <row r="24">
      <c r="B24" s="20">
        <v>46206.0</v>
      </c>
      <c r="C24" s="21">
        <f>11.6</f>
        <v>11.6</v>
      </c>
      <c r="D24" s="21">
        <f t="shared" ref="D24:L24" si="40">0</f>
        <v>0</v>
      </c>
      <c r="E24" s="21">
        <f t="shared" si="40"/>
        <v>0</v>
      </c>
      <c r="F24" s="21">
        <f t="shared" si="40"/>
        <v>0</v>
      </c>
      <c r="G24" s="21">
        <f t="shared" si="40"/>
        <v>0</v>
      </c>
      <c r="H24" s="21">
        <f t="shared" si="40"/>
        <v>0</v>
      </c>
      <c r="I24" s="21">
        <f t="shared" si="40"/>
        <v>0</v>
      </c>
      <c r="J24" s="21">
        <f t="shared" si="40"/>
        <v>0</v>
      </c>
      <c r="K24" s="21">
        <f t="shared" si="40"/>
        <v>0</v>
      </c>
      <c r="L24" s="21">
        <f t="shared" si="40"/>
        <v>0</v>
      </c>
      <c r="M24" s="21">
        <f>11.6</f>
        <v>11.6</v>
      </c>
      <c r="N24" s="21">
        <f t="shared" ref="N24:N25" si="42">0</f>
        <v>0</v>
      </c>
      <c r="O24" s="21">
        <f>5.8</f>
        <v>5.8</v>
      </c>
    </row>
    <row r="25">
      <c r="B25" s="20">
        <v>46206.0</v>
      </c>
      <c r="C25" s="21">
        <f>9.8</f>
        <v>9.8</v>
      </c>
      <c r="D25" s="21">
        <f t="shared" ref="D25:L25" si="41">0</f>
        <v>0</v>
      </c>
      <c r="E25" s="21">
        <f t="shared" si="41"/>
        <v>0</v>
      </c>
      <c r="F25" s="21">
        <f t="shared" si="41"/>
        <v>0</v>
      </c>
      <c r="G25" s="21">
        <f t="shared" si="41"/>
        <v>0</v>
      </c>
      <c r="H25" s="21">
        <f t="shared" si="41"/>
        <v>0</v>
      </c>
      <c r="I25" s="21">
        <f t="shared" si="41"/>
        <v>0</v>
      </c>
      <c r="J25" s="21">
        <f t="shared" si="41"/>
        <v>0</v>
      </c>
      <c r="K25" s="21">
        <f t="shared" si="41"/>
        <v>0</v>
      </c>
      <c r="L25" s="21">
        <f t="shared" si="41"/>
        <v>0</v>
      </c>
      <c r="M25" s="21">
        <f>39.2</f>
        <v>39.2</v>
      </c>
      <c r="N25" s="21">
        <f t="shared" si="42"/>
        <v>0</v>
      </c>
      <c r="O25" s="21">
        <f>0</f>
        <v>0</v>
      </c>
    </row>
    <row r="26">
      <c r="B26" s="20">
        <v>46206.0</v>
      </c>
      <c r="C26" s="21">
        <f>17</f>
        <v>17</v>
      </c>
      <c r="D26" s="21">
        <f t="shared" ref="D26:O26" si="43">0</f>
        <v>0</v>
      </c>
      <c r="E26" s="21">
        <f t="shared" si="43"/>
        <v>0</v>
      </c>
      <c r="F26" s="21">
        <f t="shared" si="43"/>
        <v>0</v>
      </c>
      <c r="G26" s="21">
        <f t="shared" si="43"/>
        <v>0</v>
      </c>
      <c r="H26" s="21">
        <f t="shared" si="43"/>
        <v>0</v>
      </c>
      <c r="I26" s="21">
        <f t="shared" si="43"/>
        <v>0</v>
      </c>
      <c r="J26" s="21">
        <f t="shared" si="43"/>
        <v>0</v>
      </c>
      <c r="K26" s="21">
        <f t="shared" si="43"/>
        <v>0</v>
      </c>
      <c r="L26" s="21">
        <f t="shared" si="43"/>
        <v>0</v>
      </c>
      <c r="M26" s="21">
        <f t="shared" si="43"/>
        <v>0</v>
      </c>
      <c r="N26" s="21">
        <f t="shared" si="43"/>
        <v>0</v>
      </c>
      <c r="O26" s="21">
        <f t="shared" si="43"/>
        <v>0</v>
      </c>
    </row>
    <row r="27">
      <c r="B27" s="20">
        <v>46206.0</v>
      </c>
      <c r="C27" s="21">
        <f>28.8</f>
        <v>28.8</v>
      </c>
      <c r="D27" s="21">
        <f t="shared" ref="D27:K27" si="44">0</f>
        <v>0</v>
      </c>
      <c r="E27" s="21">
        <f t="shared" si="44"/>
        <v>0</v>
      </c>
      <c r="F27" s="21">
        <f t="shared" si="44"/>
        <v>0</v>
      </c>
      <c r="G27" s="21">
        <f t="shared" si="44"/>
        <v>0</v>
      </c>
      <c r="H27" s="21">
        <f t="shared" si="44"/>
        <v>0</v>
      </c>
      <c r="I27" s="21">
        <f t="shared" si="44"/>
        <v>0</v>
      </c>
      <c r="J27" s="21">
        <f t="shared" si="44"/>
        <v>0</v>
      </c>
      <c r="K27" s="21">
        <f t="shared" si="44"/>
        <v>0</v>
      </c>
      <c r="L27" s="21">
        <f>115.2</f>
        <v>115.2</v>
      </c>
      <c r="M27" s="21">
        <f t="shared" ref="M27:O27" si="45">0</f>
        <v>0</v>
      </c>
      <c r="N27" s="21">
        <f t="shared" si="45"/>
        <v>0</v>
      </c>
      <c r="O27" s="21">
        <f t="shared" si="45"/>
        <v>0</v>
      </c>
    </row>
    <row r="28">
      <c r="B28" s="20">
        <v>46206.0</v>
      </c>
      <c r="C28" s="21">
        <f>0</f>
        <v>0</v>
      </c>
      <c r="D28" s="21">
        <f>20.5</f>
        <v>20.5</v>
      </c>
      <c r="E28" s="21">
        <f t="shared" ref="E28:M28" si="46">0</f>
        <v>0</v>
      </c>
      <c r="F28" s="21">
        <f t="shared" si="46"/>
        <v>0</v>
      </c>
      <c r="G28" s="21">
        <f t="shared" si="46"/>
        <v>0</v>
      </c>
      <c r="H28" s="21">
        <f t="shared" si="46"/>
        <v>0</v>
      </c>
      <c r="I28" s="21">
        <f t="shared" si="46"/>
        <v>0</v>
      </c>
      <c r="J28" s="21">
        <f t="shared" si="46"/>
        <v>0</v>
      </c>
      <c r="K28" s="21">
        <f t="shared" si="46"/>
        <v>0</v>
      </c>
      <c r="L28" s="21">
        <f t="shared" si="46"/>
        <v>0</v>
      </c>
      <c r="M28" s="21">
        <f t="shared" si="46"/>
        <v>0</v>
      </c>
      <c r="N28" s="21">
        <f>20.5</f>
        <v>20.5</v>
      </c>
      <c r="O28" s="21">
        <f>0</f>
        <v>0</v>
      </c>
    </row>
    <row r="29">
      <c r="B29" s="20">
        <v>46206.0</v>
      </c>
      <c r="C29" s="21">
        <f>19.5</f>
        <v>19.5</v>
      </c>
      <c r="D29" s="21">
        <f t="shared" ref="D29:H29" si="47">0</f>
        <v>0</v>
      </c>
      <c r="E29" s="21">
        <f t="shared" si="47"/>
        <v>0</v>
      </c>
      <c r="F29" s="21">
        <f t="shared" si="47"/>
        <v>0</v>
      </c>
      <c r="G29" s="21">
        <f t="shared" si="47"/>
        <v>0</v>
      </c>
      <c r="H29" s="21">
        <f t="shared" si="47"/>
        <v>0</v>
      </c>
      <c r="I29" s="21">
        <f>19.5</f>
        <v>19.5</v>
      </c>
      <c r="J29" s="21">
        <f t="shared" ref="J29:O29" si="48">0</f>
        <v>0</v>
      </c>
      <c r="K29" s="21">
        <f t="shared" si="48"/>
        <v>0</v>
      </c>
      <c r="L29" s="21">
        <f t="shared" si="48"/>
        <v>0</v>
      </c>
      <c r="M29" s="21">
        <f t="shared" si="48"/>
        <v>0</v>
      </c>
      <c r="N29" s="21">
        <f t="shared" si="48"/>
        <v>0</v>
      </c>
      <c r="O29" s="21">
        <f t="shared" si="48"/>
        <v>0</v>
      </c>
    </row>
    <row r="30">
      <c r="B30" s="20">
        <v>46206.0</v>
      </c>
      <c r="C30" s="21">
        <f t="shared" ref="C30:M30" si="49">0</f>
        <v>0</v>
      </c>
      <c r="D30" s="21">
        <f t="shared" si="49"/>
        <v>0</v>
      </c>
      <c r="E30" s="21">
        <f t="shared" si="49"/>
        <v>0</v>
      </c>
      <c r="F30" s="21">
        <f t="shared" si="49"/>
        <v>0</v>
      </c>
      <c r="G30" s="21">
        <f t="shared" si="49"/>
        <v>0</v>
      </c>
      <c r="H30" s="21">
        <f t="shared" si="49"/>
        <v>0</v>
      </c>
      <c r="I30" s="21">
        <f t="shared" si="49"/>
        <v>0</v>
      </c>
      <c r="J30" s="21">
        <f t="shared" si="49"/>
        <v>0</v>
      </c>
      <c r="K30" s="21">
        <f t="shared" si="49"/>
        <v>0</v>
      </c>
      <c r="L30" s="21">
        <f t="shared" si="49"/>
        <v>0</v>
      </c>
      <c r="M30" s="21">
        <f t="shared" si="49"/>
        <v>0</v>
      </c>
      <c r="N30" s="21">
        <f>15</f>
        <v>15</v>
      </c>
      <c r="O30" s="21">
        <f>0</f>
        <v>0</v>
      </c>
    </row>
    <row r="31">
      <c r="B31" s="20">
        <v>46206.0</v>
      </c>
      <c r="C31" s="21">
        <f t="shared" ref="C31:F31" si="50">0</f>
        <v>0</v>
      </c>
      <c r="D31" s="21">
        <f t="shared" si="50"/>
        <v>0</v>
      </c>
      <c r="E31" s="21">
        <f t="shared" si="50"/>
        <v>0</v>
      </c>
      <c r="F31" s="21">
        <f t="shared" si="50"/>
        <v>0</v>
      </c>
      <c r="G31" s="21">
        <f>20</f>
        <v>20</v>
      </c>
      <c r="H31" s="21">
        <f t="shared" ref="H31:O31" si="51">0</f>
        <v>0</v>
      </c>
      <c r="I31" s="21">
        <f t="shared" si="51"/>
        <v>0</v>
      </c>
      <c r="J31" s="21">
        <f t="shared" si="51"/>
        <v>0</v>
      </c>
      <c r="K31" s="21">
        <f t="shared" si="51"/>
        <v>0</v>
      </c>
      <c r="L31" s="21">
        <f t="shared" si="51"/>
        <v>0</v>
      </c>
      <c r="M31" s="21">
        <f t="shared" si="51"/>
        <v>0</v>
      </c>
      <c r="N31" s="21">
        <f t="shared" si="51"/>
        <v>0</v>
      </c>
      <c r="O31" s="21">
        <f t="shared" si="51"/>
        <v>0</v>
      </c>
    </row>
    <row r="32">
      <c r="B32" s="20">
        <v>46206.0</v>
      </c>
      <c r="C32" s="21">
        <f t="shared" ref="C32:C33" si="53">0</f>
        <v>0</v>
      </c>
      <c r="D32" s="21">
        <f>11.6</f>
        <v>11.6</v>
      </c>
      <c r="E32" s="21">
        <f t="shared" ref="E32:M32" si="52">0</f>
        <v>0</v>
      </c>
      <c r="F32" s="21">
        <f t="shared" si="52"/>
        <v>0</v>
      </c>
      <c r="G32" s="21">
        <f t="shared" si="52"/>
        <v>0</v>
      </c>
      <c r="H32" s="21">
        <f t="shared" si="52"/>
        <v>0</v>
      </c>
      <c r="I32" s="21">
        <f t="shared" si="52"/>
        <v>0</v>
      </c>
      <c r="J32" s="21">
        <f t="shared" si="52"/>
        <v>0</v>
      </c>
      <c r="K32" s="21">
        <f t="shared" si="52"/>
        <v>0</v>
      </c>
      <c r="L32" s="21">
        <f t="shared" si="52"/>
        <v>0</v>
      </c>
      <c r="M32" s="21">
        <f t="shared" si="52"/>
        <v>0</v>
      </c>
      <c r="N32" s="21">
        <f>46.4</f>
        <v>46.4</v>
      </c>
      <c r="O32" s="21">
        <f t="shared" ref="O32:O33" si="56">0</f>
        <v>0</v>
      </c>
    </row>
    <row r="33">
      <c r="B33" s="20">
        <v>46206.0</v>
      </c>
      <c r="C33" s="21">
        <f t="shared" si="53"/>
        <v>0</v>
      </c>
      <c r="D33" s="21">
        <f t="shared" ref="D33:D34" si="57">0</f>
        <v>0</v>
      </c>
      <c r="E33" s="21">
        <f>10.1</f>
        <v>10.1</v>
      </c>
      <c r="F33" s="21">
        <f t="shared" ref="F33:H33" si="54">0</f>
        <v>0</v>
      </c>
      <c r="G33" s="21">
        <f t="shared" si="54"/>
        <v>0</v>
      </c>
      <c r="H33" s="21">
        <f t="shared" si="54"/>
        <v>0</v>
      </c>
      <c r="I33" s="21">
        <f>50.5</f>
        <v>50.5</v>
      </c>
      <c r="J33" s="21">
        <f t="shared" ref="J33:M33" si="55">0</f>
        <v>0</v>
      </c>
      <c r="K33" s="21">
        <f t="shared" si="55"/>
        <v>0</v>
      </c>
      <c r="L33" s="21">
        <f t="shared" si="55"/>
        <v>0</v>
      </c>
      <c r="M33" s="21">
        <f t="shared" si="55"/>
        <v>0</v>
      </c>
      <c r="N33" s="21">
        <f>40.4</f>
        <v>40.4</v>
      </c>
      <c r="O33" s="21">
        <f t="shared" si="56"/>
        <v>0</v>
      </c>
    </row>
    <row r="34">
      <c r="B34" s="20">
        <v>46206.0</v>
      </c>
      <c r="C34" s="21">
        <f>15.2</f>
        <v>15.2</v>
      </c>
      <c r="D34" s="21">
        <f t="shared" si="57"/>
        <v>0</v>
      </c>
      <c r="E34" s="21">
        <f t="shared" ref="E34:F34" si="58">0</f>
        <v>0</v>
      </c>
      <c r="F34" s="21">
        <f t="shared" si="58"/>
        <v>0</v>
      </c>
      <c r="G34" s="21">
        <f>22.8</f>
        <v>22.8</v>
      </c>
      <c r="H34" s="21">
        <f t="shared" ref="H34:O34" si="59">0</f>
        <v>0</v>
      </c>
      <c r="I34" s="21">
        <f t="shared" si="59"/>
        <v>0</v>
      </c>
      <c r="J34" s="21">
        <f t="shared" si="59"/>
        <v>0</v>
      </c>
      <c r="K34" s="21">
        <f t="shared" si="59"/>
        <v>0</v>
      </c>
      <c r="L34" s="21">
        <f t="shared" si="59"/>
        <v>0</v>
      </c>
      <c r="M34" s="21">
        <f t="shared" si="59"/>
        <v>0</v>
      </c>
      <c r="N34" s="21">
        <f t="shared" si="59"/>
        <v>0</v>
      </c>
      <c r="O34" s="21">
        <f t="shared" si="59"/>
        <v>0</v>
      </c>
    </row>
    <row r="35">
      <c r="B35" s="20">
        <v>46207.0</v>
      </c>
      <c r="C35" s="21">
        <f>59</f>
        <v>59</v>
      </c>
      <c r="D35" s="21">
        <f>35.4</f>
        <v>35.4</v>
      </c>
      <c r="E35" s="21">
        <f t="shared" ref="E35:H35" si="60">0</f>
        <v>0</v>
      </c>
      <c r="F35" s="21">
        <f t="shared" si="60"/>
        <v>0</v>
      </c>
      <c r="G35" s="21">
        <f t="shared" si="60"/>
        <v>0</v>
      </c>
      <c r="H35" s="21">
        <f t="shared" si="60"/>
        <v>0</v>
      </c>
      <c r="I35" s="21">
        <f>23.6</f>
        <v>23.6</v>
      </c>
      <c r="J35" s="21">
        <f t="shared" ref="J35:O35" si="61">0</f>
        <v>0</v>
      </c>
      <c r="K35" s="21">
        <f t="shared" si="61"/>
        <v>0</v>
      </c>
      <c r="L35" s="21">
        <f t="shared" si="61"/>
        <v>0</v>
      </c>
      <c r="M35" s="21">
        <f t="shared" si="61"/>
        <v>0</v>
      </c>
      <c r="N35" s="21">
        <f t="shared" si="61"/>
        <v>0</v>
      </c>
      <c r="O35" s="21">
        <f t="shared" si="61"/>
        <v>0</v>
      </c>
    </row>
    <row r="36">
      <c r="B36" s="20">
        <v>46207.0</v>
      </c>
      <c r="C36" s="21">
        <v>0.0</v>
      </c>
      <c r="D36" s="21">
        <v>0.0</v>
      </c>
      <c r="E36" s="21">
        <v>0.0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0.0</v>
      </c>
      <c r="L36" s="21">
        <v>0.0</v>
      </c>
      <c r="M36" s="21">
        <v>0.0</v>
      </c>
      <c r="N36" s="21">
        <v>0.0</v>
      </c>
      <c r="O36" s="21">
        <f>132</f>
        <v>132</v>
      </c>
    </row>
    <row r="37">
      <c r="B37" s="20">
        <v>46207.0</v>
      </c>
      <c r="C37" s="21">
        <f t="shared" ref="C37:I37" si="62">0</f>
        <v>0</v>
      </c>
      <c r="D37" s="21">
        <f t="shared" si="62"/>
        <v>0</v>
      </c>
      <c r="E37" s="21">
        <f t="shared" si="62"/>
        <v>0</v>
      </c>
      <c r="F37" s="21">
        <f t="shared" si="62"/>
        <v>0</v>
      </c>
      <c r="G37" s="21">
        <f t="shared" si="62"/>
        <v>0</v>
      </c>
      <c r="H37" s="21">
        <f t="shared" si="62"/>
        <v>0</v>
      </c>
      <c r="I37" s="21">
        <f t="shared" si="62"/>
        <v>0</v>
      </c>
      <c r="J37" s="21">
        <f>686</f>
        <v>686</v>
      </c>
      <c r="K37" s="21">
        <f t="shared" ref="K37:O37" si="63">0</f>
        <v>0</v>
      </c>
      <c r="L37" s="21">
        <f t="shared" si="63"/>
        <v>0</v>
      </c>
      <c r="M37" s="21">
        <f t="shared" si="63"/>
        <v>0</v>
      </c>
      <c r="N37" s="21">
        <f t="shared" si="63"/>
        <v>0</v>
      </c>
      <c r="O37" s="21">
        <f t="shared" si="63"/>
        <v>0</v>
      </c>
    </row>
    <row r="38">
      <c r="B38" s="20">
        <v>46207.0</v>
      </c>
      <c r="C38" s="21">
        <v>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21">
        <v>0.0</v>
      </c>
      <c r="O38" s="21">
        <f>6</f>
        <v>6</v>
      </c>
    </row>
    <row r="39">
      <c r="B39" s="20">
        <v>46207.0</v>
      </c>
      <c r="C39" s="21">
        <f t="shared" ref="C39:H39" si="64">0</f>
        <v>0</v>
      </c>
      <c r="D39" s="21">
        <f t="shared" si="64"/>
        <v>0</v>
      </c>
      <c r="E39" s="21">
        <f t="shared" si="64"/>
        <v>0</v>
      </c>
      <c r="F39" s="21">
        <f t="shared" si="64"/>
        <v>0</v>
      </c>
      <c r="G39" s="21">
        <f t="shared" si="64"/>
        <v>0</v>
      </c>
      <c r="H39" s="21">
        <f t="shared" si="64"/>
        <v>0</v>
      </c>
      <c r="I39" s="21">
        <f>64.8</f>
        <v>64.8</v>
      </c>
      <c r="J39" s="21">
        <f t="shared" ref="J39:K39" si="65">0</f>
        <v>0</v>
      </c>
      <c r="K39" s="21">
        <f t="shared" si="65"/>
        <v>0</v>
      </c>
      <c r="L39" s="21">
        <f>43.2</f>
        <v>43.2</v>
      </c>
      <c r="M39" s="21">
        <f t="shared" ref="M39:O39" si="66">0</f>
        <v>0</v>
      </c>
      <c r="N39" s="21">
        <f t="shared" si="66"/>
        <v>0</v>
      </c>
      <c r="O39" s="21">
        <f t="shared" si="66"/>
        <v>0</v>
      </c>
    </row>
    <row r="40">
      <c r="B40" s="20">
        <v>46207.0</v>
      </c>
      <c r="C40" s="21">
        <f>24.8</f>
        <v>24.8</v>
      </c>
      <c r="D40" s="21">
        <f t="shared" ref="D40:H40" si="67">0</f>
        <v>0</v>
      </c>
      <c r="E40" s="21">
        <f t="shared" si="67"/>
        <v>0</v>
      </c>
      <c r="F40" s="21">
        <f t="shared" si="67"/>
        <v>0</v>
      </c>
      <c r="G40" s="21">
        <f t="shared" si="67"/>
        <v>0</v>
      </c>
      <c r="H40" s="21">
        <f t="shared" si="67"/>
        <v>0</v>
      </c>
      <c r="I40" s="21">
        <f>12.4</f>
        <v>12.4</v>
      </c>
      <c r="J40" s="21">
        <f>24.8</f>
        <v>24.8</v>
      </c>
      <c r="K40" s="21">
        <f t="shared" ref="K40:L40" si="68">0</f>
        <v>0</v>
      </c>
      <c r="L40" s="21">
        <f t="shared" si="68"/>
        <v>0</v>
      </c>
      <c r="M40" s="21">
        <f>12.4</f>
        <v>12.4</v>
      </c>
      <c r="N40" s="21">
        <f t="shared" ref="N40:O40" si="69">24.8</f>
        <v>24.8</v>
      </c>
      <c r="O40" s="21">
        <f t="shared" si="69"/>
        <v>24.8</v>
      </c>
    </row>
    <row r="41">
      <c r="B41" s="20">
        <v>46207.0</v>
      </c>
      <c r="C41" s="21">
        <f t="shared" ref="C41:L41" si="70">0</f>
        <v>0</v>
      </c>
      <c r="D41" s="21">
        <f t="shared" si="70"/>
        <v>0</v>
      </c>
      <c r="E41" s="21">
        <f t="shared" si="70"/>
        <v>0</v>
      </c>
      <c r="F41" s="21">
        <f t="shared" si="70"/>
        <v>0</v>
      </c>
      <c r="G41" s="21">
        <f t="shared" si="70"/>
        <v>0</v>
      </c>
      <c r="H41" s="21">
        <f t="shared" si="70"/>
        <v>0</v>
      </c>
      <c r="I41" s="21">
        <f t="shared" si="70"/>
        <v>0</v>
      </c>
      <c r="J41" s="21">
        <f t="shared" si="70"/>
        <v>0</v>
      </c>
      <c r="K41" s="21">
        <f t="shared" si="70"/>
        <v>0</v>
      </c>
      <c r="L41" s="21">
        <f t="shared" si="70"/>
        <v>0</v>
      </c>
      <c r="M41" s="21">
        <f>32</f>
        <v>32</v>
      </c>
      <c r="N41" s="21">
        <f t="shared" ref="N41:O41" si="71">0</f>
        <v>0</v>
      </c>
      <c r="O41" s="21">
        <f t="shared" si="71"/>
        <v>0</v>
      </c>
    </row>
    <row r="42">
      <c r="B42" s="20">
        <v>46207.0</v>
      </c>
      <c r="C42" s="21">
        <v>0.0</v>
      </c>
      <c r="D42" s="21">
        <v>0.0</v>
      </c>
      <c r="E42" s="21">
        <v>0.0</v>
      </c>
      <c r="F42" s="21">
        <v>0.0</v>
      </c>
      <c r="G42" s="21">
        <v>0.0</v>
      </c>
      <c r="H42" s="21">
        <v>0.0</v>
      </c>
      <c r="I42" s="21">
        <v>0.0</v>
      </c>
      <c r="J42" s="21">
        <v>0.0</v>
      </c>
      <c r="K42" s="21">
        <v>0.0</v>
      </c>
      <c r="L42" s="21">
        <v>0.0</v>
      </c>
      <c r="M42" s="21">
        <v>0.0</v>
      </c>
      <c r="N42" s="21">
        <v>0.0</v>
      </c>
      <c r="O42" s="21">
        <f>35</f>
        <v>35</v>
      </c>
    </row>
    <row r="43">
      <c r="B43" s="20">
        <v>46207.0</v>
      </c>
      <c r="C43" s="21">
        <f>45.5</f>
        <v>45.5</v>
      </c>
      <c r="D43" s="21">
        <f t="shared" ref="D43:J43" si="72">0</f>
        <v>0</v>
      </c>
      <c r="E43" s="21">
        <f t="shared" si="72"/>
        <v>0</v>
      </c>
      <c r="F43" s="21">
        <f t="shared" si="72"/>
        <v>0</v>
      </c>
      <c r="G43" s="21">
        <f t="shared" si="72"/>
        <v>0</v>
      </c>
      <c r="H43" s="21">
        <f t="shared" si="72"/>
        <v>0</v>
      </c>
      <c r="I43" s="21">
        <f t="shared" si="72"/>
        <v>0</v>
      </c>
      <c r="J43" s="21">
        <f t="shared" si="72"/>
        <v>0</v>
      </c>
      <c r="K43" s="21">
        <f>45.5</f>
        <v>45.5</v>
      </c>
      <c r="L43" s="21">
        <f t="shared" ref="L43:O43" si="73">0</f>
        <v>0</v>
      </c>
      <c r="M43" s="21">
        <f t="shared" si="73"/>
        <v>0</v>
      </c>
      <c r="N43" s="21">
        <f t="shared" si="73"/>
        <v>0</v>
      </c>
      <c r="O43" s="21">
        <f t="shared" si="73"/>
        <v>0</v>
      </c>
    </row>
    <row r="44">
      <c r="B44" s="20">
        <v>46208.0</v>
      </c>
      <c r="C44" s="21">
        <f t="shared" ref="C44:H44" si="74">0</f>
        <v>0</v>
      </c>
      <c r="D44" s="21">
        <f t="shared" si="74"/>
        <v>0</v>
      </c>
      <c r="E44" s="21">
        <f t="shared" si="74"/>
        <v>0</v>
      </c>
      <c r="F44" s="21">
        <f t="shared" si="74"/>
        <v>0</v>
      </c>
      <c r="G44" s="21">
        <f t="shared" si="74"/>
        <v>0</v>
      </c>
      <c r="H44" s="21">
        <f t="shared" si="74"/>
        <v>0</v>
      </c>
      <c r="I44" s="21">
        <f>25.6</f>
        <v>25.6</v>
      </c>
      <c r="J44" s="21">
        <f t="shared" ref="J44:N44" si="75">0</f>
        <v>0</v>
      </c>
      <c r="K44" s="21">
        <f t="shared" si="75"/>
        <v>0</v>
      </c>
      <c r="L44" s="21">
        <f t="shared" si="75"/>
        <v>0</v>
      </c>
      <c r="M44" s="21">
        <f t="shared" si="75"/>
        <v>0</v>
      </c>
      <c r="N44" s="21">
        <f t="shared" si="75"/>
        <v>0</v>
      </c>
      <c r="O44" s="21">
        <f>6.4</f>
        <v>6.4</v>
      </c>
    </row>
    <row r="45">
      <c r="B45" s="20">
        <v>46208.0</v>
      </c>
      <c r="C45" s="21">
        <v>0.0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0.0</v>
      </c>
      <c r="M45" s="21">
        <v>0.0</v>
      </c>
      <c r="N45" s="21">
        <v>0.0</v>
      </c>
      <c r="O45" s="21">
        <f>66</f>
        <v>66</v>
      </c>
    </row>
    <row r="46">
      <c r="B46" s="20">
        <v>46208.0</v>
      </c>
      <c r="C46" s="21">
        <f t="shared" ref="C46:L46" si="76">0</f>
        <v>0</v>
      </c>
      <c r="D46" s="21">
        <f t="shared" si="76"/>
        <v>0</v>
      </c>
      <c r="E46" s="21">
        <f t="shared" si="76"/>
        <v>0</v>
      </c>
      <c r="F46" s="21">
        <f t="shared" si="76"/>
        <v>0</v>
      </c>
      <c r="G46" s="21">
        <f t="shared" si="76"/>
        <v>0</v>
      </c>
      <c r="H46" s="21">
        <f t="shared" si="76"/>
        <v>0</v>
      </c>
      <c r="I46" s="21">
        <f t="shared" si="76"/>
        <v>0</v>
      </c>
      <c r="J46" s="21">
        <f t="shared" si="76"/>
        <v>0</v>
      </c>
      <c r="K46" s="21">
        <f t="shared" si="76"/>
        <v>0</v>
      </c>
      <c r="L46" s="21">
        <f t="shared" si="76"/>
        <v>0</v>
      </c>
      <c r="M46" s="21">
        <f>37.2</f>
        <v>37.2</v>
      </c>
      <c r="N46" s="21">
        <f t="shared" ref="N46:N48" si="78">0</f>
        <v>0</v>
      </c>
      <c r="O46" s="21">
        <f>24.8</f>
        <v>24.8</v>
      </c>
    </row>
    <row r="47">
      <c r="B47" s="20">
        <v>46208.0</v>
      </c>
      <c r="C47" s="21">
        <f>73.8</f>
        <v>73.8</v>
      </c>
      <c r="D47" s="21">
        <f t="shared" ref="D47:L47" si="77">0</f>
        <v>0</v>
      </c>
      <c r="E47" s="21">
        <f t="shared" si="77"/>
        <v>0</v>
      </c>
      <c r="F47" s="21">
        <f t="shared" si="77"/>
        <v>0</v>
      </c>
      <c r="G47" s="21">
        <f t="shared" si="77"/>
        <v>0</v>
      </c>
      <c r="H47" s="21">
        <f t="shared" si="77"/>
        <v>0</v>
      </c>
      <c r="I47" s="21">
        <f t="shared" si="77"/>
        <v>0</v>
      </c>
      <c r="J47" s="21">
        <f t="shared" si="77"/>
        <v>0</v>
      </c>
      <c r="K47" s="21">
        <f t="shared" si="77"/>
        <v>0</v>
      </c>
      <c r="L47" s="21">
        <f t="shared" si="77"/>
        <v>0</v>
      </c>
      <c r="M47" s="21">
        <f>8.2</f>
        <v>8.2</v>
      </c>
      <c r="N47" s="21">
        <f t="shared" si="78"/>
        <v>0</v>
      </c>
      <c r="O47" s="21">
        <f t="shared" ref="O47:O49" si="81">0</f>
        <v>0</v>
      </c>
    </row>
    <row r="48">
      <c r="B48" s="20">
        <v>46208.0</v>
      </c>
      <c r="C48" s="21">
        <f t="shared" ref="C48:F48" si="79">0</f>
        <v>0</v>
      </c>
      <c r="D48" s="21">
        <f t="shared" si="79"/>
        <v>0</v>
      </c>
      <c r="E48" s="21">
        <f t="shared" si="79"/>
        <v>0</v>
      </c>
      <c r="F48" s="21">
        <f t="shared" si="79"/>
        <v>0</v>
      </c>
      <c r="G48" s="21">
        <f>22</f>
        <v>22</v>
      </c>
      <c r="H48" s="21">
        <f>0</f>
        <v>0</v>
      </c>
      <c r="I48" s="21">
        <f>13.2</f>
        <v>13.2</v>
      </c>
      <c r="J48" s="21">
        <f t="shared" ref="J48:L48" si="80">0</f>
        <v>0</v>
      </c>
      <c r="K48" s="21">
        <f t="shared" si="80"/>
        <v>0</v>
      </c>
      <c r="L48" s="21">
        <f t="shared" si="80"/>
        <v>0</v>
      </c>
      <c r="M48" s="21">
        <f>8.8</f>
        <v>8.8</v>
      </c>
      <c r="N48" s="21">
        <f t="shared" si="78"/>
        <v>0</v>
      </c>
      <c r="O48" s="21">
        <f t="shared" si="81"/>
        <v>0</v>
      </c>
    </row>
    <row r="49">
      <c r="B49" s="20">
        <v>46208.0</v>
      </c>
      <c r="C49" s="21">
        <f>62.1</f>
        <v>62.1</v>
      </c>
      <c r="D49" s="21">
        <f t="shared" ref="D49:M49" si="82">0</f>
        <v>0</v>
      </c>
      <c r="E49" s="21">
        <f t="shared" si="82"/>
        <v>0</v>
      </c>
      <c r="F49" s="21">
        <f t="shared" si="82"/>
        <v>0</v>
      </c>
      <c r="G49" s="21">
        <f t="shared" si="82"/>
        <v>0</v>
      </c>
      <c r="H49" s="21">
        <f t="shared" si="82"/>
        <v>0</v>
      </c>
      <c r="I49" s="21">
        <f t="shared" si="82"/>
        <v>0</v>
      </c>
      <c r="J49" s="21">
        <f t="shared" si="82"/>
        <v>0</v>
      </c>
      <c r="K49" s="21">
        <f t="shared" si="82"/>
        <v>0</v>
      </c>
      <c r="L49" s="21">
        <f t="shared" si="82"/>
        <v>0</v>
      </c>
      <c r="M49" s="21">
        <f t="shared" si="82"/>
        <v>0</v>
      </c>
      <c r="N49" s="21">
        <f>6.9</f>
        <v>6.9</v>
      </c>
      <c r="O49" s="21">
        <f t="shared" si="81"/>
        <v>0</v>
      </c>
    </row>
    <row r="50">
      <c r="B50" s="20">
        <v>46208.0</v>
      </c>
      <c r="C50" s="21">
        <f>3.5</f>
        <v>3.5</v>
      </c>
      <c r="D50" s="21">
        <f t="shared" ref="D50:L50" si="83">0</f>
        <v>0</v>
      </c>
      <c r="E50" s="21">
        <f t="shared" si="83"/>
        <v>0</v>
      </c>
      <c r="F50" s="21">
        <f t="shared" si="83"/>
        <v>0</v>
      </c>
      <c r="G50" s="21">
        <f t="shared" si="83"/>
        <v>0</v>
      </c>
      <c r="H50" s="21">
        <f t="shared" si="83"/>
        <v>0</v>
      </c>
      <c r="I50" s="21">
        <f t="shared" si="83"/>
        <v>0</v>
      </c>
      <c r="J50" s="21">
        <f t="shared" si="83"/>
        <v>0</v>
      </c>
      <c r="K50" s="21">
        <f t="shared" si="83"/>
        <v>0</v>
      </c>
      <c r="L50" s="21">
        <f t="shared" si="83"/>
        <v>0</v>
      </c>
      <c r="M50" s="21">
        <f>21</f>
        <v>21</v>
      </c>
      <c r="N50" s="21">
        <f>0</f>
        <v>0</v>
      </c>
      <c r="O50" s="21">
        <f>10.5</f>
        <v>10.5</v>
      </c>
    </row>
    <row r="51">
      <c r="B51" s="20">
        <v>46208.0</v>
      </c>
      <c r="C51" s="21">
        <v>0.0</v>
      </c>
      <c r="D51" s="21">
        <v>0.0</v>
      </c>
      <c r="E51" s="21">
        <v>0.0</v>
      </c>
      <c r="F51" s="21">
        <v>0.0</v>
      </c>
      <c r="G51" s="21">
        <v>0.0</v>
      </c>
      <c r="H51" s="21">
        <v>0.0</v>
      </c>
      <c r="I51" s="21">
        <v>0.0</v>
      </c>
      <c r="J51" s="21">
        <v>0.0</v>
      </c>
      <c r="K51" s="21">
        <v>0.0</v>
      </c>
      <c r="L51" s="21">
        <v>0.0</v>
      </c>
      <c r="M51" s="21">
        <v>0.0</v>
      </c>
      <c r="N51" s="21">
        <v>0.0</v>
      </c>
      <c r="O51" s="21">
        <f>24</f>
        <v>24</v>
      </c>
    </row>
    <row r="52">
      <c r="B52" s="20">
        <v>46208.0</v>
      </c>
      <c r="C52" s="21">
        <f t="shared" ref="C52:L52" si="84">0</f>
        <v>0</v>
      </c>
      <c r="D52" s="21">
        <f t="shared" si="84"/>
        <v>0</v>
      </c>
      <c r="E52" s="21">
        <f t="shared" si="84"/>
        <v>0</v>
      </c>
      <c r="F52" s="21">
        <f t="shared" si="84"/>
        <v>0</v>
      </c>
      <c r="G52" s="21">
        <f t="shared" si="84"/>
        <v>0</v>
      </c>
      <c r="H52" s="21">
        <f t="shared" si="84"/>
        <v>0</v>
      </c>
      <c r="I52" s="21">
        <f t="shared" si="84"/>
        <v>0</v>
      </c>
      <c r="J52" s="21">
        <f t="shared" si="84"/>
        <v>0</v>
      </c>
      <c r="K52" s="21">
        <f t="shared" si="84"/>
        <v>0</v>
      </c>
      <c r="L52" s="21">
        <f t="shared" si="84"/>
        <v>0</v>
      </c>
      <c r="M52" s="21">
        <f>22.4</f>
        <v>22.4</v>
      </c>
      <c r="N52" s="21">
        <f t="shared" ref="N52:N53" si="86">0</f>
        <v>0</v>
      </c>
      <c r="O52" s="21">
        <f>5.6</f>
        <v>5.6</v>
      </c>
    </row>
    <row r="53">
      <c r="B53" s="20">
        <v>46208.0</v>
      </c>
      <c r="C53" s="21">
        <f>9.2</f>
        <v>9.2</v>
      </c>
      <c r="D53" s="21">
        <f t="shared" ref="D53:L53" si="85">0</f>
        <v>0</v>
      </c>
      <c r="E53" s="21">
        <f t="shared" si="85"/>
        <v>0</v>
      </c>
      <c r="F53" s="21">
        <f t="shared" si="85"/>
        <v>0</v>
      </c>
      <c r="G53" s="21">
        <f t="shared" si="85"/>
        <v>0</v>
      </c>
      <c r="H53" s="21">
        <f t="shared" si="85"/>
        <v>0</v>
      </c>
      <c r="I53" s="21">
        <f t="shared" si="85"/>
        <v>0</v>
      </c>
      <c r="J53" s="21">
        <f t="shared" si="85"/>
        <v>0</v>
      </c>
      <c r="K53" s="21">
        <f t="shared" si="85"/>
        <v>0</v>
      </c>
      <c r="L53" s="21">
        <f t="shared" si="85"/>
        <v>0</v>
      </c>
      <c r="M53" s="21">
        <f>27.6</f>
        <v>27.6</v>
      </c>
      <c r="N53" s="21">
        <f t="shared" si="86"/>
        <v>0</v>
      </c>
      <c r="O53" s="21">
        <f>9.2</f>
        <v>9.2</v>
      </c>
    </row>
    <row r="54">
      <c r="B54" s="20">
        <v>46208.0</v>
      </c>
      <c r="C54" s="21">
        <f t="shared" ref="C54:H54" si="87">0</f>
        <v>0</v>
      </c>
      <c r="D54" s="21">
        <f t="shared" si="87"/>
        <v>0</v>
      </c>
      <c r="E54" s="21">
        <f t="shared" si="87"/>
        <v>0</v>
      </c>
      <c r="F54" s="21">
        <f t="shared" si="87"/>
        <v>0</v>
      </c>
      <c r="G54" s="21">
        <f t="shared" si="87"/>
        <v>0</v>
      </c>
      <c r="H54" s="21">
        <f t="shared" si="87"/>
        <v>0</v>
      </c>
      <c r="I54" s="21">
        <f>39.2</f>
        <v>39.2</v>
      </c>
      <c r="J54" s="21">
        <f t="shared" ref="J54:N54" si="88">0</f>
        <v>0</v>
      </c>
      <c r="K54" s="21">
        <f t="shared" si="88"/>
        <v>0</v>
      </c>
      <c r="L54" s="21">
        <f t="shared" si="88"/>
        <v>0</v>
      </c>
      <c r="M54" s="21">
        <f t="shared" si="88"/>
        <v>0</v>
      </c>
      <c r="N54" s="21">
        <f t="shared" si="88"/>
        <v>0</v>
      </c>
      <c r="O54" s="21">
        <f>9.8</f>
        <v>9.8</v>
      </c>
    </row>
    <row r="55">
      <c r="B55" s="20">
        <v>46208.0</v>
      </c>
      <c r="C55" s="21">
        <f>4.2</f>
        <v>4.2</v>
      </c>
      <c r="D55" s="21">
        <f t="shared" ref="D55:H55" si="89">0</f>
        <v>0</v>
      </c>
      <c r="E55" s="21">
        <f t="shared" si="89"/>
        <v>0</v>
      </c>
      <c r="F55" s="21">
        <f t="shared" si="89"/>
        <v>0</v>
      </c>
      <c r="G55" s="21">
        <f t="shared" si="89"/>
        <v>0</v>
      </c>
      <c r="H55" s="21">
        <f t="shared" si="89"/>
        <v>0</v>
      </c>
      <c r="I55" s="21">
        <f>1.4</f>
        <v>1.4</v>
      </c>
      <c r="J55" s="21">
        <f t="shared" ref="J55:L55" si="90">0</f>
        <v>0</v>
      </c>
      <c r="K55" s="21">
        <f t="shared" si="90"/>
        <v>0</v>
      </c>
      <c r="L55" s="21">
        <f t="shared" si="90"/>
        <v>0</v>
      </c>
      <c r="M55" s="21">
        <f>1.4</f>
        <v>1.4</v>
      </c>
      <c r="N55" s="21">
        <f t="shared" ref="N55:O55" si="91">0</f>
        <v>0</v>
      </c>
      <c r="O55" s="21">
        <f t="shared" si="91"/>
        <v>0</v>
      </c>
    </row>
    <row r="56">
      <c r="B56" s="20">
        <v>46208.0</v>
      </c>
      <c r="C56" s="21">
        <f>59.2</f>
        <v>59.2</v>
      </c>
      <c r="D56" s="21">
        <f t="shared" ref="D56:N56" si="92">0</f>
        <v>0</v>
      </c>
      <c r="E56" s="21">
        <f t="shared" si="92"/>
        <v>0</v>
      </c>
      <c r="F56" s="21">
        <f t="shared" si="92"/>
        <v>0</v>
      </c>
      <c r="G56" s="21">
        <f t="shared" si="92"/>
        <v>0</v>
      </c>
      <c r="H56" s="21">
        <f t="shared" si="92"/>
        <v>0</v>
      </c>
      <c r="I56" s="21">
        <f t="shared" si="92"/>
        <v>0</v>
      </c>
      <c r="J56" s="21">
        <f t="shared" si="92"/>
        <v>0</v>
      </c>
      <c r="K56" s="21">
        <f t="shared" si="92"/>
        <v>0</v>
      </c>
      <c r="L56" s="21">
        <f t="shared" si="92"/>
        <v>0</v>
      </c>
      <c r="M56" s="21">
        <f t="shared" si="92"/>
        <v>0</v>
      </c>
      <c r="N56" s="21">
        <f t="shared" si="92"/>
        <v>0</v>
      </c>
      <c r="O56" s="21">
        <f>14.8</f>
        <v>14.8</v>
      </c>
    </row>
    <row r="57">
      <c r="B57" s="20">
        <v>46208.0</v>
      </c>
      <c r="C57" s="21">
        <f>46</f>
        <v>46</v>
      </c>
      <c r="D57" s="21">
        <f t="shared" ref="D57:O57" si="93">0</f>
        <v>0</v>
      </c>
      <c r="E57" s="21">
        <f t="shared" si="93"/>
        <v>0</v>
      </c>
      <c r="F57" s="21">
        <f t="shared" si="93"/>
        <v>0</v>
      </c>
      <c r="G57" s="21">
        <f t="shared" si="93"/>
        <v>0</v>
      </c>
      <c r="H57" s="21">
        <f t="shared" si="93"/>
        <v>0</v>
      </c>
      <c r="I57" s="21">
        <f t="shared" si="93"/>
        <v>0</v>
      </c>
      <c r="J57" s="21">
        <f t="shared" si="93"/>
        <v>0</v>
      </c>
      <c r="K57" s="21">
        <f t="shared" si="93"/>
        <v>0</v>
      </c>
      <c r="L57" s="21">
        <f t="shared" si="93"/>
        <v>0</v>
      </c>
      <c r="M57" s="21">
        <f t="shared" si="93"/>
        <v>0</v>
      </c>
      <c r="N57" s="21">
        <f t="shared" si="93"/>
        <v>0</v>
      </c>
      <c r="O57" s="21">
        <f t="shared" si="93"/>
        <v>0</v>
      </c>
    </row>
    <row r="58">
      <c r="B58" s="20">
        <v>46208.0</v>
      </c>
      <c r="C58" s="21">
        <v>0.0</v>
      </c>
      <c r="D58" s="21">
        <v>0.0</v>
      </c>
      <c r="E58" s="21">
        <v>0.0</v>
      </c>
      <c r="F58" s="21">
        <v>0.0</v>
      </c>
      <c r="G58" s="21">
        <v>0.0</v>
      </c>
      <c r="H58" s="21">
        <v>0.0</v>
      </c>
      <c r="I58" s="21">
        <f>151</f>
        <v>151</v>
      </c>
      <c r="J58" s="21">
        <v>0.0</v>
      </c>
      <c r="K58" s="21">
        <v>0.0</v>
      </c>
      <c r="L58" s="21">
        <v>0.0</v>
      </c>
      <c r="M58" s="21">
        <v>0.0</v>
      </c>
      <c r="N58" s="21">
        <v>0.0</v>
      </c>
      <c r="O58" s="21">
        <v>0.0</v>
      </c>
    </row>
    <row r="59">
      <c r="B59" s="20">
        <v>46208.0</v>
      </c>
      <c r="C59" s="21">
        <v>0.0</v>
      </c>
      <c r="D59" s="21">
        <v>0.0</v>
      </c>
      <c r="E59" s="21">
        <v>0.0</v>
      </c>
      <c r="F59" s="21">
        <v>0.0</v>
      </c>
      <c r="G59" s="21">
        <v>0.0</v>
      </c>
      <c r="H59" s="21">
        <v>0.0</v>
      </c>
      <c r="I59" s="21">
        <v>0.0</v>
      </c>
      <c r="J59" s="21">
        <v>0.0</v>
      </c>
      <c r="K59" s="21">
        <v>0.0</v>
      </c>
      <c r="L59" s="21">
        <v>0.0</v>
      </c>
      <c r="M59" s="21">
        <v>0.0</v>
      </c>
      <c r="N59" s="21">
        <v>0.0</v>
      </c>
      <c r="O59" s="21">
        <f>70</f>
        <v>70</v>
      </c>
    </row>
    <row r="60">
      <c r="B60" s="20">
        <v>46208.0</v>
      </c>
      <c r="C60" s="21">
        <v>0.0</v>
      </c>
      <c r="D60" s="21">
        <v>0.0</v>
      </c>
      <c r="E60" s="21">
        <v>0.0</v>
      </c>
      <c r="F60" s="21">
        <v>0.0</v>
      </c>
      <c r="G60" s="21">
        <v>0.0</v>
      </c>
      <c r="H60" s="21">
        <v>0.0</v>
      </c>
      <c r="I60" s="21">
        <f>97</f>
        <v>97</v>
      </c>
      <c r="J60" s="21">
        <v>0.0</v>
      </c>
      <c r="K60" s="21">
        <v>0.0</v>
      </c>
      <c r="L60" s="21">
        <v>0.0</v>
      </c>
      <c r="M60" s="21">
        <v>0.0</v>
      </c>
      <c r="N60" s="21">
        <v>0.0</v>
      </c>
      <c r="O60" s="21">
        <v>0.0</v>
      </c>
    </row>
    <row r="61">
      <c r="B61" s="20">
        <v>46208.0</v>
      </c>
      <c r="C61" s="21">
        <f>16.25</f>
        <v>16.25</v>
      </c>
      <c r="D61" s="21">
        <f t="shared" ref="D61:H61" si="94">0</f>
        <v>0</v>
      </c>
      <c r="E61" s="21">
        <f t="shared" si="94"/>
        <v>0</v>
      </c>
      <c r="F61" s="21">
        <f t="shared" si="94"/>
        <v>0</v>
      </c>
      <c r="G61" s="21">
        <f t="shared" si="94"/>
        <v>0</v>
      </c>
      <c r="H61" s="21">
        <f t="shared" si="94"/>
        <v>0</v>
      </c>
      <c r="I61" s="21">
        <f>16.25</f>
        <v>16.25</v>
      </c>
      <c r="J61" s="21">
        <f t="shared" ref="J61:N61" si="95">0</f>
        <v>0</v>
      </c>
      <c r="K61" s="21">
        <f t="shared" si="95"/>
        <v>0</v>
      </c>
      <c r="L61" s="21">
        <f t="shared" si="95"/>
        <v>0</v>
      </c>
      <c r="M61" s="21">
        <f t="shared" si="95"/>
        <v>0</v>
      </c>
      <c r="N61" s="21">
        <f t="shared" si="95"/>
        <v>0</v>
      </c>
      <c r="O61" s="21">
        <f>32.5</f>
        <v>32.5</v>
      </c>
    </row>
    <row r="62">
      <c r="B62" s="20">
        <v>46208.0</v>
      </c>
      <c r="C62" s="21">
        <f>2.4</f>
        <v>2.4</v>
      </c>
      <c r="D62" s="21">
        <f t="shared" ref="D62:H62" si="96">0</f>
        <v>0</v>
      </c>
      <c r="E62" s="21">
        <f t="shared" si="96"/>
        <v>0</v>
      </c>
      <c r="F62" s="21">
        <f t="shared" si="96"/>
        <v>0</v>
      </c>
      <c r="G62" s="21">
        <f t="shared" si="96"/>
        <v>0</v>
      </c>
      <c r="H62" s="21">
        <f t="shared" si="96"/>
        <v>0</v>
      </c>
      <c r="I62" s="21">
        <f>2.4</f>
        <v>2.4</v>
      </c>
      <c r="J62" s="21">
        <f t="shared" ref="J62:L62" si="97">0</f>
        <v>0</v>
      </c>
      <c r="K62" s="21">
        <f t="shared" si="97"/>
        <v>0</v>
      </c>
      <c r="L62" s="21">
        <f t="shared" si="97"/>
        <v>0</v>
      </c>
      <c r="M62" s="21">
        <f>19.2</f>
        <v>19.2</v>
      </c>
      <c r="N62" s="21">
        <f t="shared" ref="N62:O62" si="98">0</f>
        <v>0</v>
      </c>
      <c r="O62" s="21">
        <f t="shared" si="98"/>
        <v>0</v>
      </c>
    </row>
    <row r="63">
      <c r="B63" s="20">
        <v>46209.0</v>
      </c>
      <c r="C63" s="21">
        <f t="shared" ref="C63:L63" si="99">0</f>
        <v>0</v>
      </c>
      <c r="D63" s="21">
        <f t="shared" si="99"/>
        <v>0</v>
      </c>
      <c r="E63" s="21">
        <f t="shared" si="99"/>
        <v>0</v>
      </c>
      <c r="F63" s="21">
        <f t="shared" si="99"/>
        <v>0</v>
      </c>
      <c r="G63" s="21">
        <f t="shared" si="99"/>
        <v>0</v>
      </c>
      <c r="H63" s="21">
        <f t="shared" si="99"/>
        <v>0</v>
      </c>
      <c r="I63" s="21">
        <f t="shared" si="99"/>
        <v>0</v>
      </c>
      <c r="J63" s="21">
        <f t="shared" si="99"/>
        <v>0</v>
      </c>
      <c r="K63" s="21">
        <f t="shared" si="99"/>
        <v>0</v>
      </c>
      <c r="L63" s="21">
        <f t="shared" si="99"/>
        <v>0</v>
      </c>
      <c r="M63" s="21">
        <f>13.6</f>
        <v>13.6</v>
      </c>
      <c r="N63" s="21">
        <f t="shared" ref="N63:N65" si="102">0</f>
        <v>0</v>
      </c>
      <c r="O63" s="21">
        <f>3.4</f>
        <v>3.4</v>
      </c>
    </row>
    <row r="64">
      <c r="B64" s="20">
        <v>46209.0</v>
      </c>
      <c r="C64" s="21">
        <f t="shared" ref="C64:H64" si="100">0</f>
        <v>0</v>
      </c>
      <c r="D64" s="21">
        <f t="shared" si="100"/>
        <v>0</v>
      </c>
      <c r="E64" s="21">
        <f t="shared" si="100"/>
        <v>0</v>
      </c>
      <c r="F64" s="21">
        <f t="shared" si="100"/>
        <v>0</v>
      </c>
      <c r="G64" s="21">
        <f t="shared" si="100"/>
        <v>0</v>
      </c>
      <c r="H64" s="21">
        <f t="shared" si="100"/>
        <v>0</v>
      </c>
      <c r="I64" s="21">
        <f>23.8</f>
        <v>23.8</v>
      </c>
      <c r="J64" s="21">
        <f t="shared" ref="J64:L64" si="101">0</f>
        <v>0</v>
      </c>
      <c r="K64" s="21">
        <f t="shared" si="101"/>
        <v>0</v>
      </c>
      <c r="L64" s="21">
        <f t="shared" si="101"/>
        <v>0</v>
      </c>
      <c r="M64" s="21">
        <f>10.2</f>
        <v>10.2</v>
      </c>
      <c r="N64" s="21">
        <f t="shared" si="102"/>
        <v>0</v>
      </c>
      <c r="O64" s="21">
        <f t="shared" ref="O64:O65" si="105">0</f>
        <v>0</v>
      </c>
    </row>
    <row r="65">
      <c r="B65" s="20">
        <v>46209.0</v>
      </c>
      <c r="C65" s="21">
        <f t="shared" ref="C65:E65" si="103">0</f>
        <v>0</v>
      </c>
      <c r="D65" s="21">
        <f t="shared" si="103"/>
        <v>0</v>
      </c>
      <c r="E65" s="21">
        <f t="shared" si="103"/>
        <v>0</v>
      </c>
      <c r="F65" s="21">
        <f>6.8</f>
        <v>6.8</v>
      </c>
      <c r="G65" s="21">
        <f t="shared" ref="G65:L65" si="104">0</f>
        <v>0</v>
      </c>
      <c r="H65" s="21">
        <f t="shared" si="104"/>
        <v>0</v>
      </c>
      <c r="I65" s="21">
        <f t="shared" si="104"/>
        <v>0</v>
      </c>
      <c r="J65" s="21">
        <f t="shared" si="104"/>
        <v>0</v>
      </c>
      <c r="K65" s="21">
        <f t="shared" si="104"/>
        <v>0</v>
      </c>
      <c r="L65" s="21">
        <f t="shared" si="104"/>
        <v>0</v>
      </c>
      <c r="M65" s="21">
        <f>27.2</f>
        <v>27.2</v>
      </c>
      <c r="N65" s="21">
        <f t="shared" si="102"/>
        <v>0</v>
      </c>
      <c r="O65" s="21">
        <f t="shared" si="105"/>
        <v>0</v>
      </c>
    </row>
    <row r="66">
      <c r="B66" s="20">
        <v>46209.0</v>
      </c>
      <c r="C66" s="21">
        <f t="shared" ref="C66:H66" si="106">0</f>
        <v>0</v>
      </c>
      <c r="D66" s="21">
        <f t="shared" si="106"/>
        <v>0</v>
      </c>
      <c r="E66" s="21">
        <f t="shared" si="106"/>
        <v>0</v>
      </c>
      <c r="F66" s="21">
        <f t="shared" si="106"/>
        <v>0</v>
      </c>
      <c r="G66" s="21">
        <f t="shared" si="106"/>
        <v>0</v>
      </c>
      <c r="H66" s="21">
        <f t="shared" si="106"/>
        <v>0</v>
      </c>
      <c r="I66" s="21">
        <f>66.6</f>
        <v>66.6</v>
      </c>
      <c r="J66" s="21">
        <f t="shared" ref="J66:N66" si="107">0</f>
        <v>0</v>
      </c>
      <c r="K66" s="21">
        <f t="shared" si="107"/>
        <v>0</v>
      </c>
      <c r="L66" s="21">
        <f t="shared" si="107"/>
        <v>0</v>
      </c>
      <c r="M66" s="21">
        <f t="shared" si="107"/>
        <v>0</v>
      </c>
      <c r="N66" s="21">
        <f t="shared" si="107"/>
        <v>0</v>
      </c>
      <c r="O66" s="21">
        <f>7.4</f>
        <v>7.4</v>
      </c>
    </row>
    <row r="67">
      <c r="B67" s="20">
        <v>46209.0</v>
      </c>
      <c r="C67" s="21">
        <f>21.2</f>
        <v>21.2</v>
      </c>
      <c r="D67" s="21">
        <f>10.6</f>
        <v>10.6</v>
      </c>
      <c r="E67" s="21">
        <f>5.3</f>
        <v>5.3</v>
      </c>
      <c r="F67" s="21">
        <f t="shared" ref="F67:H67" si="108">0</f>
        <v>0</v>
      </c>
      <c r="G67" s="21">
        <f t="shared" si="108"/>
        <v>0</v>
      </c>
      <c r="H67" s="21">
        <f t="shared" si="108"/>
        <v>0</v>
      </c>
      <c r="I67" s="21">
        <f>10.6</f>
        <v>10.6</v>
      </c>
      <c r="J67" s="21">
        <f t="shared" ref="J67:L67" si="109">0</f>
        <v>0</v>
      </c>
      <c r="K67" s="21">
        <f t="shared" si="109"/>
        <v>0</v>
      </c>
      <c r="L67" s="21">
        <f t="shared" si="109"/>
        <v>0</v>
      </c>
      <c r="M67" s="21">
        <f>5.3</f>
        <v>5.3</v>
      </c>
      <c r="N67" s="21">
        <f t="shared" ref="N67:O67" si="110">0</f>
        <v>0</v>
      </c>
      <c r="O67" s="21">
        <f t="shared" si="110"/>
        <v>0</v>
      </c>
    </row>
    <row r="68">
      <c r="B68" s="20">
        <v>46209.0</v>
      </c>
      <c r="C68" s="21">
        <f t="shared" ref="C68:E68" si="111">0</f>
        <v>0</v>
      </c>
      <c r="D68" s="21">
        <f t="shared" si="111"/>
        <v>0</v>
      </c>
      <c r="E68" s="21">
        <f t="shared" si="111"/>
        <v>0</v>
      </c>
      <c r="F68" s="21">
        <f>8.1</f>
        <v>8.1</v>
      </c>
      <c r="G68" s="21">
        <f t="shared" ref="G68:H68" si="112">0</f>
        <v>0</v>
      </c>
      <c r="H68" s="21">
        <f t="shared" si="112"/>
        <v>0</v>
      </c>
      <c r="I68" s="21">
        <f>2.7</f>
        <v>2.7</v>
      </c>
      <c r="J68" s="21">
        <f t="shared" ref="J68:L68" si="113">0</f>
        <v>0</v>
      </c>
      <c r="K68" s="21">
        <f t="shared" si="113"/>
        <v>0</v>
      </c>
      <c r="L68" s="21">
        <f t="shared" si="113"/>
        <v>0</v>
      </c>
      <c r="M68" s="21">
        <f>8.1</f>
        <v>8.1</v>
      </c>
      <c r="N68" s="21">
        <f t="shared" ref="N68:N69" si="116">0</f>
        <v>0</v>
      </c>
      <c r="O68" s="21">
        <f>8.1</f>
        <v>8.1</v>
      </c>
    </row>
    <row r="69">
      <c r="B69" s="20">
        <v>46209.0</v>
      </c>
      <c r="C69" s="21">
        <f>3.3</f>
        <v>3.3</v>
      </c>
      <c r="D69" s="21">
        <f t="shared" ref="D69:E69" si="114">0</f>
        <v>0</v>
      </c>
      <c r="E69" s="21">
        <f t="shared" si="114"/>
        <v>0</v>
      </c>
      <c r="F69" s="21">
        <f>3.3</f>
        <v>3.3</v>
      </c>
      <c r="G69" s="21">
        <f t="shared" ref="G69:L69" si="115">0</f>
        <v>0</v>
      </c>
      <c r="H69" s="21">
        <f t="shared" si="115"/>
        <v>0</v>
      </c>
      <c r="I69" s="21">
        <f t="shared" si="115"/>
        <v>0</v>
      </c>
      <c r="J69" s="21">
        <f t="shared" si="115"/>
        <v>0</v>
      </c>
      <c r="K69" s="21">
        <f t="shared" si="115"/>
        <v>0</v>
      </c>
      <c r="L69" s="21">
        <f t="shared" si="115"/>
        <v>0</v>
      </c>
      <c r="M69" s="21">
        <f>3.3</f>
        <v>3.3</v>
      </c>
      <c r="N69" s="21">
        <f t="shared" si="116"/>
        <v>0</v>
      </c>
      <c r="O69" s="21">
        <f>23.1</f>
        <v>23.1</v>
      </c>
    </row>
    <row r="70">
      <c r="B70" s="20">
        <v>46209.0</v>
      </c>
      <c r="C70" s="21">
        <f>21.5</f>
        <v>21.5</v>
      </c>
      <c r="D70" s="21">
        <f>17.2</f>
        <v>17.2</v>
      </c>
      <c r="E70" s="21">
        <f>4.3</f>
        <v>4.3</v>
      </c>
      <c r="F70" s="21">
        <f t="shared" ref="F70:O70" si="117">0</f>
        <v>0</v>
      </c>
      <c r="G70" s="21">
        <f t="shared" si="117"/>
        <v>0</v>
      </c>
      <c r="H70" s="21">
        <f t="shared" si="117"/>
        <v>0</v>
      </c>
      <c r="I70" s="21">
        <f t="shared" si="117"/>
        <v>0</v>
      </c>
      <c r="J70" s="21">
        <f t="shared" si="117"/>
        <v>0</v>
      </c>
      <c r="K70" s="21">
        <f t="shared" si="117"/>
        <v>0</v>
      </c>
      <c r="L70" s="21">
        <f t="shared" si="117"/>
        <v>0</v>
      </c>
      <c r="M70" s="21">
        <f t="shared" si="117"/>
        <v>0</v>
      </c>
      <c r="N70" s="21">
        <f t="shared" si="117"/>
        <v>0</v>
      </c>
      <c r="O70" s="21">
        <f t="shared" si="117"/>
        <v>0</v>
      </c>
    </row>
    <row r="71">
      <c r="B71" s="20">
        <v>46209.0</v>
      </c>
      <c r="C71" s="21">
        <f>27.5</f>
        <v>27.5</v>
      </c>
      <c r="D71" s="21">
        <f t="shared" ref="D71:F71" si="118">0</f>
        <v>0</v>
      </c>
      <c r="E71" s="21">
        <f t="shared" si="118"/>
        <v>0</v>
      </c>
      <c r="F71" s="21">
        <f t="shared" si="118"/>
        <v>0</v>
      </c>
      <c r="G71" s="21">
        <f>27.5</f>
        <v>27.5</v>
      </c>
      <c r="H71" s="21">
        <f t="shared" ref="H71:O71" si="119">0</f>
        <v>0</v>
      </c>
      <c r="I71" s="21">
        <f t="shared" si="119"/>
        <v>0</v>
      </c>
      <c r="J71" s="21">
        <f t="shared" si="119"/>
        <v>0</v>
      </c>
      <c r="K71" s="21">
        <f t="shared" si="119"/>
        <v>0</v>
      </c>
      <c r="L71" s="21">
        <f t="shared" si="119"/>
        <v>0</v>
      </c>
      <c r="M71" s="21">
        <f t="shared" si="119"/>
        <v>0</v>
      </c>
      <c r="N71" s="21">
        <f t="shared" si="119"/>
        <v>0</v>
      </c>
      <c r="O71" s="21">
        <f t="shared" si="119"/>
        <v>0</v>
      </c>
    </row>
    <row r="72">
      <c r="B72" s="20">
        <v>46209.0</v>
      </c>
      <c r="C72" s="21">
        <f>14</f>
        <v>14</v>
      </c>
      <c r="D72" s="21">
        <f t="shared" ref="D72:H72" si="120">0</f>
        <v>0</v>
      </c>
      <c r="E72" s="21">
        <f t="shared" si="120"/>
        <v>0</v>
      </c>
      <c r="F72" s="21">
        <f t="shared" si="120"/>
        <v>0</v>
      </c>
      <c r="G72" s="21">
        <f t="shared" si="120"/>
        <v>0</v>
      </c>
      <c r="H72" s="21">
        <f t="shared" si="120"/>
        <v>0</v>
      </c>
      <c r="I72" s="21">
        <f>11.2</f>
        <v>11.2</v>
      </c>
      <c r="J72" s="21">
        <f t="shared" ref="J72:L72" si="121">0</f>
        <v>0</v>
      </c>
      <c r="K72" s="21">
        <f t="shared" si="121"/>
        <v>0</v>
      </c>
      <c r="L72" s="21">
        <f t="shared" si="121"/>
        <v>0</v>
      </c>
      <c r="M72" s="21">
        <f>2.8</f>
        <v>2.8</v>
      </c>
      <c r="N72" s="21">
        <f t="shared" ref="N72:O72" si="122">0</f>
        <v>0</v>
      </c>
      <c r="O72" s="21">
        <f t="shared" si="122"/>
        <v>0</v>
      </c>
    </row>
    <row r="73">
      <c r="B73" s="20">
        <v>46209.0</v>
      </c>
      <c r="C73" s="21">
        <v>0.0</v>
      </c>
      <c r="D73" s="21">
        <v>0.0</v>
      </c>
      <c r="E73" s="21">
        <v>0.0</v>
      </c>
      <c r="F73" s="21">
        <v>0.0</v>
      </c>
      <c r="G73" s="21">
        <v>0.0</v>
      </c>
      <c r="H73" s="21">
        <v>0.0</v>
      </c>
      <c r="I73" s="21">
        <v>0.0</v>
      </c>
      <c r="J73" s="21">
        <v>0.0</v>
      </c>
      <c r="K73" s="21">
        <v>0.0</v>
      </c>
      <c r="L73" s="21">
        <v>0.0</v>
      </c>
      <c r="M73" s="21">
        <v>0.0</v>
      </c>
      <c r="N73" s="21">
        <v>0.0</v>
      </c>
      <c r="O73" s="21">
        <f>45</f>
        <v>45</v>
      </c>
    </row>
    <row r="74">
      <c r="B74" s="20">
        <v>46209.0</v>
      </c>
      <c r="C74" s="21">
        <f>5</f>
        <v>5</v>
      </c>
      <c r="D74" s="21">
        <f t="shared" ref="D74:H74" si="123">0</f>
        <v>0</v>
      </c>
      <c r="E74" s="21">
        <f t="shared" si="123"/>
        <v>0</v>
      </c>
      <c r="F74" s="21">
        <f t="shared" si="123"/>
        <v>0</v>
      </c>
      <c r="G74" s="21">
        <f t="shared" si="123"/>
        <v>0</v>
      </c>
      <c r="H74" s="21">
        <f t="shared" si="123"/>
        <v>0</v>
      </c>
      <c r="I74" s="21">
        <f>45</f>
        <v>45</v>
      </c>
      <c r="J74" s="21">
        <f t="shared" ref="J74:O74" si="124">0</f>
        <v>0</v>
      </c>
      <c r="K74" s="21">
        <f t="shared" si="124"/>
        <v>0</v>
      </c>
      <c r="L74" s="21">
        <f t="shared" si="124"/>
        <v>0</v>
      </c>
      <c r="M74" s="21">
        <f t="shared" si="124"/>
        <v>0</v>
      </c>
      <c r="N74" s="21">
        <f t="shared" si="124"/>
        <v>0</v>
      </c>
      <c r="O74" s="21">
        <f t="shared" si="124"/>
        <v>0</v>
      </c>
    </row>
    <row r="75">
      <c r="B75" s="20">
        <v>46209.0</v>
      </c>
      <c r="C75" s="21">
        <f>1.8</f>
        <v>1.8</v>
      </c>
      <c r="D75" s="21">
        <f>3.6</f>
        <v>3.6</v>
      </c>
      <c r="E75" s="21">
        <f t="shared" ref="E75:H75" si="125">0</f>
        <v>0</v>
      </c>
      <c r="F75" s="21">
        <f t="shared" si="125"/>
        <v>0</v>
      </c>
      <c r="G75" s="21">
        <f t="shared" si="125"/>
        <v>0</v>
      </c>
      <c r="H75" s="21">
        <f t="shared" si="125"/>
        <v>0</v>
      </c>
      <c r="I75" s="21">
        <f>3.6</f>
        <v>3.6</v>
      </c>
      <c r="J75" s="21">
        <f t="shared" ref="J75:N75" si="126">0</f>
        <v>0</v>
      </c>
      <c r="K75" s="21">
        <f t="shared" si="126"/>
        <v>0</v>
      </c>
      <c r="L75" s="21">
        <f t="shared" si="126"/>
        <v>0</v>
      </c>
      <c r="M75" s="21">
        <f t="shared" si="126"/>
        <v>0</v>
      </c>
      <c r="N75" s="21">
        <f t="shared" si="126"/>
        <v>0</v>
      </c>
      <c r="O75" s="21">
        <f>9</f>
        <v>9</v>
      </c>
    </row>
    <row r="76">
      <c r="B76" s="20">
        <v>46209.0</v>
      </c>
      <c r="C76" s="21">
        <f t="shared" ref="C76:F76" si="127">0</f>
        <v>0</v>
      </c>
      <c r="D76" s="21">
        <f t="shared" si="127"/>
        <v>0</v>
      </c>
      <c r="E76" s="21">
        <f t="shared" si="127"/>
        <v>0</v>
      </c>
      <c r="F76" s="21">
        <f t="shared" si="127"/>
        <v>0</v>
      </c>
      <c r="G76" s="21">
        <f>6.3</f>
        <v>6.3</v>
      </c>
      <c r="H76" s="21">
        <f>0</f>
        <v>0</v>
      </c>
      <c r="I76" s="21">
        <f>50.4</f>
        <v>50.4</v>
      </c>
      <c r="J76" s="21">
        <f t="shared" ref="J76:L76" si="128">0</f>
        <v>0</v>
      </c>
      <c r="K76" s="21">
        <f t="shared" si="128"/>
        <v>0</v>
      </c>
      <c r="L76" s="21">
        <f t="shared" si="128"/>
        <v>0</v>
      </c>
      <c r="M76" s="21">
        <f>6.3</f>
        <v>6.3</v>
      </c>
      <c r="N76" s="21">
        <f t="shared" ref="N76:O76" si="129">0</f>
        <v>0</v>
      </c>
      <c r="O76" s="21">
        <f t="shared" si="129"/>
        <v>0</v>
      </c>
    </row>
    <row r="77">
      <c r="B77" s="20">
        <v>46209.0</v>
      </c>
      <c r="C77" s="21">
        <v>0.0</v>
      </c>
      <c r="D77" s="21">
        <v>0.0</v>
      </c>
      <c r="E77" s="21">
        <v>0.0</v>
      </c>
      <c r="F77" s="21">
        <v>0.0</v>
      </c>
      <c r="G77" s="21">
        <v>0.0</v>
      </c>
      <c r="H77" s="21">
        <v>0.0</v>
      </c>
      <c r="I77" s="21">
        <f>95</f>
        <v>95</v>
      </c>
      <c r="J77" s="21">
        <v>0.0</v>
      </c>
      <c r="K77" s="21">
        <v>0.0</v>
      </c>
      <c r="L77" s="21">
        <v>0.0</v>
      </c>
      <c r="M77" s="21">
        <v>0.0</v>
      </c>
      <c r="N77" s="21">
        <v>0.0</v>
      </c>
      <c r="O77" s="21">
        <v>0.0</v>
      </c>
    </row>
    <row r="78">
      <c r="B78" s="20">
        <v>46209.0</v>
      </c>
      <c r="C78" s="21">
        <f t="shared" ref="C78:H78" si="130">0</f>
        <v>0</v>
      </c>
      <c r="D78" s="21">
        <f t="shared" si="130"/>
        <v>0</v>
      </c>
      <c r="E78" s="21">
        <f t="shared" si="130"/>
        <v>0</v>
      </c>
      <c r="F78" s="21">
        <f t="shared" si="130"/>
        <v>0</v>
      </c>
      <c r="G78" s="21">
        <f t="shared" si="130"/>
        <v>0</v>
      </c>
      <c r="H78" s="21">
        <f t="shared" si="130"/>
        <v>0</v>
      </c>
      <c r="I78" s="21">
        <f>60.3</f>
        <v>60.3</v>
      </c>
      <c r="J78" s="21">
        <f t="shared" ref="J78:M78" si="131">0</f>
        <v>0</v>
      </c>
      <c r="K78" s="21">
        <f t="shared" si="131"/>
        <v>0</v>
      </c>
      <c r="L78" s="21">
        <f t="shared" si="131"/>
        <v>0</v>
      </c>
      <c r="M78" s="21">
        <f t="shared" si="131"/>
        <v>0</v>
      </c>
      <c r="N78" s="21">
        <f>6.7</f>
        <v>6.7</v>
      </c>
      <c r="O78" s="21">
        <f>0</f>
        <v>0</v>
      </c>
    </row>
    <row r="79">
      <c r="B79" s="20">
        <v>46209.0</v>
      </c>
      <c r="C79" s="21">
        <v>0.0</v>
      </c>
      <c r="D79" s="21">
        <v>0.0</v>
      </c>
      <c r="E79" s="21">
        <v>0.0</v>
      </c>
      <c r="F79" s="21">
        <v>0.0</v>
      </c>
      <c r="G79" s="21">
        <v>0.0</v>
      </c>
      <c r="H79" s="21">
        <v>0.0</v>
      </c>
      <c r="I79" s="21">
        <f>62</f>
        <v>62</v>
      </c>
      <c r="J79" s="21">
        <v>0.0</v>
      </c>
      <c r="K79" s="21">
        <v>0.0</v>
      </c>
      <c r="L79" s="21">
        <v>0.0</v>
      </c>
      <c r="M79" s="21">
        <v>0.0</v>
      </c>
      <c r="N79" s="21">
        <v>0.0</v>
      </c>
      <c r="O79" s="21">
        <v>0.0</v>
      </c>
    </row>
    <row r="80">
      <c r="B80" s="20">
        <v>46209.0</v>
      </c>
      <c r="C80" s="21">
        <f>3.8</f>
        <v>3.8</v>
      </c>
      <c r="D80" s="21">
        <f t="shared" ref="D80:H80" si="132">0</f>
        <v>0</v>
      </c>
      <c r="E80" s="21">
        <f t="shared" si="132"/>
        <v>0</v>
      </c>
      <c r="F80" s="21">
        <f t="shared" si="132"/>
        <v>0</v>
      </c>
      <c r="G80" s="21">
        <f t="shared" si="132"/>
        <v>0</v>
      </c>
      <c r="H80" s="21">
        <f t="shared" si="132"/>
        <v>0</v>
      </c>
      <c r="I80" s="21">
        <f>34.2</f>
        <v>34.2</v>
      </c>
      <c r="J80" s="21">
        <f t="shared" ref="J80:O80" si="133">0</f>
        <v>0</v>
      </c>
      <c r="K80" s="21">
        <f t="shared" si="133"/>
        <v>0</v>
      </c>
      <c r="L80" s="21">
        <f t="shared" si="133"/>
        <v>0</v>
      </c>
      <c r="M80" s="21">
        <f t="shared" si="133"/>
        <v>0</v>
      </c>
      <c r="N80" s="21">
        <f t="shared" si="133"/>
        <v>0</v>
      </c>
      <c r="O80" s="21">
        <f t="shared" si="133"/>
        <v>0</v>
      </c>
    </row>
    <row r="81">
      <c r="B81" s="20">
        <v>46209.0</v>
      </c>
      <c r="C81" s="21">
        <f>28</f>
        <v>28</v>
      </c>
      <c r="D81" s="21">
        <f t="shared" ref="D81:I81" si="134">0</f>
        <v>0</v>
      </c>
      <c r="E81" s="21">
        <f t="shared" si="134"/>
        <v>0</v>
      </c>
      <c r="F81" s="21">
        <f t="shared" si="134"/>
        <v>0</v>
      </c>
      <c r="G81" s="21">
        <f t="shared" si="134"/>
        <v>0</v>
      </c>
      <c r="H81" s="21">
        <f t="shared" si="134"/>
        <v>0</v>
      </c>
      <c r="I81" s="21">
        <f t="shared" si="134"/>
        <v>0</v>
      </c>
      <c r="J81" s="21">
        <f>35</f>
        <v>35</v>
      </c>
      <c r="K81" s="21">
        <f t="shared" ref="K81:L81" si="135">0</f>
        <v>0</v>
      </c>
      <c r="L81" s="21">
        <f t="shared" si="135"/>
        <v>0</v>
      </c>
      <c r="M81" s="21">
        <f>7</f>
        <v>7</v>
      </c>
      <c r="N81" s="21">
        <f t="shared" ref="N81:O81" si="136">0</f>
        <v>0</v>
      </c>
      <c r="O81" s="21">
        <f t="shared" si="136"/>
        <v>0</v>
      </c>
    </row>
    <row r="82">
      <c r="B82" s="20">
        <v>46209.0</v>
      </c>
      <c r="C82" s="21">
        <f>11.1</f>
        <v>11.1</v>
      </c>
      <c r="D82" s="21">
        <f>3.7</f>
        <v>3.7</v>
      </c>
      <c r="E82" s="21">
        <f t="shared" ref="E82:H82" si="137">0</f>
        <v>0</v>
      </c>
      <c r="F82" s="21">
        <f t="shared" si="137"/>
        <v>0</v>
      </c>
      <c r="G82" s="21">
        <f t="shared" si="137"/>
        <v>0</v>
      </c>
      <c r="H82" s="21">
        <f t="shared" si="137"/>
        <v>0</v>
      </c>
      <c r="I82" s="21">
        <f t="shared" ref="I82:J82" si="138">11.1</f>
        <v>11.1</v>
      </c>
      <c r="J82" s="21">
        <f t="shared" si="138"/>
        <v>11.1</v>
      </c>
      <c r="K82" s="21">
        <f t="shared" ref="K82:O82" si="139">0</f>
        <v>0</v>
      </c>
      <c r="L82" s="21">
        <f t="shared" si="139"/>
        <v>0</v>
      </c>
      <c r="M82" s="21">
        <f t="shared" si="139"/>
        <v>0</v>
      </c>
      <c r="N82" s="21">
        <f t="shared" si="139"/>
        <v>0</v>
      </c>
      <c r="O82" s="21">
        <f t="shared" si="139"/>
        <v>0</v>
      </c>
    </row>
    <row r="83">
      <c r="B83" s="20">
        <v>46209.0</v>
      </c>
      <c r="C83" s="21">
        <f>25.2</f>
        <v>25.2</v>
      </c>
      <c r="D83" s="21">
        <f t="shared" ref="D83:F83" si="140">0</f>
        <v>0</v>
      </c>
      <c r="E83" s="21">
        <f t="shared" si="140"/>
        <v>0</v>
      </c>
      <c r="F83" s="21">
        <f t="shared" si="140"/>
        <v>0</v>
      </c>
      <c r="G83" s="21">
        <f>25.2</f>
        <v>25.2</v>
      </c>
      <c r="H83" s="21">
        <f t="shared" ref="H83:N83" si="141">0</f>
        <v>0</v>
      </c>
      <c r="I83" s="21">
        <f t="shared" si="141"/>
        <v>0</v>
      </c>
      <c r="J83" s="21">
        <f t="shared" si="141"/>
        <v>0</v>
      </c>
      <c r="K83" s="21">
        <f t="shared" si="141"/>
        <v>0</v>
      </c>
      <c r="L83" s="21">
        <f t="shared" si="141"/>
        <v>0</v>
      </c>
      <c r="M83" s="21">
        <f t="shared" si="141"/>
        <v>0</v>
      </c>
      <c r="N83" s="21">
        <f t="shared" si="141"/>
        <v>0</v>
      </c>
      <c r="O83" s="21">
        <f>12.6</f>
        <v>12.6</v>
      </c>
    </row>
    <row r="84">
      <c r="B84" s="20">
        <v>46209.0</v>
      </c>
      <c r="C84" s="21">
        <f>7.2</f>
        <v>7.2</v>
      </c>
      <c r="D84" s="21">
        <f>4.8</f>
        <v>4.8</v>
      </c>
      <c r="E84" s="21">
        <f t="shared" ref="E84:H84" si="142">0</f>
        <v>0</v>
      </c>
      <c r="F84" s="21">
        <f t="shared" si="142"/>
        <v>0</v>
      </c>
      <c r="G84" s="21">
        <f t="shared" si="142"/>
        <v>0</v>
      </c>
      <c r="H84" s="21">
        <f t="shared" si="142"/>
        <v>0</v>
      </c>
      <c r="I84" s="21">
        <f>9.6</f>
        <v>9.6</v>
      </c>
      <c r="J84" s="21">
        <f t="shared" ref="J84:N84" si="143">0</f>
        <v>0</v>
      </c>
      <c r="K84" s="21">
        <f t="shared" si="143"/>
        <v>0</v>
      </c>
      <c r="L84" s="21">
        <f t="shared" si="143"/>
        <v>0</v>
      </c>
      <c r="M84" s="21">
        <f t="shared" si="143"/>
        <v>0</v>
      </c>
      <c r="N84" s="21">
        <f t="shared" si="143"/>
        <v>0</v>
      </c>
      <c r="O84" s="21">
        <f>2.4</f>
        <v>2.4</v>
      </c>
    </row>
    <row r="85">
      <c r="B85" s="20">
        <v>46210.0</v>
      </c>
      <c r="C85" s="21">
        <f>2</f>
        <v>2</v>
      </c>
      <c r="D85" s="21">
        <f t="shared" ref="D85:F85" si="144">0</f>
        <v>0</v>
      </c>
      <c r="E85" s="21">
        <f t="shared" si="144"/>
        <v>0</v>
      </c>
      <c r="F85" s="21">
        <f t="shared" si="144"/>
        <v>0</v>
      </c>
      <c r="G85" s="21">
        <f>8</f>
        <v>8</v>
      </c>
      <c r="H85" s="21">
        <f t="shared" ref="H85:O85" si="145">0</f>
        <v>0</v>
      </c>
      <c r="I85" s="21">
        <f t="shared" si="145"/>
        <v>0</v>
      </c>
      <c r="J85" s="21">
        <f t="shared" si="145"/>
        <v>0</v>
      </c>
      <c r="K85" s="21">
        <f t="shared" si="145"/>
        <v>0</v>
      </c>
      <c r="L85" s="21">
        <f t="shared" si="145"/>
        <v>0</v>
      </c>
      <c r="M85" s="21">
        <f t="shared" si="145"/>
        <v>0</v>
      </c>
      <c r="N85" s="21">
        <f t="shared" si="145"/>
        <v>0</v>
      </c>
      <c r="O85" s="21">
        <f t="shared" si="145"/>
        <v>0</v>
      </c>
    </row>
    <row r="86">
      <c r="B86" s="20">
        <v>46210.0</v>
      </c>
      <c r="C86" s="21">
        <f t="shared" ref="C86:H86" si="146">0</f>
        <v>0</v>
      </c>
      <c r="D86" s="21">
        <f t="shared" si="146"/>
        <v>0</v>
      </c>
      <c r="E86" s="21">
        <f t="shared" si="146"/>
        <v>0</v>
      </c>
      <c r="F86" s="21">
        <f t="shared" si="146"/>
        <v>0</v>
      </c>
      <c r="G86" s="21">
        <f t="shared" si="146"/>
        <v>0</v>
      </c>
      <c r="H86" s="21">
        <f t="shared" si="146"/>
        <v>0</v>
      </c>
      <c r="I86" s="21">
        <f>34.4</f>
        <v>34.4</v>
      </c>
      <c r="J86" s="21">
        <f t="shared" ref="J86:L86" si="147">0</f>
        <v>0</v>
      </c>
      <c r="K86" s="21">
        <f t="shared" si="147"/>
        <v>0</v>
      </c>
      <c r="L86" s="21">
        <f t="shared" si="147"/>
        <v>0</v>
      </c>
      <c r="M86" s="21">
        <f>8.6</f>
        <v>8.6</v>
      </c>
      <c r="N86" s="21">
        <f t="shared" ref="N86:O86" si="148">0</f>
        <v>0</v>
      </c>
      <c r="O86" s="21">
        <f t="shared" si="148"/>
        <v>0</v>
      </c>
    </row>
    <row r="87">
      <c r="B87" s="20">
        <v>46210.0</v>
      </c>
      <c r="C87" s="21">
        <f t="shared" ref="C87:F87" si="149">0</f>
        <v>0</v>
      </c>
      <c r="D87" s="21">
        <f t="shared" si="149"/>
        <v>0</v>
      </c>
      <c r="E87" s="21">
        <f t="shared" si="149"/>
        <v>0</v>
      </c>
      <c r="F87" s="21">
        <f t="shared" si="149"/>
        <v>0</v>
      </c>
      <c r="G87" s="21">
        <f>18</f>
        <v>18</v>
      </c>
      <c r="H87" s="21">
        <f t="shared" ref="H87:O87" si="150">0</f>
        <v>0</v>
      </c>
      <c r="I87" s="21">
        <f t="shared" si="150"/>
        <v>0</v>
      </c>
      <c r="J87" s="21">
        <f t="shared" si="150"/>
        <v>0</v>
      </c>
      <c r="K87" s="21">
        <f t="shared" si="150"/>
        <v>0</v>
      </c>
      <c r="L87" s="21">
        <f t="shared" si="150"/>
        <v>0</v>
      </c>
      <c r="M87" s="21">
        <f t="shared" si="150"/>
        <v>0</v>
      </c>
      <c r="N87" s="21">
        <f t="shared" si="150"/>
        <v>0</v>
      </c>
      <c r="O87" s="21">
        <f t="shared" si="150"/>
        <v>0</v>
      </c>
    </row>
    <row r="88">
      <c r="B88" s="20">
        <v>46210.0</v>
      </c>
      <c r="C88" s="21">
        <f>5.9</f>
        <v>5.9</v>
      </c>
      <c r="D88" s="21">
        <f t="shared" ref="D88:H88" si="151">0</f>
        <v>0</v>
      </c>
      <c r="E88" s="21">
        <f t="shared" si="151"/>
        <v>0</v>
      </c>
      <c r="F88" s="21">
        <f t="shared" si="151"/>
        <v>0</v>
      </c>
      <c r="G88" s="21">
        <f t="shared" si="151"/>
        <v>0</v>
      </c>
      <c r="H88" s="21">
        <f t="shared" si="151"/>
        <v>0</v>
      </c>
      <c r="I88" s="21">
        <f>29.5</f>
        <v>29.5</v>
      </c>
      <c r="J88" s="21">
        <f t="shared" ref="J88:L88" si="152">0</f>
        <v>0</v>
      </c>
      <c r="K88" s="21">
        <f t="shared" si="152"/>
        <v>0</v>
      </c>
      <c r="L88" s="21">
        <f t="shared" si="152"/>
        <v>0</v>
      </c>
      <c r="M88" s="21">
        <f>23.6</f>
        <v>23.6</v>
      </c>
      <c r="N88" s="21">
        <f t="shared" ref="N88:O88" si="153">0</f>
        <v>0</v>
      </c>
      <c r="O88" s="21">
        <f t="shared" si="153"/>
        <v>0</v>
      </c>
    </row>
    <row r="89">
      <c r="B89" s="20">
        <v>46210.0</v>
      </c>
      <c r="C89" s="21">
        <f t="shared" ref="C89:H89" si="154">0</f>
        <v>0</v>
      </c>
      <c r="D89" s="21">
        <f t="shared" si="154"/>
        <v>0</v>
      </c>
      <c r="E89" s="21">
        <f t="shared" si="154"/>
        <v>0</v>
      </c>
      <c r="F89" s="21">
        <f t="shared" si="154"/>
        <v>0</v>
      </c>
      <c r="G89" s="21">
        <f t="shared" si="154"/>
        <v>0</v>
      </c>
      <c r="H89" s="21">
        <f t="shared" si="154"/>
        <v>0</v>
      </c>
      <c r="I89" s="21">
        <f>17</f>
        <v>17</v>
      </c>
      <c r="J89" s="21">
        <f t="shared" ref="J89:L89" si="155">0</f>
        <v>0</v>
      </c>
      <c r="K89" s="21">
        <f t="shared" si="155"/>
        <v>0</v>
      </c>
      <c r="L89" s="21">
        <f t="shared" si="155"/>
        <v>0</v>
      </c>
      <c r="M89" s="21">
        <f>17</f>
        <v>17</v>
      </c>
      <c r="N89" s="21">
        <f t="shared" ref="N89:O89" si="156">0</f>
        <v>0</v>
      </c>
      <c r="O89" s="21">
        <f t="shared" si="156"/>
        <v>0</v>
      </c>
    </row>
    <row r="90">
      <c r="B90" s="20">
        <v>46210.0</v>
      </c>
      <c r="C90" s="21">
        <f t="shared" ref="C90:L90" si="157">0</f>
        <v>0</v>
      </c>
      <c r="D90" s="21">
        <f t="shared" si="157"/>
        <v>0</v>
      </c>
      <c r="E90" s="21">
        <f t="shared" si="157"/>
        <v>0</v>
      </c>
      <c r="F90" s="21">
        <f t="shared" si="157"/>
        <v>0</v>
      </c>
      <c r="G90" s="21">
        <f t="shared" si="157"/>
        <v>0</v>
      </c>
      <c r="H90" s="21">
        <f t="shared" si="157"/>
        <v>0</v>
      </c>
      <c r="I90" s="21">
        <f t="shared" si="157"/>
        <v>0</v>
      </c>
      <c r="J90" s="21">
        <f t="shared" si="157"/>
        <v>0</v>
      </c>
      <c r="K90" s="21">
        <f t="shared" si="157"/>
        <v>0</v>
      </c>
      <c r="L90" s="21">
        <f t="shared" si="157"/>
        <v>0</v>
      </c>
      <c r="M90" s="21">
        <f>25</f>
        <v>25</v>
      </c>
      <c r="N90" s="21">
        <f t="shared" ref="N90:O90" si="158">0</f>
        <v>0</v>
      </c>
      <c r="O90" s="21">
        <f t="shared" si="158"/>
        <v>0</v>
      </c>
    </row>
    <row r="91">
      <c r="B91" s="20">
        <v>46210.0</v>
      </c>
      <c r="C91" s="21">
        <v>0.0</v>
      </c>
      <c r="D91" s="21">
        <v>0.0</v>
      </c>
      <c r="E91" s="21">
        <v>0.0</v>
      </c>
      <c r="F91" s="21">
        <v>0.0</v>
      </c>
      <c r="G91" s="21">
        <v>0.0</v>
      </c>
      <c r="H91" s="21">
        <v>0.0</v>
      </c>
      <c r="I91" s="21">
        <v>0.0</v>
      </c>
      <c r="J91" s="21">
        <v>0.0</v>
      </c>
      <c r="K91" s="21">
        <v>0.0</v>
      </c>
      <c r="L91" s="21">
        <v>0.0</v>
      </c>
      <c r="M91" s="21">
        <v>0.0</v>
      </c>
      <c r="N91" s="21">
        <v>0.0</v>
      </c>
      <c r="O91" s="21">
        <f>11</f>
        <v>11</v>
      </c>
    </row>
    <row r="92">
      <c r="B92" s="20">
        <v>46211.0</v>
      </c>
      <c r="C92" s="21">
        <v>0.0</v>
      </c>
      <c r="D92" s="21">
        <v>0.0</v>
      </c>
      <c r="E92" s="21">
        <v>0.0</v>
      </c>
      <c r="F92" s="21">
        <v>0.0</v>
      </c>
      <c r="G92" s="21">
        <v>0.0</v>
      </c>
      <c r="H92" s="21">
        <v>0.0</v>
      </c>
      <c r="I92" s="21">
        <v>0.0</v>
      </c>
      <c r="J92" s="21">
        <v>0.0</v>
      </c>
      <c r="K92" s="21">
        <v>0.0</v>
      </c>
      <c r="L92" s="21">
        <v>0.0</v>
      </c>
      <c r="M92" s="21">
        <v>0.0</v>
      </c>
      <c r="N92" s="21">
        <v>0.0</v>
      </c>
      <c r="O92" s="21">
        <f>64</f>
        <v>64</v>
      </c>
    </row>
    <row r="93">
      <c r="B93" s="20">
        <v>46211.0</v>
      </c>
      <c r="C93" s="21">
        <f t="shared" ref="C93:E93" si="159">0</f>
        <v>0</v>
      </c>
      <c r="D93" s="21">
        <f t="shared" si="159"/>
        <v>0</v>
      </c>
      <c r="E93" s="21">
        <f t="shared" si="159"/>
        <v>0</v>
      </c>
      <c r="F93" s="21">
        <f>22</f>
        <v>22</v>
      </c>
      <c r="G93" s="21">
        <f t="shared" ref="G93:O93" si="160">0</f>
        <v>0</v>
      </c>
      <c r="H93" s="21">
        <f t="shared" si="160"/>
        <v>0</v>
      </c>
      <c r="I93" s="21">
        <f t="shared" si="160"/>
        <v>0</v>
      </c>
      <c r="J93" s="21">
        <f t="shared" si="160"/>
        <v>0</v>
      </c>
      <c r="K93" s="21">
        <f t="shared" si="160"/>
        <v>0</v>
      </c>
      <c r="L93" s="21">
        <f t="shared" si="160"/>
        <v>0</v>
      </c>
      <c r="M93" s="21">
        <f t="shared" si="160"/>
        <v>0</v>
      </c>
      <c r="N93" s="21">
        <f t="shared" si="160"/>
        <v>0</v>
      </c>
      <c r="O93" s="21">
        <f t="shared" si="160"/>
        <v>0</v>
      </c>
    </row>
    <row r="94">
      <c r="B94" s="20">
        <v>46211.0</v>
      </c>
      <c r="C94" s="21">
        <f t="shared" ref="C94:E94" si="161">0</f>
        <v>0</v>
      </c>
      <c r="D94" s="21">
        <f t="shared" si="161"/>
        <v>0</v>
      </c>
      <c r="E94" s="21">
        <f t="shared" si="161"/>
        <v>0</v>
      </c>
      <c r="F94" s="21">
        <f t="shared" ref="F94:F95" si="164">26</f>
        <v>26</v>
      </c>
      <c r="G94" s="21">
        <f t="shared" ref="G94:O94" si="162">0</f>
        <v>0</v>
      </c>
      <c r="H94" s="21">
        <f t="shared" si="162"/>
        <v>0</v>
      </c>
      <c r="I94" s="21">
        <f t="shared" si="162"/>
        <v>0</v>
      </c>
      <c r="J94" s="21">
        <f t="shared" si="162"/>
        <v>0</v>
      </c>
      <c r="K94" s="21">
        <f t="shared" si="162"/>
        <v>0</v>
      </c>
      <c r="L94" s="21">
        <f t="shared" si="162"/>
        <v>0</v>
      </c>
      <c r="M94" s="21">
        <f t="shared" si="162"/>
        <v>0</v>
      </c>
      <c r="N94" s="21">
        <f t="shared" si="162"/>
        <v>0</v>
      </c>
      <c r="O94" s="21">
        <f t="shared" si="162"/>
        <v>0</v>
      </c>
    </row>
    <row r="95">
      <c r="B95" s="20">
        <v>46211.0</v>
      </c>
      <c r="C95" s="21">
        <f t="shared" ref="C95:E95" si="163">0</f>
        <v>0</v>
      </c>
      <c r="D95" s="21">
        <f t="shared" si="163"/>
        <v>0</v>
      </c>
      <c r="E95" s="21">
        <f t="shared" si="163"/>
        <v>0</v>
      </c>
      <c r="F95" s="21">
        <f t="shared" si="164"/>
        <v>26</v>
      </c>
      <c r="G95" s="21">
        <f t="shared" ref="G95:O95" si="165">0</f>
        <v>0</v>
      </c>
      <c r="H95" s="21">
        <f t="shared" si="165"/>
        <v>0</v>
      </c>
      <c r="I95" s="21">
        <f t="shared" si="165"/>
        <v>0</v>
      </c>
      <c r="J95" s="21">
        <f t="shared" si="165"/>
        <v>0</v>
      </c>
      <c r="K95" s="21">
        <f t="shared" si="165"/>
        <v>0</v>
      </c>
      <c r="L95" s="21">
        <f t="shared" si="165"/>
        <v>0</v>
      </c>
      <c r="M95" s="21">
        <f t="shared" si="165"/>
        <v>0</v>
      </c>
      <c r="N95" s="21">
        <f t="shared" si="165"/>
        <v>0</v>
      </c>
      <c r="O95" s="21">
        <f t="shared" si="165"/>
        <v>0</v>
      </c>
    </row>
    <row r="96">
      <c r="B96" s="20">
        <v>46211.0</v>
      </c>
      <c r="C96" s="21">
        <f t="shared" ref="C96:I96" si="166">0</f>
        <v>0</v>
      </c>
      <c r="D96" s="21">
        <f t="shared" si="166"/>
        <v>0</v>
      </c>
      <c r="E96" s="21">
        <f t="shared" si="166"/>
        <v>0</v>
      </c>
      <c r="F96" s="21">
        <f t="shared" si="166"/>
        <v>0</v>
      </c>
      <c r="G96" s="21">
        <f t="shared" si="166"/>
        <v>0</v>
      </c>
      <c r="H96" s="21">
        <f t="shared" si="166"/>
        <v>0</v>
      </c>
      <c r="I96" s="21">
        <f t="shared" si="166"/>
        <v>0</v>
      </c>
      <c r="J96" s="21">
        <f>533</f>
        <v>533</v>
      </c>
      <c r="K96" s="21">
        <f t="shared" ref="K96:O96" si="167">0</f>
        <v>0</v>
      </c>
      <c r="L96" s="21">
        <f t="shared" si="167"/>
        <v>0</v>
      </c>
      <c r="M96" s="21">
        <f t="shared" si="167"/>
        <v>0</v>
      </c>
      <c r="N96" s="21">
        <f t="shared" si="167"/>
        <v>0</v>
      </c>
      <c r="O96" s="21">
        <f t="shared" si="167"/>
        <v>0</v>
      </c>
    </row>
    <row r="97">
      <c r="B97" s="20">
        <v>46211.0</v>
      </c>
      <c r="C97" s="21">
        <f t="shared" ref="C97:I97" si="168">0</f>
        <v>0</v>
      </c>
      <c r="D97" s="21">
        <f t="shared" si="168"/>
        <v>0</v>
      </c>
      <c r="E97" s="21">
        <f t="shared" si="168"/>
        <v>0</v>
      </c>
      <c r="F97" s="21">
        <f t="shared" si="168"/>
        <v>0</v>
      </c>
      <c r="G97" s="21">
        <f t="shared" si="168"/>
        <v>0</v>
      </c>
      <c r="H97" s="21">
        <f t="shared" si="168"/>
        <v>0</v>
      </c>
      <c r="I97" s="21">
        <f t="shared" si="168"/>
        <v>0</v>
      </c>
      <c r="J97" s="21">
        <f>458</f>
        <v>458</v>
      </c>
      <c r="K97" s="21">
        <f t="shared" ref="K97:O97" si="169">0</f>
        <v>0</v>
      </c>
      <c r="L97" s="21">
        <f t="shared" si="169"/>
        <v>0</v>
      </c>
      <c r="M97" s="21">
        <f t="shared" si="169"/>
        <v>0</v>
      </c>
      <c r="N97" s="21">
        <f t="shared" si="169"/>
        <v>0</v>
      </c>
      <c r="O97" s="21">
        <f t="shared" si="169"/>
        <v>0</v>
      </c>
    </row>
    <row r="98">
      <c r="B98" s="20">
        <v>46211.0</v>
      </c>
      <c r="C98" s="21">
        <f>16</f>
        <v>16</v>
      </c>
      <c r="D98" s="21">
        <f t="shared" ref="D98:O98" si="170">0</f>
        <v>0</v>
      </c>
      <c r="E98" s="21">
        <f t="shared" si="170"/>
        <v>0</v>
      </c>
      <c r="F98" s="21">
        <f t="shared" si="170"/>
        <v>0</v>
      </c>
      <c r="G98" s="21">
        <f t="shared" si="170"/>
        <v>0</v>
      </c>
      <c r="H98" s="21">
        <f t="shared" si="170"/>
        <v>0</v>
      </c>
      <c r="I98" s="21">
        <f t="shared" si="170"/>
        <v>0</v>
      </c>
      <c r="J98" s="21">
        <f t="shared" si="170"/>
        <v>0</v>
      </c>
      <c r="K98" s="21">
        <f t="shared" si="170"/>
        <v>0</v>
      </c>
      <c r="L98" s="21">
        <f t="shared" si="170"/>
        <v>0</v>
      </c>
      <c r="M98" s="21">
        <f t="shared" si="170"/>
        <v>0</v>
      </c>
      <c r="N98" s="21">
        <f t="shared" si="170"/>
        <v>0</v>
      </c>
      <c r="O98" s="21">
        <f t="shared" si="170"/>
        <v>0</v>
      </c>
    </row>
    <row r="99">
      <c r="B99" s="20">
        <v>46211.0</v>
      </c>
      <c r="C99" s="21">
        <f>12.5</f>
        <v>12.5</v>
      </c>
      <c r="D99" s="21">
        <f t="shared" ref="D99:H99" si="171">0</f>
        <v>0</v>
      </c>
      <c r="E99" s="21">
        <f t="shared" si="171"/>
        <v>0</v>
      </c>
      <c r="F99" s="21">
        <f t="shared" si="171"/>
        <v>0</v>
      </c>
      <c r="G99" s="21">
        <f t="shared" si="171"/>
        <v>0</v>
      </c>
      <c r="H99" s="21">
        <f t="shared" si="171"/>
        <v>0</v>
      </c>
      <c r="I99" s="21">
        <f>7.5</f>
        <v>7.5</v>
      </c>
      <c r="J99" s="21">
        <f t="shared" ref="J99:L99" si="172">0</f>
        <v>0</v>
      </c>
      <c r="K99" s="21">
        <f t="shared" si="172"/>
        <v>0</v>
      </c>
      <c r="L99" s="21">
        <f t="shared" si="172"/>
        <v>0</v>
      </c>
      <c r="M99" s="21">
        <f>5</f>
        <v>5</v>
      </c>
      <c r="N99" s="21">
        <f t="shared" ref="N99:O99" si="173">0</f>
        <v>0</v>
      </c>
      <c r="O99" s="21">
        <f t="shared" si="173"/>
        <v>0</v>
      </c>
    </row>
    <row r="100">
      <c r="B100" s="20">
        <v>46211.0</v>
      </c>
      <c r="C100" s="21">
        <f t="shared" ref="C100:C101" si="175">0</f>
        <v>0</v>
      </c>
      <c r="D100" s="21">
        <f>13</f>
        <v>13</v>
      </c>
      <c r="E100" s="21">
        <f t="shared" ref="E100:O100" si="174">0</f>
        <v>0</v>
      </c>
      <c r="F100" s="21">
        <f t="shared" si="174"/>
        <v>0</v>
      </c>
      <c r="G100" s="21">
        <f t="shared" si="174"/>
        <v>0</v>
      </c>
      <c r="H100" s="21">
        <f t="shared" si="174"/>
        <v>0</v>
      </c>
      <c r="I100" s="21">
        <f t="shared" si="174"/>
        <v>0</v>
      </c>
      <c r="J100" s="21">
        <f t="shared" si="174"/>
        <v>0</v>
      </c>
      <c r="K100" s="21">
        <f t="shared" si="174"/>
        <v>0</v>
      </c>
      <c r="L100" s="21">
        <f t="shared" si="174"/>
        <v>0</v>
      </c>
      <c r="M100" s="21">
        <f t="shared" si="174"/>
        <v>0</v>
      </c>
      <c r="N100" s="21">
        <f t="shared" si="174"/>
        <v>0</v>
      </c>
      <c r="O100" s="21">
        <f t="shared" si="174"/>
        <v>0</v>
      </c>
    </row>
    <row r="101">
      <c r="B101" s="20">
        <v>46211.0</v>
      </c>
      <c r="C101" s="21">
        <f t="shared" si="175"/>
        <v>0</v>
      </c>
      <c r="D101" s="21">
        <f>2.5</f>
        <v>2.5</v>
      </c>
      <c r="E101" s="21">
        <f t="shared" ref="E101:F101" si="176">0</f>
        <v>0</v>
      </c>
      <c r="F101" s="21">
        <f t="shared" si="176"/>
        <v>0</v>
      </c>
      <c r="G101" s="21">
        <f>2.5</f>
        <v>2.5</v>
      </c>
      <c r="H101" s="21">
        <f t="shared" ref="H101:H102" si="179">0</f>
        <v>0</v>
      </c>
      <c r="I101" s="21">
        <f>2.5</f>
        <v>2.5</v>
      </c>
      <c r="J101" s="21">
        <f t="shared" ref="J101:L101" si="177">0</f>
        <v>0</v>
      </c>
      <c r="K101" s="21">
        <f t="shared" si="177"/>
        <v>0</v>
      </c>
      <c r="L101" s="21">
        <f t="shared" si="177"/>
        <v>0</v>
      </c>
      <c r="M101" s="21">
        <f>5</f>
        <v>5</v>
      </c>
      <c r="N101" s="21">
        <f>2.5</f>
        <v>2.5</v>
      </c>
      <c r="O101" s="21">
        <f>10</f>
        <v>10</v>
      </c>
    </row>
    <row r="102">
      <c r="B102" s="20">
        <v>46211.0</v>
      </c>
      <c r="C102" s="21">
        <f>18.9</f>
        <v>18.9</v>
      </c>
      <c r="D102" s="21">
        <f t="shared" ref="D102:F102" si="178">0</f>
        <v>0</v>
      </c>
      <c r="E102" s="21">
        <f t="shared" si="178"/>
        <v>0</v>
      </c>
      <c r="F102" s="21">
        <f t="shared" si="178"/>
        <v>0</v>
      </c>
      <c r="G102" s="21">
        <f>2.7</f>
        <v>2.7</v>
      </c>
      <c r="H102" s="21">
        <f t="shared" si="179"/>
        <v>0</v>
      </c>
      <c r="I102" s="21">
        <f t="shared" ref="I102:L102" si="180">0</f>
        <v>0</v>
      </c>
      <c r="J102" s="21">
        <f t="shared" si="180"/>
        <v>0</v>
      </c>
      <c r="K102" s="21">
        <f t="shared" si="180"/>
        <v>0</v>
      </c>
      <c r="L102" s="21">
        <f t="shared" si="180"/>
        <v>0</v>
      </c>
      <c r="M102" s="21">
        <f>5.4</f>
        <v>5.4</v>
      </c>
      <c r="N102" s="21">
        <f t="shared" ref="N102:O102" si="181">0</f>
        <v>0</v>
      </c>
      <c r="O102" s="21">
        <f t="shared" si="181"/>
        <v>0</v>
      </c>
    </row>
    <row r="103">
      <c r="B103" s="20">
        <v>46211.0</v>
      </c>
      <c r="C103" s="21">
        <f>10.2</f>
        <v>10.2</v>
      </c>
      <c r="D103" s="21">
        <f t="shared" ref="D103:D105" si="183">0</f>
        <v>0</v>
      </c>
      <c r="E103" s="21">
        <f>6.8</f>
        <v>6.8</v>
      </c>
      <c r="F103" s="21">
        <f t="shared" ref="F103:M103" si="182">0</f>
        <v>0</v>
      </c>
      <c r="G103" s="21">
        <f t="shared" si="182"/>
        <v>0</v>
      </c>
      <c r="H103" s="21">
        <f t="shared" si="182"/>
        <v>0</v>
      </c>
      <c r="I103" s="21">
        <f t="shared" si="182"/>
        <v>0</v>
      </c>
      <c r="J103" s="21">
        <f t="shared" si="182"/>
        <v>0</v>
      </c>
      <c r="K103" s="21">
        <f t="shared" si="182"/>
        <v>0</v>
      </c>
      <c r="L103" s="21">
        <f t="shared" si="182"/>
        <v>0</v>
      </c>
      <c r="M103" s="21">
        <f t="shared" si="182"/>
        <v>0</v>
      </c>
      <c r="N103" s="21">
        <f>10.2</f>
        <v>10.2</v>
      </c>
      <c r="O103" s="21">
        <f>6.8</f>
        <v>6.8</v>
      </c>
    </row>
    <row r="104">
      <c r="B104" s="20">
        <v>46211.0</v>
      </c>
      <c r="C104" s="21">
        <f>39.2</f>
        <v>39.2</v>
      </c>
      <c r="D104" s="21">
        <f t="shared" si="183"/>
        <v>0</v>
      </c>
      <c r="E104" s="21">
        <f t="shared" ref="E104:H104" si="184">0</f>
        <v>0</v>
      </c>
      <c r="F104" s="21">
        <f t="shared" si="184"/>
        <v>0</v>
      </c>
      <c r="G104" s="21">
        <f t="shared" si="184"/>
        <v>0</v>
      </c>
      <c r="H104" s="21">
        <f t="shared" si="184"/>
        <v>0</v>
      </c>
      <c r="I104" s="21">
        <f>9.8</f>
        <v>9.8</v>
      </c>
      <c r="J104" s="21">
        <f t="shared" ref="J104:O104" si="185">0</f>
        <v>0</v>
      </c>
      <c r="K104" s="21">
        <f t="shared" si="185"/>
        <v>0</v>
      </c>
      <c r="L104" s="21">
        <f t="shared" si="185"/>
        <v>0</v>
      </c>
      <c r="M104" s="21">
        <f t="shared" si="185"/>
        <v>0</v>
      </c>
      <c r="N104" s="21">
        <f t="shared" si="185"/>
        <v>0</v>
      </c>
      <c r="O104" s="21">
        <f t="shared" si="185"/>
        <v>0</v>
      </c>
    </row>
    <row r="105">
      <c r="B105" s="20">
        <v>46211.0</v>
      </c>
      <c r="C105" s="21">
        <f>13.2</f>
        <v>13.2</v>
      </c>
      <c r="D105" s="21">
        <f t="shared" si="183"/>
        <v>0</v>
      </c>
      <c r="E105" s="21">
        <f t="shared" ref="E105:H105" si="186">0</f>
        <v>0</v>
      </c>
      <c r="F105" s="21">
        <f t="shared" si="186"/>
        <v>0</v>
      </c>
      <c r="G105" s="21">
        <f t="shared" si="186"/>
        <v>0</v>
      </c>
      <c r="H105" s="21">
        <f t="shared" si="186"/>
        <v>0</v>
      </c>
      <c r="I105" s="21">
        <f>19.8</f>
        <v>19.8</v>
      </c>
      <c r="J105" s="21">
        <f t="shared" ref="J105:O105" si="187">0</f>
        <v>0</v>
      </c>
      <c r="K105" s="21">
        <f t="shared" si="187"/>
        <v>0</v>
      </c>
      <c r="L105" s="21">
        <f t="shared" si="187"/>
        <v>0</v>
      </c>
      <c r="M105" s="21">
        <f t="shared" si="187"/>
        <v>0</v>
      </c>
      <c r="N105" s="21">
        <f t="shared" si="187"/>
        <v>0</v>
      </c>
      <c r="O105" s="21">
        <f t="shared" si="187"/>
        <v>0</v>
      </c>
    </row>
    <row r="106">
      <c r="B106" s="20">
        <v>46211.0</v>
      </c>
      <c r="C106" s="21">
        <f t="shared" ref="C106:D106" si="188">8.2</f>
        <v>8.2</v>
      </c>
      <c r="D106" s="21">
        <f t="shared" si="188"/>
        <v>8.2</v>
      </c>
      <c r="E106" s="21">
        <f t="shared" ref="E106:F106" si="189">0</f>
        <v>0</v>
      </c>
      <c r="F106" s="21">
        <f t="shared" si="189"/>
        <v>0</v>
      </c>
      <c r="G106" s="21">
        <f>4.1</f>
        <v>4.1</v>
      </c>
      <c r="H106" s="21">
        <f t="shared" ref="H106:L106" si="190">0</f>
        <v>0</v>
      </c>
      <c r="I106" s="21">
        <f t="shared" si="190"/>
        <v>0</v>
      </c>
      <c r="J106" s="21">
        <f t="shared" si="190"/>
        <v>0</v>
      </c>
      <c r="K106" s="21">
        <f t="shared" si="190"/>
        <v>0</v>
      </c>
      <c r="L106" s="21">
        <f t="shared" si="190"/>
        <v>0</v>
      </c>
      <c r="M106" s="21">
        <f>20.5</f>
        <v>20.5</v>
      </c>
      <c r="N106" s="21">
        <f t="shared" ref="N106:O106" si="191">0</f>
        <v>0</v>
      </c>
      <c r="O106" s="21">
        <f t="shared" si="191"/>
        <v>0</v>
      </c>
    </row>
    <row r="107">
      <c r="B107" s="20">
        <v>46211.0</v>
      </c>
      <c r="C107" s="21">
        <f>27</f>
        <v>27</v>
      </c>
      <c r="D107" s="21">
        <f t="shared" ref="D107:L107" si="192">0</f>
        <v>0</v>
      </c>
      <c r="E107" s="21">
        <f t="shared" si="192"/>
        <v>0</v>
      </c>
      <c r="F107" s="21">
        <f t="shared" si="192"/>
        <v>0</v>
      </c>
      <c r="G107" s="21">
        <f t="shared" si="192"/>
        <v>0</v>
      </c>
      <c r="H107" s="21">
        <f t="shared" si="192"/>
        <v>0</v>
      </c>
      <c r="I107" s="21">
        <f t="shared" si="192"/>
        <v>0</v>
      </c>
      <c r="J107" s="21">
        <f t="shared" si="192"/>
        <v>0</v>
      </c>
      <c r="K107" s="21">
        <f t="shared" si="192"/>
        <v>0</v>
      </c>
      <c r="L107" s="21">
        <f t="shared" si="192"/>
        <v>0</v>
      </c>
      <c r="M107" s="21">
        <f>3</f>
        <v>3</v>
      </c>
      <c r="N107" s="21">
        <f t="shared" ref="N107:O107" si="193">0</f>
        <v>0</v>
      </c>
      <c r="O107" s="21">
        <f t="shared" si="193"/>
        <v>0</v>
      </c>
    </row>
    <row r="108">
      <c r="B108" s="20">
        <v>46211.0</v>
      </c>
      <c r="C108" s="21">
        <f>10.6</f>
        <v>10.6</v>
      </c>
      <c r="D108" s="21">
        <f t="shared" ref="D108:H108" si="194">0</f>
        <v>0</v>
      </c>
      <c r="E108" s="21">
        <f t="shared" si="194"/>
        <v>0</v>
      </c>
      <c r="F108" s="21">
        <f t="shared" si="194"/>
        <v>0</v>
      </c>
      <c r="G108" s="21">
        <f t="shared" si="194"/>
        <v>0</v>
      </c>
      <c r="H108" s="21">
        <f t="shared" si="194"/>
        <v>0</v>
      </c>
      <c r="I108" s="21">
        <f>84.8</f>
        <v>84.8</v>
      </c>
      <c r="J108" s="21">
        <f t="shared" ref="J108:L108" si="195">0</f>
        <v>0</v>
      </c>
      <c r="K108" s="21">
        <f t="shared" si="195"/>
        <v>0</v>
      </c>
      <c r="L108" s="21">
        <f t="shared" si="195"/>
        <v>0</v>
      </c>
      <c r="M108" s="21">
        <f>10.6</f>
        <v>10.6</v>
      </c>
      <c r="N108" s="21">
        <f t="shared" ref="N108:O108" si="196">0</f>
        <v>0</v>
      </c>
      <c r="O108" s="21">
        <f t="shared" si="196"/>
        <v>0</v>
      </c>
    </row>
    <row r="109">
      <c r="B109" s="20">
        <v>46212.0</v>
      </c>
      <c r="C109" s="21">
        <f t="shared" ref="C109:C110" si="199">0</f>
        <v>0</v>
      </c>
      <c r="D109" s="21">
        <f>22.4</f>
        <v>22.4</v>
      </c>
      <c r="E109" s="21">
        <f t="shared" ref="E109:H109" si="197">0</f>
        <v>0</v>
      </c>
      <c r="F109" s="21">
        <f t="shared" si="197"/>
        <v>0</v>
      </c>
      <c r="G109" s="21">
        <f t="shared" si="197"/>
        <v>0</v>
      </c>
      <c r="H109" s="21">
        <f t="shared" si="197"/>
        <v>0</v>
      </c>
      <c r="I109" s="21">
        <f>9.6</f>
        <v>9.6</v>
      </c>
      <c r="J109" s="21">
        <f t="shared" ref="J109:O109" si="198">0</f>
        <v>0</v>
      </c>
      <c r="K109" s="21">
        <f t="shared" si="198"/>
        <v>0</v>
      </c>
      <c r="L109" s="21">
        <f t="shared" si="198"/>
        <v>0</v>
      </c>
      <c r="M109" s="21">
        <f t="shared" si="198"/>
        <v>0</v>
      </c>
      <c r="N109" s="21">
        <f t="shared" si="198"/>
        <v>0</v>
      </c>
      <c r="O109" s="21">
        <f t="shared" si="198"/>
        <v>0</v>
      </c>
    </row>
    <row r="110">
      <c r="B110" s="20">
        <v>46212.0</v>
      </c>
      <c r="C110" s="21">
        <f t="shared" si="199"/>
        <v>0</v>
      </c>
      <c r="D110" s="21">
        <f t="shared" ref="D110:H110" si="200">0</f>
        <v>0</v>
      </c>
      <c r="E110" s="21">
        <f t="shared" si="200"/>
        <v>0</v>
      </c>
      <c r="F110" s="21">
        <f t="shared" si="200"/>
        <v>0</v>
      </c>
      <c r="G110" s="21">
        <f t="shared" si="200"/>
        <v>0</v>
      </c>
      <c r="H110" s="21">
        <f t="shared" si="200"/>
        <v>0</v>
      </c>
      <c r="I110" s="21">
        <f>28</f>
        <v>28</v>
      </c>
      <c r="J110" s="21">
        <f t="shared" ref="J110:L110" si="201">0</f>
        <v>0</v>
      </c>
      <c r="K110" s="21">
        <f t="shared" si="201"/>
        <v>0</v>
      </c>
      <c r="L110" s="21">
        <f t="shared" si="201"/>
        <v>0</v>
      </c>
      <c r="M110" s="21">
        <f>7</f>
        <v>7</v>
      </c>
      <c r="N110" s="21">
        <f t="shared" ref="N110:O110" si="202">0</f>
        <v>0</v>
      </c>
      <c r="O110" s="21">
        <f t="shared" si="202"/>
        <v>0</v>
      </c>
    </row>
    <row r="111">
      <c r="B111" s="20">
        <v>46212.0</v>
      </c>
      <c r="C111" s="21">
        <f>178</f>
        <v>178</v>
      </c>
      <c r="D111" s="21">
        <f t="shared" ref="D111:O111" si="203">0</f>
        <v>0</v>
      </c>
      <c r="E111" s="21">
        <f t="shared" si="203"/>
        <v>0</v>
      </c>
      <c r="F111" s="21">
        <f t="shared" si="203"/>
        <v>0</v>
      </c>
      <c r="G111" s="21">
        <f t="shared" si="203"/>
        <v>0</v>
      </c>
      <c r="H111" s="21">
        <f t="shared" si="203"/>
        <v>0</v>
      </c>
      <c r="I111" s="21">
        <f t="shared" si="203"/>
        <v>0</v>
      </c>
      <c r="J111" s="21">
        <f t="shared" si="203"/>
        <v>0</v>
      </c>
      <c r="K111" s="21">
        <f t="shared" si="203"/>
        <v>0</v>
      </c>
      <c r="L111" s="21">
        <f t="shared" si="203"/>
        <v>0</v>
      </c>
      <c r="M111" s="21">
        <f t="shared" si="203"/>
        <v>0</v>
      </c>
      <c r="N111" s="21">
        <f t="shared" si="203"/>
        <v>0</v>
      </c>
      <c r="O111" s="21">
        <f t="shared" si="203"/>
        <v>0</v>
      </c>
    </row>
    <row r="112">
      <c r="B112" s="20">
        <v>46212.0</v>
      </c>
      <c r="C112" s="21">
        <f>22</f>
        <v>22</v>
      </c>
      <c r="D112" s="21">
        <f t="shared" ref="D112:L112" si="204">0</f>
        <v>0</v>
      </c>
      <c r="E112" s="21">
        <f t="shared" si="204"/>
        <v>0</v>
      </c>
      <c r="F112" s="21">
        <f t="shared" si="204"/>
        <v>0</v>
      </c>
      <c r="G112" s="21">
        <f t="shared" si="204"/>
        <v>0</v>
      </c>
      <c r="H112" s="21">
        <f t="shared" si="204"/>
        <v>0</v>
      </c>
      <c r="I112" s="21">
        <f t="shared" si="204"/>
        <v>0</v>
      </c>
      <c r="J112" s="21">
        <f t="shared" si="204"/>
        <v>0</v>
      </c>
      <c r="K112" s="21">
        <f t="shared" si="204"/>
        <v>0</v>
      </c>
      <c r="L112" s="21">
        <f t="shared" si="204"/>
        <v>0</v>
      </c>
      <c r="M112" s="21">
        <f>22</f>
        <v>22</v>
      </c>
      <c r="N112" s="21">
        <f t="shared" ref="N112:O112" si="205">0</f>
        <v>0</v>
      </c>
      <c r="O112" s="21">
        <f t="shared" si="205"/>
        <v>0</v>
      </c>
    </row>
    <row r="113">
      <c r="B113" s="20">
        <v>46212.0</v>
      </c>
      <c r="C113" s="21">
        <f>0</f>
        <v>0</v>
      </c>
      <c r="D113" s="21">
        <f>16</f>
        <v>16</v>
      </c>
      <c r="E113" s="21">
        <f t="shared" ref="E113:L113" si="206">0</f>
        <v>0</v>
      </c>
      <c r="F113" s="21">
        <f t="shared" si="206"/>
        <v>0</v>
      </c>
      <c r="G113" s="21">
        <f t="shared" si="206"/>
        <v>0</v>
      </c>
      <c r="H113" s="21">
        <f t="shared" si="206"/>
        <v>0</v>
      </c>
      <c r="I113" s="21">
        <f t="shared" si="206"/>
        <v>0</v>
      </c>
      <c r="J113" s="21">
        <f t="shared" si="206"/>
        <v>0</v>
      </c>
      <c r="K113" s="21">
        <f t="shared" si="206"/>
        <v>0</v>
      </c>
      <c r="L113" s="21">
        <f t="shared" si="206"/>
        <v>0</v>
      </c>
      <c r="M113" s="21">
        <f>4</f>
        <v>4</v>
      </c>
      <c r="N113" s="21">
        <f t="shared" ref="N113:O113" si="207">0</f>
        <v>0</v>
      </c>
      <c r="O113" s="21">
        <f t="shared" si="207"/>
        <v>0</v>
      </c>
    </row>
    <row r="114">
      <c r="B114" s="20">
        <v>46212.0</v>
      </c>
      <c r="C114" s="21">
        <f>9.5</f>
        <v>9.5</v>
      </c>
      <c r="D114" s="21">
        <f t="shared" ref="D114:F114" si="208">0</f>
        <v>0</v>
      </c>
      <c r="E114" s="21">
        <f t="shared" si="208"/>
        <v>0</v>
      </c>
      <c r="F114" s="21">
        <f t="shared" si="208"/>
        <v>0</v>
      </c>
      <c r="G114" s="21">
        <f>3.8</f>
        <v>3.8</v>
      </c>
      <c r="H114" s="21">
        <f t="shared" ref="H114:H115" si="211">0</f>
        <v>0</v>
      </c>
      <c r="I114" s="21">
        <f>3.8</f>
        <v>3.8</v>
      </c>
      <c r="J114" s="21">
        <f t="shared" ref="J114:N114" si="209">0</f>
        <v>0</v>
      </c>
      <c r="K114" s="21">
        <f t="shared" si="209"/>
        <v>0</v>
      </c>
      <c r="L114" s="21">
        <f t="shared" si="209"/>
        <v>0</v>
      </c>
      <c r="M114" s="21">
        <f t="shared" si="209"/>
        <v>0</v>
      </c>
      <c r="N114" s="21">
        <f t="shared" si="209"/>
        <v>0</v>
      </c>
      <c r="O114" s="21">
        <f>1.9</f>
        <v>1.9</v>
      </c>
    </row>
    <row r="115">
      <c r="B115" s="20">
        <v>46212.0</v>
      </c>
      <c r="C115" s="21">
        <f t="shared" ref="C115:F115" si="210">0</f>
        <v>0</v>
      </c>
      <c r="D115" s="21">
        <f t="shared" si="210"/>
        <v>0</v>
      </c>
      <c r="E115" s="21">
        <f t="shared" si="210"/>
        <v>0</v>
      </c>
      <c r="F115" s="21">
        <f t="shared" si="210"/>
        <v>0</v>
      </c>
      <c r="G115" s="21">
        <f>14.5</f>
        <v>14.5</v>
      </c>
      <c r="H115" s="21">
        <f t="shared" si="211"/>
        <v>0</v>
      </c>
      <c r="I115" s="21">
        <f>8.7</f>
        <v>8.7</v>
      </c>
      <c r="J115" s="21">
        <f t="shared" ref="J115:L115" si="212">0</f>
        <v>0</v>
      </c>
      <c r="K115" s="21">
        <f t="shared" si="212"/>
        <v>0</v>
      </c>
      <c r="L115" s="21">
        <f t="shared" si="212"/>
        <v>0</v>
      </c>
      <c r="M115" s="21">
        <f>5.8</f>
        <v>5.8</v>
      </c>
      <c r="N115" s="21">
        <f t="shared" ref="N115:O115" si="213">0</f>
        <v>0</v>
      </c>
      <c r="O115" s="21">
        <f t="shared" si="213"/>
        <v>0</v>
      </c>
    </row>
    <row r="116">
      <c r="B116" s="20">
        <v>46212.0</v>
      </c>
      <c r="C116" s="21">
        <f t="shared" ref="C116:D116" si="214">0</f>
        <v>0</v>
      </c>
      <c r="D116" s="21">
        <f t="shared" si="214"/>
        <v>0</v>
      </c>
      <c r="E116" s="21">
        <f>28.8</f>
        <v>28.8</v>
      </c>
      <c r="F116" s="21">
        <f t="shared" ref="F116:N116" si="215">0</f>
        <v>0</v>
      </c>
      <c r="G116" s="21">
        <f t="shared" si="215"/>
        <v>0</v>
      </c>
      <c r="H116" s="21">
        <f t="shared" si="215"/>
        <v>0</v>
      </c>
      <c r="I116" s="21">
        <f t="shared" si="215"/>
        <v>0</v>
      </c>
      <c r="J116" s="21">
        <f t="shared" si="215"/>
        <v>0</v>
      </c>
      <c r="K116" s="21">
        <f t="shared" si="215"/>
        <v>0</v>
      </c>
      <c r="L116" s="21">
        <f t="shared" si="215"/>
        <v>0</v>
      </c>
      <c r="M116" s="21">
        <f t="shared" si="215"/>
        <v>0</v>
      </c>
      <c r="N116" s="21">
        <f t="shared" si="215"/>
        <v>0</v>
      </c>
      <c r="O116" s="21">
        <f>3.2</f>
        <v>3.2</v>
      </c>
    </row>
    <row r="117">
      <c r="B117" s="20">
        <v>46212.0</v>
      </c>
      <c r="C117" s="21">
        <f t="shared" ref="C117:H117" si="216">0</f>
        <v>0</v>
      </c>
      <c r="D117" s="21">
        <f t="shared" si="216"/>
        <v>0</v>
      </c>
      <c r="E117" s="21">
        <f t="shared" si="216"/>
        <v>0</v>
      </c>
      <c r="F117" s="21">
        <f t="shared" si="216"/>
        <v>0</v>
      </c>
      <c r="G117" s="21">
        <f t="shared" si="216"/>
        <v>0</v>
      </c>
      <c r="H117" s="21">
        <f t="shared" si="216"/>
        <v>0</v>
      </c>
      <c r="I117" s="21">
        <f>16</f>
        <v>16</v>
      </c>
      <c r="J117" s="21">
        <f t="shared" ref="J117:M117" si="217">0</f>
        <v>0</v>
      </c>
      <c r="K117" s="21">
        <f t="shared" si="217"/>
        <v>0</v>
      </c>
      <c r="L117" s="21">
        <f t="shared" si="217"/>
        <v>0</v>
      </c>
      <c r="M117" s="21">
        <f t="shared" si="217"/>
        <v>0</v>
      </c>
      <c r="N117" s="21">
        <f>16</f>
        <v>16</v>
      </c>
      <c r="O117" s="21">
        <f>0</f>
        <v>0</v>
      </c>
    </row>
    <row r="118">
      <c r="B118" s="20">
        <v>46213.0</v>
      </c>
      <c r="C118" s="21">
        <f>319</f>
        <v>319</v>
      </c>
      <c r="D118" s="21">
        <f t="shared" ref="D118:O118" si="218">0</f>
        <v>0</v>
      </c>
      <c r="E118" s="21">
        <f t="shared" si="218"/>
        <v>0</v>
      </c>
      <c r="F118" s="21">
        <f t="shared" si="218"/>
        <v>0</v>
      </c>
      <c r="G118" s="21">
        <f t="shared" si="218"/>
        <v>0</v>
      </c>
      <c r="H118" s="21">
        <f t="shared" si="218"/>
        <v>0</v>
      </c>
      <c r="I118" s="21">
        <f t="shared" si="218"/>
        <v>0</v>
      </c>
      <c r="J118" s="21">
        <f t="shared" si="218"/>
        <v>0</v>
      </c>
      <c r="K118" s="21">
        <f t="shared" si="218"/>
        <v>0</v>
      </c>
      <c r="L118" s="21">
        <f t="shared" si="218"/>
        <v>0</v>
      </c>
      <c r="M118" s="21">
        <f t="shared" si="218"/>
        <v>0</v>
      </c>
      <c r="N118" s="21">
        <f t="shared" si="218"/>
        <v>0</v>
      </c>
      <c r="O118" s="21">
        <f t="shared" si="218"/>
        <v>0</v>
      </c>
    </row>
    <row r="119">
      <c r="B119" s="20">
        <v>46213.0</v>
      </c>
      <c r="C119" s="21">
        <f>65.6</f>
        <v>65.6</v>
      </c>
      <c r="D119" s="21">
        <f t="shared" ref="D119:L119" si="219">0</f>
        <v>0</v>
      </c>
      <c r="E119" s="21">
        <f t="shared" si="219"/>
        <v>0</v>
      </c>
      <c r="F119" s="21">
        <f t="shared" si="219"/>
        <v>0</v>
      </c>
      <c r="G119" s="21">
        <f t="shared" si="219"/>
        <v>0</v>
      </c>
      <c r="H119" s="21">
        <f t="shared" si="219"/>
        <v>0</v>
      </c>
      <c r="I119" s="21">
        <f t="shared" si="219"/>
        <v>0</v>
      </c>
      <c r="J119" s="21">
        <f t="shared" si="219"/>
        <v>0</v>
      </c>
      <c r="K119" s="21">
        <f t="shared" si="219"/>
        <v>0</v>
      </c>
      <c r="L119" s="21">
        <f t="shared" si="219"/>
        <v>0</v>
      </c>
      <c r="M119" s="21">
        <f>16.4</f>
        <v>16.4</v>
      </c>
      <c r="N119" s="21">
        <f t="shared" ref="N119:O119" si="220">0</f>
        <v>0</v>
      </c>
      <c r="O119" s="21">
        <f t="shared" si="220"/>
        <v>0</v>
      </c>
    </row>
    <row r="120">
      <c r="B120" s="20">
        <v>46213.0</v>
      </c>
      <c r="C120" s="21">
        <f>27</f>
        <v>27</v>
      </c>
      <c r="D120" s="21">
        <f t="shared" ref="D120:F120" si="221">0</f>
        <v>0</v>
      </c>
      <c r="E120" s="21">
        <f t="shared" si="221"/>
        <v>0</v>
      </c>
      <c r="F120" s="21">
        <f t="shared" si="221"/>
        <v>0</v>
      </c>
      <c r="G120" s="21">
        <f>27</f>
        <v>27</v>
      </c>
      <c r="H120" s="21">
        <f t="shared" ref="H120:O120" si="222">0</f>
        <v>0</v>
      </c>
      <c r="I120" s="21">
        <f t="shared" si="222"/>
        <v>0</v>
      </c>
      <c r="J120" s="21">
        <f t="shared" si="222"/>
        <v>0</v>
      </c>
      <c r="K120" s="21">
        <f t="shared" si="222"/>
        <v>0</v>
      </c>
      <c r="L120" s="21">
        <f t="shared" si="222"/>
        <v>0</v>
      </c>
      <c r="M120" s="21">
        <f t="shared" si="222"/>
        <v>0</v>
      </c>
      <c r="N120" s="21">
        <f t="shared" si="222"/>
        <v>0</v>
      </c>
      <c r="O120" s="21">
        <f t="shared" si="222"/>
        <v>0</v>
      </c>
    </row>
    <row r="121">
      <c r="B121" s="20">
        <v>46213.0</v>
      </c>
      <c r="C121" s="21">
        <f>7.3</f>
        <v>7.3</v>
      </c>
      <c r="D121" s="21">
        <f t="shared" ref="D121:F121" si="223">0</f>
        <v>0</v>
      </c>
      <c r="E121" s="21">
        <f t="shared" si="223"/>
        <v>0</v>
      </c>
      <c r="F121" s="21">
        <f t="shared" si="223"/>
        <v>0</v>
      </c>
      <c r="G121" s="21">
        <f>43.8</f>
        <v>43.8</v>
      </c>
      <c r="H121" s="21">
        <f t="shared" ref="H121:I121" si="224">0</f>
        <v>0</v>
      </c>
      <c r="I121" s="21">
        <f t="shared" si="224"/>
        <v>0</v>
      </c>
      <c r="J121" s="21">
        <f>21.9</f>
        <v>21.9</v>
      </c>
      <c r="K121" s="21">
        <f t="shared" ref="K121:O121" si="225">0</f>
        <v>0</v>
      </c>
      <c r="L121" s="21">
        <f t="shared" si="225"/>
        <v>0</v>
      </c>
      <c r="M121" s="21">
        <f t="shared" si="225"/>
        <v>0</v>
      </c>
      <c r="N121" s="21">
        <f t="shared" si="225"/>
        <v>0</v>
      </c>
      <c r="O121" s="21">
        <f t="shared" si="225"/>
        <v>0</v>
      </c>
    </row>
    <row r="122">
      <c r="B122" s="20">
        <v>46213.0</v>
      </c>
      <c r="C122" s="21">
        <f t="shared" ref="C122:F122" si="226">0</f>
        <v>0</v>
      </c>
      <c r="D122" s="21">
        <f t="shared" si="226"/>
        <v>0</v>
      </c>
      <c r="E122" s="21">
        <f t="shared" si="226"/>
        <v>0</v>
      </c>
      <c r="F122" s="21">
        <f t="shared" si="226"/>
        <v>0</v>
      </c>
      <c r="G122" s="21">
        <f>7.5</f>
        <v>7.5</v>
      </c>
      <c r="H122" s="21">
        <f t="shared" ref="H122:I122" si="227">0</f>
        <v>0</v>
      </c>
      <c r="I122" s="21">
        <f t="shared" si="227"/>
        <v>0</v>
      </c>
      <c r="J122" s="21">
        <f>60</f>
        <v>60</v>
      </c>
      <c r="K122" s="21">
        <f t="shared" ref="K122:L122" si="228">0</f>
        <v>0</v>
      </c>
      <c r="L122" s="21">
        <f t="shared" si="228"/>
        <v>0</v>
      </c>
      <c r="M122" s="21">
        <f>7.5</f>
        <v>7.5</v>
      </c>
      <c r="N122" s="21">
        <f t="shared" ref="N122:O122" si="229">0</f>
        <v>0</v>
      </c>
      <c r="O122" s="21">
        <f t="shared" si="229"/>
        <v>0</v>
      </c>
    </row>
    <row r="123">
      <c r="B123" s="20">
        <v>46213.0</v>
      </c>
      <c r="C123" s="21">
        <f t="shared" ref="C123:C124" si="231">0</f>
        <v>0</v>
      </c>
      <c r="D123" s="21">
        <f>40.8</f>
        <v>40.8</v>
      </c>
      <c r="E123" s="21">
        <f t="shared" ref="E123:M123" si="230">0</f>
        <v>0</v>
      </c>
      <c r="F123" s="21">
        <f t="shared" si="230"/>
        <v>0</v>
      </c>
      <c r="G123" s="21">
        <f t="shared" si="230"/>
        <v>0</v>
      </c>
      <c r="H123" s="21">
        <f t="shared" si="230"/>
        <v>0</v>
      </c>
      <c r="I123" s="21">
        <f t="shared" si="230"/>
        <v>0</v>
      </c>
      <c r="J123" s="21">
        <f t="shared" si="230"/>
        <v>0</v>
      </c>
      <c r="K123" s="21">
        <f t="shared" si="230"/>
        <v>0</v>
      </c>
      <c r="L123" s="21">
        <f t="shared" si="230"/>
        <v>0</v>
      </c>
      <c r="M123" s="21">
        <f t="shared" si="230"/>
        <v>0</v>
      </c>
      <c r="N123" s="21">
        <f>10.2</f>
        <v>10.2</v>
      </c>
      <c r="O123" s="21">
        <f>0</f>
        <v>0</v>
      </c>
    </row>
    <row r="124">
      <c r="B124" s="20">
        <v>46213.0</v>
      </c>
      <c r="C124" s="21">
        <f t="shared" si="231"/>
        <v>0</v>
      </c>
      <c r="D124" s="21">
        <f t="shared" ref="D124:F124" si="232">0</f>
        <v>0</v>
      </c>
      <c r="E124" s="21">
        <f t="shared" si="232"/>
        <v>0</v>
      </c>
      <c r="F124" s="21">
        <f t="shared" si="232"/>
        <v>0</v>
      </c>
      <c r="G124" s="21">
        <f>24.4</f>
        <v>24.4</v>
      </c>
      <c r="H124" s="21">
        <f>0</f>
        <v>0</v>
      </c>
      <c r="I124" s="21">
        <f>6.1</f>
        <v>6.1</v>
      </c>
      <c r="J124" s="21">
        <f t="shared" ref="J124:L124" si="233">0</f>
        <v>0</v>
      </c>
      <c r="K124" s="21">
        <f t="shared" si="233"/>
        <v>0</v>
      </c>
      <c r="L124" s="21">
        <f t="shared" si="233"/>
        <v>0</v>
      </c>
      <c r="M124" s="21">
        <f>24.4</f>
        <v>24.4</v>
      </c>
      <c r="N124" s="21">
        <f>0</f>
        <v>0</v>
      </c>
      <c r="O124" s="21">
        <f>6.1</f>
        <v>6.1</v>
      </c>
    </row>
    <row r="125">
      <c r="B125" s="20">
        <v>46213.0</v>
      </c>
      <c r="C125" s="21">
        <f>17.8</f>
        <v>17.8</v>
      </c>
      <c r="D125" s="21">
        <f t="shared" ref="D125:H125" si="234">0</f>
        <v>0</v>
      </c>
      <c r="E125" s="21">
        <f t="shared" si="234"/>
        <v>0</v>
      </c>
      <c r="F125" s="21">
        <f t="shared" si="234"/>
        <v>0</v>
      </c>
      <c r="G125" s="21">
        <f t="shared" si="234"/>
        <v>0</v>
      </c>
      <c r="H125" s="21">
        <f t="shared" si="234"/>
        <v>0</v>
      </c>
      <c r="I125" s="21">
        <f>71.2</f>
        <v>71.2</v>
      </c>
      <c r="J125" s="21">
        <f t="shared" ref="J125:O125" si="235">0</f>
        <v>0</v>
      </c>
      <c r="K125" s="21">
        <f t="shared" si="235"/>
        <v>0</v>
      </c>
      <c r="L125" s="21">
        <f t="shared" si="235"/>
        <v>0</v>
      </c>
      <c r="M125" s="21">
        <f t="shared" si="235"/>
        <v>0</v>
      </c>
      <c r="N125" s="21">
        <f t="shared" si="235"/>
        <v>0</v>
      </c>
      <c r="O125" s="21">
        <f t="shared" si="235"/>
        <v>0</v>
      </c>
    </row>
    <row r="126">
      <c r="B126" s="20">
        <v>46213.0</v>
      </c>
      <c r="C126" s="21">
        <v>0.0</v>
      </c>
      <c r="D126" s="21">
        <v>0.0</v>
      </c>
      <c r="E126" s="21">
        <v>0.0</v>
      </c>
      <c r="F126" s="21">
        <v>0.0</v>
      </c>
      <c r="G126" s="21">
        <v>0.0</v>
      </c>
      <c r="H126" s="21">
        <v>0.0</v>
      </c>
      <c r="I126" s="21">
        <v>0.0</v>
      </c>
      <c r="J126" s="21">
        <v>0.0</v>
      </c>
      <c r="K126" s="21">
        <v>0.0</v>
      </c>
      <c r="L126" s="21">
        <v>0.0</v>
      </c>
      <c r="M126" s="21">
        <v>0.0</v>
      </c>
      <c r="N126" s="21">
        <v>0.0</v>
      </c>
      <c r="O126" s="21">
        <f>18</f>
        <v>18</v>
      </c>
    </row>
    <row r="127">
      <c r="B127" s="20">
        <v>46213.0</v>
      </c>
      <c r="C127" s="21">
        <v>0.0</v>
      </c>
      <c r="D127" s="21">
        <v>0.0</v>
      </c>
      <c r="E127" s="21">
        <v>0.0</v>
      </c>
      <c r="F127" s="21">
        <v>0.0</v>
      </c>
      <c r="G127" s="21">
        <v>0.0</v>
      </c>
      <c r="H127" s="21">
        <v>0.0</v>
      </c>
      <c r="I127" s="21">
        <v>0.0</v>
      </c>
      <c r="J127" s="21">
        <v>0.0</v>
      </c>
      <c r="K127" s="21">
        <v>0.0</v>
      </c>
      <c r="L127" s="21">
        <v>0.0</v>
      </c>
      <c r="M127" s="21">
        <v>0.0</v>
      </c>
      <c r="N127" s="21">
        <v>0.0</v>
      </c>
      <c r="O127" s="21">
        <f>70</f>
        <v>70</v>
      </c>
    </row>
    <row r="128">
      <c r="B128" s="20">
        <v>46213.0</v>
      </c>
      <c r="C128" s="21">
        <f t="shared" ref="C128:C130" si="238">0</f>
        <v>0</v>
      </c>
      <c r="D128" s="21">
        <f>2.2</f>
        <v>2.2</v>
      </c>
      <c r="E128" s="21">
        <f t="shared" ref="E128:F128" si="236">0</f>
        <v>0</v>
      </c>
      <c r="F128" s="21">
        <f t="shared" si="236"/>
        <v>0</v>
      </c>
      <c r="G128" s="21">
        <f>2.2</f>
        <v>2.2</v>
      </c>
      <c r="H128" s="21">
        <f t="shared" ref="H128:L128" si="237">0</f>
        <v>0</v>
      </c>
      <c r="I128" s="21">
        <f t="shared" si="237"/>
        <v>0</v>
      </c>
      <c r="J128" s="21">
        <f t="shared" si="237"/>
        <v>0</v>
      </c>
      <c r="K128" s="21">
        <f t="shared" si="237"/>
        <v>0</v>
      </c>
      <c r="L128" s="21">
        <f t="shared" si="237"/>
        <v>0</v>
      </c>
      <c r="M128" s="21">
        <f>8.8</f>
        <v>8.8</v>
      </c>
      <c r="N128" s="21">
        <f>0</f>
        <v>0</v>
      </c>
      <c r="O128" s="21">
        <f>8.8</f>
        <v>8.8</v>
      </c>
    </row>
    <row r="129">
      <c r="B129" s="20">
        <v>46213.0</v>
      </c>
      <c r="C129" s="21">
        <f t="shared" si="238"/>
        <v>0</v>
      </c>
      <c r="D129" s="21">
        <f t="shared" ref="D129:M129" si="239">0</f>
        <v>0</v>
      </c>
      <c r="E129" s="21">
        <f t="shared" si="239"/>
        <v>0</v>
      </c>
      <c r="F129" s="21">
        <f t="shared" si="239"/>
        <v>0</v>
      </c>
      <c r="G129" s="21">
        <f t="shared" si="239"/>
        <v>0</v>
      </c>
      <c r="H129" s="21">
        <f t="shared" si="239"/>
        <v>0</v>
      </c>
      <c r="I129" s="21">
        <f t="shared" si="239"/>
        <v>0</v>
      </c>
      <c r="J129" s="21">
        <f t="shared" si="239"/>
        <v>0</v>
      </c>
      <c r="K129" s="21">
        <f t="shared" si="239"/>
        <v>0</v>
      </c>
      <c r="L129" s="21">
        <f t="shared" si="239"/>
        <v>0</v>
      </c>
      <c r="M129" s="21">
        <f t="shared" si="239"/>
        <v>0</v>
      </c>
      <c r="N129" s="21">
        <f>52</f>
        <v>52</v>
      </c>
      <c r="O129" s="21">
        <f>0</f>
        <v>0</v>
      </c>
    </row>
    <row r="130">
      <c r="B130" s="20">
        <v>46213.0</v>
      </c>
      <c r="C130" s="21">
        <f t="shared" si="238"/>
        <v>0</v>
      </c>
      <c r="D130" s="21">
        <f t="shared" ref="D130:F130" si="240">0</f>
        <v>0</v>
      </c>
      <c r="E130" s="21">
        <f t="shared" si="240"/>
        <v>0</v>
      </c>
      <c r="F130" s="21">
        <f t="shared" si="240"/>
        <v>0</v>
      </c>
      <c r="G130" s="21">
        <f>56</f>
        <v>56</v>
      </c>
      <c r="H130" s="21">
        <f t="shared" ref="H130:O130" si="241">0</f>
        <v>0</v>
      </c>
      <c r="I130" s="21">
        <f t="shared" si="241"/>
        <v>0</v>
      </c>
      <c r="J130" s="21">
        <f t="shared" si="241"/>
        <v>0</v>
      </c>
      <c r="K130" s="21">
        <f t="shared" si="241"/>
        <v>0</v>
      </c>
      <c r="L130" s="21">
        <f t="shared" si="241"/>
        <v>0</v>
      </c>
      <c r="M130" s="21">
        <f t="shared" si="241"/>
        <v>0</v>
      </c>
      <c r="N130" s="21">
        <f t="shared" si="241"/>
        <v>0</v>
      </c>
      <c r="O130" s="21">
        <f t="shared" si="241"/>
        <v>0</v>
      </c>
    </row>
    <row r="131">
      <c r="B131" s="20">
        <v>46213.0</v>
      </c>
      <c r="C131" s="21">
        <v>0.0</v>
      </c>
      <c r="D131" s="21">
        <v>0.0</v>
      </c>
      <c r="E131" s="21">
        <v>0.0</v>
      </c>
      <c r="F131" s="21">
        <v>0.0</v>
      </c>
      <c r="G131" s="21">
        <v>0.0</v>
      </c>
      <c r="H131" s="21">
        <v>0.0</v>
      </c>
      <c r="I131" s="21">
        <f>67</f>
        <v>67</v>
      </c>
      <c r="J131" s="21">
        <v>0.0</v>
      </c>
      <c r="K131" s="21">
        <v>0.0</v>
      </c>
      <c r="L131" s="21">
        <v>0.0</v>
      </c>
      <c r="M131" s="21">
        <v>0.0</v>
      </c>
      <c r="N131" s="21">
        <v>0.0</v>
      </c>
      <c r="O131" s="21">
        <v>0.0</v>
      </c>
    </row>
    <row r="132">
      <c r="B132" s="20">
        <v>46213.0</v>
      </c>
      <c r="C132" s="21">
        <f t="shared" ref="C132:E132" si="242">0</f>
        <v>0</v>
      </c>
      <c r="D132" s="21">
        <f t="shared" si="242"/>
        <v>0</v>
      </c>
      <c r="E132" s="21">
        <f t="shared" si="242"/>
        <v>0</v>
      </c>
      <c r="F132" s="21">
        <f>4</f>
        <v>4</v>
      </c>
      <c r="G132" s="21">
        <f t="shared" ref="G132:H132" si="243">0</f>
        <v>0</v>
      </c>
      <c r="H132" s="21">
        <f t="shared" si="243"/>
        <v>0</v>
      </c>
      <c r="I132" s="21">
        <f>4</f>
        <v>4</v>
      </c>
      <c r="J132" s="21">
        <f t="shared" ref="J132:N132" si="244">0</f>
        <v>0</v>
      </c>
      <c r="K132" s="21">
        <f t="shared" si="244"/>
        <v>0</v>
      </c>
      <c r="L132" s="21">
        <f t="shared" si="244"/>
        <v>0</v>
      </c>
      <c r="M132" s="21">
        <f t="shared" si="244"/>
        <v>0</v>
      </c>
      <c r="N132" s="21">
        <f t="shared" si="244"/>
        <v>0</v>
      </c>
      <c r="O132" s="21">
        <f>12</f>
        <v>12</v>
      </c>
    </row>
    <row r="133">
      <c r="B133" s="20">
        <v>46213.0</v>
      </c>
      <c r="C133" s="21">
        <f t="shared" ref="C133:F133" si="245">0</f>
        <v>0</v>
      </c>
      <c r="D133" s="21">
        <f t="shared" si="245"/>
        <v>0</v>
      </c>
      <c r="E133" s="21">
        <f t="shared" si="245"/>
        <v>0</v>
      </c>
      <c r="F133" s="21">
        <f t="shared" si="245"/>
        <v>0</v>
      </c>
      <c r="G133" s="21">
        <f>6.3</f>
        <v>6.3</v>
      </c>
      <c r="H133" s="21">
        <f>0</f>
        <v>0</v>
      </c>
      <c r="I133" s="21">
        <f>6.3</f>
        <v>6.3</v>
      </c>
      <c r="J133" s="21">
        <f t="shared" ref="J133:N133" si="246">0</f>
        <v>0</v>
      </c>
      <c r="K133" s="21">
        <f t="shared" si="246"/>
        <v>0</v>
      </c>
      <c r="L133" s="21">
        <f t="shared" si="246"/>
        <v>0</v>
      </c>
      <c r="M133" s="21">
        <f t="shared" si="246"/>
        <v>0</v>
      </c>
      <c r="N133" s="21">
        <f t="shared" si="246"/>
        <v>0</v>
      </c>
      <c r="O133" s="21">
        <f>8.4</f>
        <v>8.4</v>
      </c>
    </row>
    <row r="134">
      <c r="B134" s="20">
        <v>46213.0</v>
      </c>
      <c r="C134" s="21">
        <f t="shared" ref="C134:E134" si="247">0</f>
        <v>0</v>
      </c>
      <c r="D134" s="21">
        <f t="shared" si="247"/>
        <v>0</v>
      </c>
      <c r="E134" s="21">
        <f t="shared" si="247"/>
        <v>0</v>
      </c>
      <c r="F134" s="21">
        <f>1.9</f>
        <v>1.9</v>
      </c>
      <c r="G134" s="21">
        <f t="shared" ref="G134:L134" si="248">0</f>
        <v>0</v>
      </c>
      <c r="H134" s="21">
        <f t="shared" si="248"/>
        <v>0</v>
      </c>
      <c r="I134" s="21">
        <f t="shared" si="248"/>
        <v>0</v>
      </c>
      <c r="J134" s="21">
        <f t="shared" si="248"/>
        <v>0</v>
      </c>
      <c r="K134" s="21">
        <f t="shared" si="248"/>
        <v>0</v>
      </c>
      <c r="L134" s="21">
        <f t="shared" si="248"/>
        <v>0</v>
      </c>
      <c r="M134" s="21">
        <f>7.6</f>
        <v>7.6</v>
      </c>
      <c r="N134" s="21">
        <f t="shared" ref="N134:N135" si="252">0</f>
        <v>0</v>
      </c>
      <c r="O134" s="21">
        <f>9.5</f>
        <v>9.5</v>
      </c>
    </row>
    <row r="135">
      <c r="B135" s="20">
        <v>46213.0</v>
      </c>
      <c r="C135" s="21">
        <f t="shared" ref="C135:E135" si="249">0</f>
        <v>0</v>
      </c>
      <c r="D135" s="21">
        <f t="shared" si="249"/>
        <v>0</v>
      </c>
      <c r="E135" s="21">
        <f t="shared" si="249"/>
        <v>0</v>
      </c>
      <c r="F135" s="21">
        <f>4.4</f>
        <v>4.4</v>
      </c>
      <c r="G135" s="21">
        <f t="shared" ref="G135:H135" si="250">0</f>
        <v>0</v>
      </c>
      <c r="H135" s="21">
        <f t="shared" si="250"/>
        <v>0</v>
      </c>
      <c r="I135" s="21">
        <f>2.2</f>
        <v>2.2</v>
      </c>
      <c r="J135" s="21">
        <f t="shared" ref="J135:L135" si="251">0</f>
        <v>0</v>
      </c>
      <c r="K135" s="21">
        <f t="shared" si="251"/>
        <v>0</v>
      </c>
      <c r="L135" s="21">
        <f t="shared" si="251"/>
        <v>0</v>
      </c>
      <c r="M135" s="21">
        <f>11</f>
        <v>11</v>
      </c>
      <c r="N135" s="21">
        <f t="shared" si="252"/>
        <v>0</v>
      </c>
      <c r="O135" s="21">
        <f>4.4</f>
        <v>4.4</v>
      </c>
    </row>
    <row r="136">
      <c r="B136" s="20">
        <v>46213.0</v>
      </c>
      <c r="C136" s="21">
        <f t="shared" ref="C136:C137" si="255">0</f>
        <v>0</v>
      </c>
      <c r="D136" s="21">
        <f>5.3</f>
        <v>5.3</v>
      </c>
      <c r="E136" s="21">
        <f t="shared" ref="E136:H136" si="253">0</f>
        <v>0</v>
      </c>
      <c r="F136" s="21">
        <f t="shared" si="253"/>
        <v>0</v>
      </c>
      <c r="G136" s="21">
        <f t="shared" si="253"/>
        <v>0</v>
      </c>
      <c r="H136" s="21">
        <f t="shared" si="253"/>
        <v>0</v>
      </c>
      <c r="I136" s="21">
        <f>47.7</f>
        <v>47.7</v>
      </c>
      <c r="J136" s="21">
        <f t="shared" ref="J136:O136" si="254">0</f>
        <v>0</v>
      </c>
      <c r="K136" s="21">
        <f t="shared" si="254"/>
        <v>0</v>
      </c>
      <c r="L136" s="21">
        <f t="shared" si="254"/>
        <v>0</v>
      </c>
      <c r="M136" s="21">
        <f t="shared" si="254"/>
        <v>0</v>
      </c>
      <c r="N136" s="21">
        <f t="shared" si="254"/>
        <v>0</v>
      </c>
      <c r="O136" s="21">
        <f t="shared" si="254"/>
        <v>0</v>
      </c>
    </row>
    <row r="137">
      <c r="B137" s="20">
        <v>46213.0</v>
      </c>
      <c r="C137" s="21">
        <f t="shared" si="255"/>
        <v>0</v>
      </c>
      <c r="D137" s="21">
        <f t="shared" ref="D137:E137" si="256">0</f>
        <v>0</v>
      </c>
      <c r="E137" s="21">
        <f t="shared" si="256"/>
        <v>0</v>
      </c>
      <c r="F137" s="21">
        <f>4.3</f>
        <v>4.3</v>
      </c>
      <c r="G137" s="21">
        <f t="shared" ref="G137:H137" si="257">0</f>
        <v>0</v>
      </c>
      <c r="H137" s="21">
        <f t="shared" si="257"/>
        <v>0</v>
      </c>
      <c r="I137" s="21">
        <f>17.2</f>
        <v>17.2</v>
      </c>
      <c r="J137" s="21">
        <f t="shared" ref="J137:L137" si="258">0</f>
        <v>0</v>
      </c>
      <c r="K137" s="21">
        <f t="shared" si="258"/>
        <v>0</v>
      </c>
      <c r="L137" s="21">
        <f t="shared" si="258"/>
        <v>0</v>
      </c>
      <c r="M137" s="21">
        <f>8.6</f>
        <v>8.6</v>
      </c>
      <c r="N137" s="21">
        <f t="shared" ref="N137:N138" si="260">0</f>
        <v>0</v>
      </c>
      <c r="O137" s="21">
        <f>12.9</f>
        <v>12.9</v>
      </c>
    </row>
    <row r="138">
      <c r="B138" s="20">
        <v>46214.0</v>
      </c>
      <c r="C138" s="21">
        <f>8.3</f>
        <v>8.3</v>
      </c>
      <c r="D138" s="21">
        <f t="shared" ref="D138:L138" si="259">0</f>
        <v>0</v>
      </c>
      <c r="E138" s="21">
        <f t="shared" si="259"/>
        <v>0</v>
      </c>
      <c r="F138" s="21">
        <f t="shared" si="259"/>
        <v>0</v>
      </c>
      <c r="G138" s="21">
        <f t="shared" si="259"/>
        <v>0</v>
      </c>
      <c r="H138" s="21">
        <f t="shared" si="259"/>
        <v>0</v>
      </c>
      <c r="I138" s="21">
        <f t="shared" si="259"/>
        <v>0</v>
      </c>
      <c r="J138" s="21">
        <f t="shared" si="259"/>
        <v>0</v>
      </c>
      <c r="K138" s="21">
        <f t="shared" si="259"/>
        <v>0</v>
      </c>
      <c r="L138" s="21">
        <f t="shared" si="259"/>
        <v>0</v>
      </c>
      <c r="M138" s="21">
        <f>74.7</f>
        <v>74.7</v>
      </c>
      <c r="N138" s="21">
        <f t="shared" si="260"/>
        <v>0</v>
      </c>
      <c r="O138" s="21">
        <f>0</f>
        <v>0</v>
      </c>
    </row>
    <row r="139">
      <c r="B139" s="20">
        <v>46214.0</v>
      </c>
      <c r="C139" s="21">
        <f t="shared" ref="C139:I139" si="261">0</f>
        <v>0</v>
      </c>
      <c r="D139" s="21">
        <f t="shared" si="261"/>
        <v>0</v>
      </c>
      <c r="E139" s="21">
        <f t="shared" si="261"/>
        <v>0</v>
      </c>
      <c r="F139" s="21">
        <f t="shared" si="261"/>
        <v>0</v>
      </c>
      <c r="G139" s="21">
        <f t="shared" si="261"/>
        <v>0</v>
      </c>
      <c r="H139" s="21">
        <f t="shared" si="261"/>
        <v>0</v>
      </c>
      <c r="I139" s="21">
        <f t="shared" si="261"/>
        <v>0</v>
      </c>
      <c r="J139" s="21">
        <f>371</f>
        <v>371</v>
      </c>
      <c r="K139" s="21">
        <f t="shared" ref="K139:O139" si="262">0</f>
        <v>0</v>
      </c>
      <c r="L139" s="21">
        <f t="shared" si="262"/>
        <v>0</v>
      </c>
      <c r="M139" s="21">
        <f t="shared" si="262"/>
        <v>0</v>
      </c>
      <c r="N139" s="21">
        <f t="shared" si="262"/>
        <v>0</v>
      </c>
      <c r="O139" s="21">
        <f t="shared" si="262"/>
        <v>0</v>
      </c>
    </row>
    <row r="140">
      <c r="B140" s="20">
        <v>46214.0</v>
      </c>
      <c r="C140" s="21">
        <f t="shared" ref="C140:H140" si="263">0</f>
        <v>0</v>
      </c>
      <c r="D140" s="21">
        <f t="shared" si="263"/>
        <v>0</v>
      </c>
      <c r="E140" s="21">
        <f t="shared" si="263"/>
        <v>0</v>
      </c>
      <c r="F140" s="21">
        <f t="shared" si="263"/>
        <v>0</v>
      </c>
      <c r="G140" s="21">
        <f t="shared" si="263"/>
        <v>0</v>
      </c>
      <c r="H140" s="21">
        <f t="shared" si="263"/>
        <v>0</v>
      </c>
      <c r="I140" s="21">
        <f>38.7</f>
        <v>38.7</v>
      </c>
      <c r="J140" s="21">
        <f t="shared" ref="J140:L140" si="264">0</f>
        <v>0</v>
      </c>
      <c r="K140" s="21">
        <f t="shared" si="264"/>
        <v>0</v>
      </c>
      <c r="L140" s="21">
        <f t="shared" si="264"/>
        <v>0</v>
      </c>
      <c r="M140" s="21">
        <f>4.3</f>
        <v>4.3</v>
      </c>
      <c r="N140" s="21">
        <f t="shared" ref="N140:O140" si="265">0</f>
        <v>0</v>
      </c>
      <c r="O140" s="21">
        <f t="shared" si="265"/>
        <v>0</v>
      </c>
    </row>
    <row r="141">
      <c r="B141" s="20">
        <v>46214.0</v>
      </c>
      <c r="C141" s="21">
        <f t="shared" ref="C141:L141" si="266">0</f>
        <v>0</v>
      </c>
      <c r="D141" s="21">
        <f t="shared" si="266"/>
        <v>0</v>
      </c>
      <c r="E141" s="21">
        <f t="shared" si="266"/>
        <v>0</v>
      </c>
      <c r="F141" s="21">
        <f t="shared" si="266"/>
        <v>0</v>
      </c>
      <c r="G141" s="21">
        <f t="shared" si="266"/>
        <v>0</v>
      </c>
      <c r="H141" s="21">
        <f t="shared" si="266"/>
        <v>0</v>
      </c>
      <c r="I141" s="21">
        <f t="shared" si="266"/>
        <v>0</v>
      </c>
      <c r="J141" s="21">
        <f t="shared" si="266"/>
        <v>0</v>
      </c>
      <c r="K141" s="21">
        <f t="shared" si="266"/>
        <v>0</v>
      </c>
      <c r="L141" s="21">
        <f t="shared" si="266"/>
        <v>0</v>
      </c>
      <c r="M141" s="21">
        <f>35</f>
        <v>35</v>
      </c>
      <c r="N141" s="21">
        <f t="shared" ref="N141:O141" si="267">0</f>
        <v>0</v>
      </c>
      <c r="O141" s="21">
        <f t="shared" si="267"/>
        <v>0</v>
      </c>
    </row>
    <row r="142">
      <c r="B142" s="20">
        <v>46214.0</v>
      </c>
      <c r="C142" s="21">
        <f>0</f>
        <v>0</v>
      </c>
      <c r="D142" s="21">
        <f>5.6</f>
        <v>5.6</v>
      </c>
      <c r="E142" s="21">
        <f t="shared" ref="E142:L142" si="268">0</f>
        <v>0</v>
      </c>
      <c r="F142" s="21">
        <f t="shared" si="268"/>
        <v>0</v>
      </c>
      <c r="G142" s="21">
        <f t="shared" si="268"/>
        <v>0</v>
      </c>
      <c r="H142" s="21">
        <f t="shared" si="268"/>
        <v>0</v>
      </c>
      <c r="I142" s="21">
        <f t="shared" si="268"/>
        <v>0</v>
      </c>
      <c r="J142" s="21">
        <f t="shared" si="268"/>
        <v>0</v>
      </c>
      <c r="K142" s="21">
        <f t="shared" si="268"/>
        <v>0</v>
      </c>
      <c r="L142" s="21">
        <f t="shared" si="268"/>
        <v>0</v>
      </c>
      <c r="M142" s="21">
        <f t="shared" ref="M142:N142" si="269">11.2</f>
        <v>11.2</v>
      </c>
      <c r="N142" s="21">
        <f t="shared" si="269"/>
        <v>11.2</v>
      </c>
      <c r="O142" s="21">
        <f>0</f>
        <v>0</v>
      </c>
    </row>
    <row r="143">
      <c r="B143" s="20">
        <v>46214.0</v>
      </c>
      <c r="C143" s="21">
        <v>0.0</v>
      </c>
      <c r="D143" s="21">
        <v>0.0</v>
      </c>
      <c r="E143" s="21">
        <v>0.0</v>
      </c>
      <c r="F143" s="21">
        <v>0.0</v>
      </c>
      <c r="G143" s="21">
        <v>0.0</v>
      </c>
      <c r="H143" s="21">
        <v>0.0</v>
      </c>
      <c r="I143" s="21">
        <f>72</f>
        <v>72</v>
      </c>
      <c r="J143" s="21">
        <v>0.0</v>
      </c>
      <c r="K143" s="21">
        <v>0.0</v>
      </c>
      <c r="L143" s="21">
        <v>0.0</v>
      </c>
      <c r="M143" s="21">
        <v>0.0</v>
      </c>
      <c r="N143" s="21">
        <v>0.0</v>
      </c>
      <c r="O143" s="21">
        <v>0.0</v>
      </c>
    </row>
    <row r="144">
      <c r="B144" s="20">
        <v>46214.0</v>
      </c>
      <c r="C144" s="21">
        <f t="shared" ref="C144:M144" si="270">0</f>
        <v>0</v>
      </c>
      <c r="D144" s="21">
        <f t="shared" si="270"/>
        <v>0</v>
      </c>
      <c r="E144" s="21">
        <f t="shared" si="270"/>
        <v>0</v>
      </c>
      <c r="F144" s="21">
        <f t="shared" si="270"/>
        <v>0</v>
      </c>
      <c r="G144" s="21">
        <f t="shared" si="270"/>
        <v>0</v>
      </c>
      <c r="H144" s="21">
        <f t="shared" si="270"/>
        <v>0</v>
      </c>
      <c r="I144" s="21">
        <f t="shared" si="270"/>
        <v>0</v>
      </c>
      <c r="J144" s="21">
        <f t="shared" si="270"/>
        <v>0</v>
      </c>
      <c r="K144" s="21">
        <f t="shared" si="270"/>
        <v>0</v>
      </c>
      <c r="L144" s="21">
        <f t="shared" si="270"/>
        <v>0</v>
      </c>
      <c r="M144" s="21">
        <f t="shared" si="270"/>
        <v>0</v>
      </c>
      <c r="N144" s="21">
        <f>64</f>
        <v>64</v>
      </c>
      <c r="O144" s="21">
        <f>0</f>
        <v>0</v>
      </c>
    </row>
    <row r="145">
      <c r="B145" s="20">
        <v>46214.0</v>
      </c>
      <c r="C145" s="21">
        <v>0.0</v>
      </c>
      <c r="D145" s="21">
        <v>0.0</v>
      </c>
      <c r="E145" s="21">
        <v>0.0</v>
      </c>
      <c r="F145" s="21">
        <v>0.0</v>
      </c>
      <c r="G145" s="21">
        <v>0.0</v>
      </c>
      <c r="H145" s="21">
        <v>0.0</v>
      </c>
      <c r="I145" s="21">
        <f>60</f>
        <v>60</v>
      </c>
      <c r="J145" s="21">
        <v>0.0</v>
      </c>
      <c r="K145" s="21">
        <v>0.0</v>
      </c>
      <c r="L145" s="21">
        <v>0.0</v>
      </c>
      <c r="M145" s="21">
        <v>0.0</v>
      </c>
      <c r="N145" s="21">
        <v>0.0</v>
      </c>
      <c r="O145" s="21">
        <v>0.0</v>
      </c>
    </row>
    <row r="146">
      <c r="B146" s="20">
        <v>46214.0</v>
      </c>
      <c r="C146" s="21">
        <v>0.0</v>
      </c>
      <c r="D146" s="21">
        <v>0.0</v>
      </c>
      <c r="E146" s="21">
        <v>0.0</v>
      </c>
      <c r="F146" s="21">
        <v>0.0</v>
      </c>
      <c r="G146" s="21">
        <v>0.0</v>
      </c>
      <c r="H146" s="21">
        <v>0.0</v>
      </c>
      <c r="I146" s="21">
        <f>28</f>
        <v>28</v>
      </c>
      <c r="J146" s="21">
        <v>0.0</v>
      </c>
      <c r="K146" s="21">
        <v>0.0</v>
      </c>
      <c r="L146" s="21">
        <v>0.0</v>
      </c>
      <c r="M146" s="21">
        <v>0.0</v>
      </c>
      <c r="N146" s="21">
        <v>0.0</v>
      </c>
      <c r="O146" s="21">
        <v>0.0</v>
      </c>
    </row>
    <row r="147">
      <c r="B147" s="20">
        <v>46214.0</v>
      </c>
      <c r="C147" s="21">
        <f t="shared" ref="C147:E147" si="271">0</f>
        <v>0</v>
      </c>
      <c r="D147" s="21">
        <f t="shared" si="271"/>
        <v>0</v>
      </c>
      <c r="E147" s="21">
        <f t="shared" si="271"/>
        <v>0</v>
      </c>
      <c r="F147" s="21">
        <f>2.6</f>
        <v>2.6</v>
      </c>
      <c r="G147" s="21">
        <f>13</f>
        <v>13</v>
      </c>
      <c r="H147" s="21">
        <f t="shared" ref="H147:L147" si="272">0</f>
        <v>0</v>
      </c>
      <c r="I147" s="21">
        <f t="shared" si="272"/>
        <v>0</v>
      </c>
      <c r="J147" s="21">
        <f t="shared" si="272"/>
        <v>0</v>
      </c>
      <c r="K147" s="21">
        <f t="shared" si="272"/>
        <v>0</v>
      </c>
      <c r="L147" s="21">
        <f t="shared" si="272"/>
        <v>0</v>
      </c>
      <c r="M147" s="21">
        <f>10.4</f>
        <v>10.4</v>
      </c>
      <c r="N147" s="21">
        <f t="shared" ref="N147:O147" si="273">0</f>
        <v>0</v>
      </c>
      <c r="O147" s="21">
        <f t="shared" si="273"/>
        <v>0</v>
      </c>
    </row>
    <row r="148">
      <c r="B148" s="20">
        <v>46214.0</v>
      </c>
      <c r="C148" s="21">
        <f t="shared" ref="C148:F148" si="274">0</f>
        <v>0</v>
      </c>
      <c r="D148" s="21">
        <f t="shared" si="274"/>
        <v>0</v>
      </c>
      <c r="E148" s="21">
        <f t="shared" si="274"/>
        <v>0</v>
      </c>
      <c r="F148" s="21">
        <f t="shared" si="274"/>
        <v>0</v>
      </c>
      <c r="G148" s="21">
        <f>8.5</f>
        <v>8.5</v>
      </c>
      <c r="H148" s="21">
        <f t="shared" ref="H148:L148" si="275">0</f>
        <v>0</v>
      </c>
      <c r="I148" s="21">
        <f t="shared" si="275"/>
        <v>0</v>
      </c>
      <c r="J148" s="21">
        <f t="shared" si="275"/>
        <v>0</v>
      </c>
      <c r="K148" s="21">
        <f t="shared" si="275"/>
        <v>0</v>
      </c>
      <c r="L148" s="21">
        <f t="shared" si="275"/>
        <v>0</v>
      </c>
      <c r="M148" s="21">
        <f>8.5</f>
        <v>8.5</v>
      </c>
      <c r="N148" s="21">
        <f t="shared" ref="N148:O148" si="276">0</f>
        <v>0</v>
      </c>
      <c r="O148" s="21">
        <f t="shared" si="276"/>
        <v>0</v>
      </c>
    </row>
    <row r="149">
      <c r="B149" s="20">
        <v>46214.0</v>
      </c>
      <c r="C149" s="21">
        <f t="shared" ref="C149:E149" si="277">0</f>
        <v>0</v>
      </c>
      <c r="D149" s="21">
        <f t="shared" si="277"/>
        <v>0</v>
      </c>
      <c r="E149" s="21">
        <f t="shared" si="277"/>
        <v>0</v>
      </c>
      <c r="F149" s="21">
        <f>15.6</f>
        <v>15.6</v>
      </c>
      <c r="G149" s="21">
        <f t="shared" ref="G149:I149" si="278">0</f>
        <v>0</v>
      </c>
      <c r="H149" s="21">
        <f t="shared" si="278"/>
        <v>0</v>
      </c>
      <c r="I149" s="21">
        <f t="shared" si="278"/>
        <v>0</v>
      </c>
      <c r="J149" s="21">
        <f>23.4</f>
        <v>23.4</v>
      </c>
      <c r="K149" s="21">
        <f t="shared" ref="K149:O149" si="279">0</f>
        <v>0</v>
      </c>
      <c r="L149" s="21">
        <f t="shared" si="279"/>
        <v>0</v>
      </c>
      <c r="M149" s="21">
        <f t="shared" si="279"/>
        <v>0</v>
      </c>
      <c r="N149" s="21">
        <f t="shared" si="279"/>
        <v>0</v>
      </c>
      <c r="O149" s="21">
        <f t="shared" si="279"/>
        <v>0</v>
      </c>
    </row>
    <row r="150">
      <c r="B150" s="20">
        <v>46214.0</v>
      </c>
      <c r="C150" s="21">
        <f t="shared" ref="C150:N150" si="280">0</f>
        <v>0</v>
      </c>
      <c r="D150" s="21">
        <f t="shared" si="280"/>
        <v>0</v>
      </c>
      <c r="E150" s="21">
        <f t="shared" si="280"/>
        <v>0</v>
      </c>
      <c r="F150" s="21">
        <f t="shared" si="280"/>
        <v>0</v>
      </c>
      <c r="G150" s="21">
        <f t="shared" si="280"/>
        <v>0</v>
      </c>
      <c r="H150" s="21">
        <f t="shared" si="280"/>
        <v>0</v>
      </c>
      <c r="I150" s="21">
        <f t="shared" si="280"/>
        <v>0</v>
      </c>
      <c r="J150" s="21">
        <f t="shared" si="280"/>
        <v>0</v>
      </c>
      <c r="K150" s="21">
        <f t="shared" si="280"/>
        <v>0</v>
      </c>
      <c r="L150" s="21">
        <f t="shared" si="280"/>
        <v>0</v>
      </c>
      <c r="M150" s="21">
        <f t="shared" si="280"/>
        <v>0</v>
      </c>
      <c r="N150" s="21">
        <f t="shared" si="280"/>
        <v>0</v>
      </c>
      <c r="O150" s="21">
        <f>29</f>
        <v>29</v>
      </c>
    </row>
    <row r="151">
      <c r="B151" s="20">
        <v>46215.0</v>
      </c>
      <c r="C151" s="21">
        <f>3.2</f>
        <v>3.2</v>
      </c>
      <c r="D151" s="21">
        <f t="shared" ref="D151:H151" si="281">0</f>
        <v>0</v>
      </c>
      <c r="E151" s="21">
        <f t="shared" si="281"/>
        <v>0</v>
      </c>
      <c r="F151" s="21">
        <f t="shared" si="281"/>
        <v>0</v>
      </c>
      <c r="G151" s="21">
        <f t="shared" si="281"/>
        <v>0</v>
      </c>
      <c r="H151" s="21">
        <f t="shared" si="281"/>
        <v>0</v>
      </c>
      <c r="I151" s="21">
        <f>9.6</f>
        <v>9.6</v>
      </c>
      <c r="J151" s="21">
        <f t="shared" ref="J151:N151" si="282">0</f>
        <v>0</v>
      </c>
      <c r="K151" s="21">
        <f t="shared" si="282"/>
        <v>0</v>
      </c>
      <c r="L151" s="21">
        <f t="shared" si="282"/>
        <v>0</v>
      </c>
      <c r="M151" s="21">
        <f t="shared" si="282"/>
        <v>0</v>
      </c>
      <c r="N151" s="21">
        <f t="shared" si="282"/>
        <v>0</v>
      </c>
      <c r="O151" s="21">
        <f>3.2</f>
        <v>3.2</v>
      </c>
    </row>
    <row r="152">
      <c r="B152" s="20">
        <v>46215.0</v>
      </c>
      <c r="C152" s="21">
        <v>0.0</v>
      </c>
      <c r="D152" s="21">
        <v>0.0</v>
      </c>
      <c r="E152" s="21">
        <v>0.0</v>
      </c>
      <c r="F152" s="21">
        <v>0.0</v>
      </c>
      <c r="G152" s="21">
        <v>0.0</v>
      </c>
      <c r="H152" s="21">
        <v>0.0</v>
      </c>
      <c r="I152" s="21">
        <f>54</f>
        <v>54</v>
      </c>
      <c r="J152" s="21">
        <v>0.0</v>
      </c>
      <c r="K152" s="21">
        <v>0.0</v>
      </c>
      <c r="L152" s="21">
        <v>0.0</v>
      </c>
      <c r="M152" s="21">
        <v>0.0</v>
      </c>
      <c r="N152" s="21">
        <v>0.0</v>
      </c>
      <c r="O152" s="21">
        <v>0.0</v>
      </c>
    </row>
    <row r="153">
      <c r="B153" s="20">
        <v>46215.0</v>
      </c>
      <c r="C153" s="21">
        <f t="shared" ref="C153:G153" si="283">0</f>
        <v>0</v>
      </c>
      <c r="D153" s="21">
        <f t="shared" si="283"/>
        <v>0</v>
      </c>
      <c r="E153" s="21">
        <f t="shared" si="283"/>
        <v>0</v>
      </c>
      <c r="F153" s="21">
        <f t="shared" si="283"/>
        <v>0</v>
      </c>
      <c r="G153" s="21">
        <f t="shared" si="283"/>
        <v>0</v>
      </c>
      <c r="H153" s="21">
        <f>35</f>
        <v>35</v>
      </c>
      <c r="I153" s="21">
        <f t="shared" ref="I153:O153" si="284">0</f>
        <v>0</v>
      </c>
      <c r="J153" s="21">
        <f t="shared" si="284"/>
        <v>0</v>
      </c>
      <c r="K153" s="21">
        <f t="shared" si="284"/>
        <v>0</v>
      </c>
      <c r="L153" s="21">
        <f t="shared" si="284"/>
        <v>0</v>
      </c>
      <c r="M153" s="21">
        <f t="shared" si="284"/>
        <v>0</v>
      </c>
      <c r="N153" s="21">
        <f t="shared" si="284"/>
        <v>0</v>
      </c>
      <c r="O153" s="21">
        <f t="shared" si="284"/>
        <v>0</v>
      </c>
    </row>
    <row r="154">
      <c r="B154" s="20">
        <v>46215.0</v>
      </c>
      <c r="C154" s="21">
        <v>0.0</v>
      </c>
      <c r="D154" s="21">
        <v>0.0</v>
      </c>
      <c r="E154" s="21">
        <v>0.0</v>
      </c>
      <c r="F154" s="21">
        <v>0.0</v>
      </c>
      <c r="G154" s="21">
        <v>0.0</v>
      </c>
      <c r="H154" s="21">
        <v>0.0</v>
      </c>
      <c r="I154" s="21">
        <f>40</f>
        <v>40</v>
      </c>
      <c r="J154" s="21">
        <v>0.0</v>
      </c>
      <c r="K154" s="21">
        <v>0.0</v>
      </c>
      <c r="L154" s="21">
        <v>0.0</v>
      </c>
      <c r="M154" s="21">
        <v>0.0</v>
      </c>
      <c r="N154" s="21">
        <v>0.0</v>
      </c>
      <c r="O154" s="21">
        <v>0.0</v>
      </c>
    </row>
    <row r="155">
      <c r="B155" s="20">
        <v>46215.0</v>
      </c>
      <c r="C155" s="21">
        <v>0.0</v>
      </c>
      <c r="D155" s="21">
        <v>0.0</v>
      </c>
      <c r="E155" s="21">
        <v>0.0</v>
      </c>
      <c r="F155" s="21">
        <v>0.0</v>
      </c>
      <c r="G155" s="21">
        <v>0.0</v>
      </c>
      <c r="H155" s="21">
        <v>0.0</v>
      </c>
      <c r="I155" s="21">
        <v>0.0</v>
      </c>
      <c r="J155" s="21">
        <v>0.0</v>
      </c>
      <c r="K155" s="21">
        <v>0.0</v>
      </c>
      <c r="L155" s="21">
        <v>0.0</v>
      </c>
      <c r="M155" s="21">
        <v>0.0</v>
      </c>
      <c r="N155" s="21">
        <v>0.0</v>
      </c>
      <c r="O155" s="21">
        <f>55</f>
        <v>55</v>
      </c>
    </row>
    <row r="156">
      <c r="B156" s="20">
        <v>46215.0</v>
      </c>
      <c r="C156" s="21">
        <v>0.0</v>
      </c>
      <c r="D156" s="21">
        <v>0.0</v>
      </c>
      <c r="E156" s="21">
        <v>0.0</v>
      </c>
      <c r="F156" s="21">
        <v>0.0</v>
      </c>
      <c r="G156" s="21">
        <v>0.0</v>
      </c>
      <c r="H156" s="21">
        <v>0.0</v>
      </c>
      <c r="I156" s="21">
        <v>0.0</v>
      </c>
      <c r="J156" s="21">
        <v>0.0</v>
      </c>
      <c r="K156" s="21">
        <v>0.0</v>
      </c>
      <c r="L156" s="21">
        <v>0.0</v>
      </c>
      <c r="M156" s="21">
        <v>0.0</v>
      </c>
      <c r="N156" s="21">
        <v>0.0</v>
      </c>
      <c r="O156" s="21">
        <f>51</f>
        <v>51</v>
      </c>
    </row>
    <row r="157">
      <c r="B157" s="20">
        <v>46215.0</v>
      </c>
      <c r="C157" s="21">
        <v>0.0</v>
      </c>
      <c r="D157" s="21">
        <v>0.0</v>
      </c>
      <c r="E157" s="21">
        <v>0.0</v>
      </c>
      <c r="F157" s="21">
        <v>0.0</v>
      </c>
      <c r="G157" s="21">
        <v>0.0</v>
      </c>
      <c r="H157" s="21">
        <v>0.0</v>
      </c>
      <c r="I157" s="21">
        <f>41</f>
        <v>41</v>
      </c>
      <c r="J157" s="21">
        <v>0.0</v>
      </c>
      <c r="K157" s="21">
        <v>0.0</v>
      </c>
      <c r="L157" s="21">
        <v>0.0</v>
      </c>
      <c r="M157" s="21">
        <v>0.0</v>
      </c>
      <c r="N157" s="21">
        <v>0.0</v>
      </c>
      <c r="O157" s="21">
        <v>0.0</v>
      </c>
    </row>
    <row r="158">
      <c r="B158" s="20">
        <v>46215.0</v>
      </c>
      <c r="C158" s="21">
        <f t="shared" ref="C158:E158" si="285">0</f>
        <v>0</v>
      </c>
      <c r="D158" s="21">
        <f t="shared" si="285"/>
        <v>0</v>
      </c>
      <c r="E158" s="21">
        <f t="shared" si="285"/>
        <v>0</v>
      </c>
      <c r="F158" s="21">
        <f>65.1</f>
        <v>65.1</v>
      </c>
      <c r="G158" s="21">
        <f t="shared" ref="G158:I158" si="286">0</f>
        <v>0</v>
      </c>
      <c r="H158" s="21">
        <f t="shared" si="286"/>
        <v>0</v>
      </c>
      <c r="I158" s="21">
        <f t="shared" si="286"/>
        <v>0</v>
      </c>
      <c r="J158" s="21">
        <f>18.6</f>
        <v>18.6</v>
      </c>
      <c r="K158" s="21">
        <f t="shared" ref="K158:L158" si="287">0</f>
        <v>0</v>
      </c>
      <c r="L158" s="21">
        <f t="shared" si="287"/>
        <v>0</v>
      </c>
      <c r="M158" s="21">
        <f>9.3</f>
        <v>9.3</v>
      </c>
      <c r="N158" s="21">
        <f t="shared" ref="N158:O158" si="288">0</f>
        <v>0</v>
      </c>
      <c r="O158" s="21">
        <f t="shared" si="288"/>
        <v>0</v>
      </c>
    </row>
    <row r="159">
      <c r="B159" s="20">
        <v>46215.0</v>
      </c>
      <c r="C159" s="21">
        <f>13.5</f>
        <v>13.5</v>
      </c>
      <c r="D159" s="21">
        <f t="shared" ref="D159:L159" si="289">0</f>
        <v>0</v>
      </c>
      <c r="E159" s="21">
        <f t="shared" si="289"/>
        <v>0</v>
      </c>
      <c r="F159" s="21">
        <f t="shared" si="289"/>
        <v>0</v>
      </c>
      <c r="G159" s="21">
        <f t="shared" si="289"/>
        <v>0</v>
      </c>
      <c r="H159" s="21">
        <f t="shared" si="289"/>
        <v>0</v>
      </c>
      <c r="I159" s="21">
        <f t="shared" si="289"/>
        <v>0</v>
      </c>
      <c r="J159" s="21">
        <f t="shared" si="289"/>
        <v>0</v>
      </c>
      <c r="K159" s="21">
        <f t="shared" si="289"/>
        <v>0</v>
      </c>
      <c r="L159" s="21">
        <f t="shared" si="289"/>
        <v>0</v>
      </c>
      <c r="M159" s="21">
        <f>13.5</f>
        <v>13.5</v>
      </c>
      <c r="N159" s="21">
        <f t="shared" ref="N159:O159" si="290">0</f>
        <v>0</v>
      </c>
      <c r="O159" s="21">
        <f t="shared" si="290"/>
        <v>0</v>
      </c>
    </row>
    <row r="160">
      <c r="B160" s="20">
        <v>46215.0</v>
      </c>
      <c r="C160" s="21">
        <f t="shared" ref="C160:I160" si="291">0</f>
        <v>0</v>
      </c>
      <c r="D160" s="21">
        <f t="shared" si="291"/>
        <v>0</v>
      </c>
      <c r="E160" s="21">
        <f t="shared" si="291"/>
        <v>0</v>
      </c>
      <c r="F160" s="21">
        <f t="shared" si="291"/>
        <v>0</v>
      </c>
      <c r="G160" s="21">
        <f t="shared" si="291"/>
        <v>0</v>
      </c>
      <c r="H160" s="21">
        <f t="shared" si="291"/>
        <v>0</v>
      </c>
      <c r="I160" s="21">
        <f t="shared" si="291"/>
        <v>0</v>
      </c>
      <c r="J160" s="21">
        <f>982</f>
        <v>982</v>
      </c>
      <c r="K160" s="21">
        <f t="shared" ref="K160:O160" si="292">0</f>
        <v>0</v>
      </c>
      <c r="L160" s="21">
        <f t="shared" si="292"/>
        <v>0</v>
      </c>
      <c r="M160" s="21">
        <f t="shared" si="292"/>
        <v>0</v>
      </c>
      <c r="N160" s="21">
        <f t="shared" si="292"/>
        <v>0</v>
      </c>
      <c r="O160" s="21">
        <f t="shared" si="292"/>
        <v>0</v>
      </c>
    </row>
    <row r="161">
      <c r="B161" s="20">
        <v>46215.0</v>
      </c>
      <c r="C161" s="21">
        <v>0.0</v>
      </c>
      <c r="D161" s="21">
        <v>0.0</v>
      </c>
      <c r="E161" s="21">
        <v>0.0</v>
      </c>
      <c r="F161" s="21">
        <v>0.0</v>
      </c>
      <c r="G161" s="21">
        <v>0.0</v>
      </c>
      <c r="H161" s="21">
        <v>0.0</v>
      </c>
      <c r="I161" s="21">
        <v>0.0</v>
      </c>
      <c r="J161" s="21">
        <v>0.0</v>
      </c>
      <c r="K161" s="21">
        <v>0.0</v>
      </c>
      <c r="L161" s="21">
        <v>0.0</v>
      </c>
      <c r="M161" s="21">
        <v>0.0</v>
      </c>
      <c r="N161" s="21">
        <v>0.0</v>
      </c>
      <c r="O161" s="21">
        <f>39</f>
        <v>39</v>
      </c>
    </row>
    <row r="162">
      <c r="B162" s="20">
        <v>46215.0</v>
      </c>
      <c r="C162" s="21">
        <f t="shared" ref="C162:J162" si="293">0</f>
        <v>0</v>
      </c>
      <c r="D162" s="21">
        <f t="shared" si="293"/>
        <v>0</v>
      </c>
      <c r="E162" s="21">
        <f t="shared" si="293"/>
        <v>0</v>
      </c>
      <c r="F162" s="21">
        <f t="shared" si="293"/>
        <v>0</v>
      </c>
      <c r="G162" s="21">
        <f t="shared" si="293"/>
        <v>0</v>
      </c>
      <c r="H162" s="21">
        <f t="shared" si="293"/>
        <v>0</v>
      </c>
      <c r="I162" s="21">
        <f t="shared" si="293"/>
        <v>0</v>
      </c>
      <c r="J162" s="21">
        <f t="shared" si="293"/>
        <v>0</v>
      </c>
      <c r="K162" s="21">
        <f>39</f>
        <v>39</v>
      </c>
      <c r="L162" s="21">
        <f t="shared" ref="L162:O162" si="294">0</f>
        <v>0</v>
      </c>
      <c r="M162" s="21">
        <f t="shared" si="294"/>
        <v>0</v>
      </c>
      <c r="N162" s="21">
        <f t="shared" si="294"/>
        <v>0</v>
      </c>
      <c r="O162" s="21">
        <f t="shared" si="294"/>
        <v>0</v>
      </c>
    </row>
    <row r="163">
      <c r="B163" s="20">
        <v>46215.0</v>
      </c>
      <c r="C163" s="21">
        <f t="shared" ref="C163:I163" si="295">0</f>
        <v>0</v>
      </c>
      <c r="D163" s="21">
        <f t="shared" si="295"/>
        <v>0</v>
      </c>
      <c r="E163" s="21">
        <f t="shared" si="295"/>
        <v>0</v>
      </c>
      <c r="F163" s="21">
        <f t="shared" si="295"/>
        <v>0</v>
      </c>
      <c r="G163" s="21">
        <f t="shared" si="295"/>
        <v>0</v>
      </c>
      <c r="H163" s="21">
        <f t="shared" si="295"/>
        <v>0</v>
      </c>
      <c r="I163" s="21">
        <f t="shared" si="295"/>
        <v>0</v>
      </c>
      <c r="J163" s="21">
        <f>39</f>
        <v>39</v>
      </c>
      <c r="K163" s="21">
        <f t="shared" ref="K163:O163" si="296">0</f>
        <v>0</v>
      </c>
      <c r="L163" s="21">
        <f t="shared" si="296"/>
        <v>0</v>
      </c>
      <c r="M163" s="21">
        <f t="shared" si="296"/>
        <v>0</v>
      </c>
      <c r="N163" s="21">
        <f t="shared" si="296"/>
        <v>0</v>
      </c>
      <c r="O163" s="21">
        <f t="shared" si="296"/>
        <v>0</v>
      </c>
    </row>
    <row r="164">
      <c r="B164" s="20">
        <v>46216.0</v>
      </c>
      <c r="C164" s="21">
        <v>0.0</v>
      </c>
      <c r="D164" s="21">
        <v>0.0</v>
      </c>
      <c r="E164" s="21">
        <v>0.0</v>
      </c>
      <c r="F164" s="21">
        <v>0.0</v>
      </c>
      <c r="G164" s="21">
        <v>0.0</v>
      </c>
      <c r="H164" s="21">
        <v>0.0</v>
      </c>
      <c r="I164" s="21">
        <f>74</f>
        <v>74</v>
      </c>
      <c r="J164" s="21">
        <v>0.0</v>
      </c>
      <c r="K164" s="21">
        <v>0.0</v>
      </c>
      <c r="L164" s="21">
        <v>0.0</v>
      </c>
      <c r="M164" s="21">
        <v>0.0</v>
      </c>
      <c r="N164" s="21">
        <v>0.0</v>
      </c>
      <c r="O164" s="21">
        <v>0.0</v>
      </c>
    </row>
    <row r="165">
      <c r="B165" s="20">
        <v>46216.0</v>
      </c>
      <c r="C165" s="21">
        <f t="shared" ref="C165:F165" si="297">0</f>
        <v>0</v>
      </c>
      <c r="D165" s="21">
        <f t="shared" si="297"/>
        <v>0</v>
      </c>
      <c r="E165" s="21">
        <f t="shared" si="297"/>
        <v>0</v>
      </c>
      <c r="F165" s="21">
        <f t="shared" si="297"/>
        <v>0</v>
      </c>
      <c r="G165" s="21">
        <f>9.2</f>
        <v>9.2</v>
      </c>
      <c r="H165" s="21">
        <f>0</f>
        <v>0</v>
      </c>
      <c r="I165" s="21">
        <f>36.8</f>
        <v>36.8</v>
      </c>
      <c r="J165" s="21">
        <f t="shared" ref="J165:O165" si="298">0</f>
        <v>0</v>
      </c>
      <c r="K165" s="21">
        <f t="shared" si="298"/>
        <v>0</v>
      </c>
      <c r="L165" s="21">
        <f t="shared" si="298"/>
        <v>0</v>
      </c>
      <c r="M165" s="21">
        <f t="shared" si="298"/>
        <v>0</v>
      </c>
      <c r="N165" s="21">
        <f t="shared" si="298"/>
        <v>0</v>
      </c>
      <c r="O165" s="21">
        <f t="shared" si="298"/>
        <v>0</v>
      </c>
    </row>
    <row r="166">
      <c r="B166" s="20">
        <v>46216.0</v>
      </c>
      <c r="C166" s="21">
        <v>0.0</v>
      </c>
      <c r="D166" s="21">
        <v>0.0</v>
      </c>
      <c r="E166" s="21">
        <v>0.0</v>
      </c>
      <c r="F166" s="21">
        <v>0.0</v>
      </c>
      <c r="G166" s="21">
        <v>0.0</v>
      </c>
      <c r="H166" s="21">
        <v>0.0</v>
      </c>
      <c r="I166" s="21">
        <f>114</f>
        <v>114</v>
      </c>
      <c r="J166" s="21">
        <v>0.0</v>
      </c>
      <c r="K166" s="21">
        <v>0.0</v>
      </c>
      <c r="L166" s="21">
        <v>0.0</v>
      </c>
      <c r="M166" s="21">
        <v>0.0</v>
      </c>
      <c r="N166" s="21">
        <v>0.0</v>
      </c>
      <c r="O166" s="21">
        <v>0.0</v>
      </c>
    </row>
    <row r="167">
      <c r="B167" s="20">
        <v>46216.0</v>
      </c>
      <c r="C167" s="21">
        <f t="shared" ref="C167:E167" si="299">0</f>
        <v>0</v>
      </c>
      <c r="D167" s="21">
        <f t="shared" si="299"/>
        <v>0</v>
      </c>
      <c r="E167" s="21">
        <f t="shared" si="299"/>
        <v>0</v>
      </c>
      <c r="F167" s="21">
        <f t="shared" ref="F167:G167" si="300">9.2</f>
        <v>9.2</v>
      </c>
      <c r="G167" s="21">
        <f t="shared" si="300"/>
        <v>9.2</v>
      </c>
      <c r="H167" s="21">
        <f t="shared" ref="H167:M167" si="301">0</f>
        <v>0</v>
      </c>
      <c r="I167" s="21">
        <f t="shared" si="301"/>
        <v>0</v>
      </c>
      <c r="J167" s="21">
        <f t="shared" si="301"/>
        <v>0</v>
      </c>
      <c r="K167" s="21">
        <f t="shared" si="301"/>
        <v>0</v>
      </c>
      <c r="L167" s="21">
        <f t="shared" si="301"/>
        <v>0</v>
      </c>
      <c r="M167" s="21">
        <f t="shared" si="301"/>
        <v>0</v>
      </c>
      <c r="N167" s="21">
        <f t="shared" ref="N167:O167" si="302">13.8</f>
        <v>13.8</v>
      </c>
      <c r="O167" s="21">
        <f t="shared" si="302"/>
        <v>13.8</v>
      </c>
    </row>
    <row r="168">
      <c r="B168" s="20">
        <v>46216.0</v>
      </c>
      <c r="C168" s="21">
        <f>34.5</f>
        <v>34.5</v>
      </c>
      <c r="D168" s="21">
        <f t="shared" ref="D168:H168" si="303">0</f>
        <v>0</v>
      </c>
      <c r="E168" s="21">
        <f t="shared" si="303"/>
        <v>0</v>
      </c>
      <c r="F168" s="21">
        <f t="shared" si="303"/>
        <v>0</v>
      </c>
      <c r="G168" s="21">
        <f t="shared" si="303"/>
        <v>0</v>
      </c>
      <c r="H168" s="21">
        <f t="shared" si="303"/>
        <v>0</v>
      </c>
      <c r="I168" s="21">
        <f>34.5</f>
        <v>34.5</v>
      </c>
      <c r="J168" s="21">
        <f t="shared" ref="J168:O168" si="304">0</f>
        <v>0</v>
      </c>
      <c r="K168" s="21">
        <f t="shared" si="304"/>
        <v>0</v>
      </c>
      <c r="L168" s="21">
        <f t="shared" si="304"/>
        <v>0</v>
      </c>
      <c r="M168" s="21">
        <f t="shared" si="304"/>
        <v>0</v>
      </c>
      <c r="N168" s="21">
        <f t="shared" si="304"/>
        <v>0</v>
      </c>
      <c r="O168" s="21">
        <f t="shared" si="304"/>
        <v>0</v>
      </c>
    </row>
    <row r="169">
      <c r="B169" s="20">
        <v>46216.0</v>
      </c>
      <c r="C169" s="21">
        <v>0.0</v>
      </c>
      <c r="D169" s="21">
        <v>0.0</v>
      </c>
      <c r="E169" s="21">
        <v>0.0</v>
      </c>
      <c r="F169" s="21">
        <v>0.0</v>
      </c>
      <c r="G169" s="21">
        <v>0.0</v>
      </c>
      <c r="H169" s="21">
        <v>0.0</v>
      </c>
      <c r="I169" s="21">
        <v>0.0</v>
      </c>
      <c r="J169" s="21">
        <v>0.0</v>
      </c>
      <c r="K169" s="21">
        <v>0.0</v>
      </c>
      <c r="L169" s="21">
        <v>0.0</v>
      </c>
      <c r="M169" s="21">
        <v>0.0</v>
      </c>
      <c r="N169" s="21">
        <v>0.0</v>
      </c>
      <c r="O169" s="21">
        <f>13</f>
        <v>13</v>
      </c>
    </row>
    <row r="170">
      <c r="B170" s="20">
        <v>46216.0</v>
      </c>
      <c r="C170" s="21">
        <f>32</f>
        <v>32</v>
      </c>
      <c r="D170" s="21">
        <f t="shared" ref="D170:O170" si="305">0</f>
        <v>0</v>
      </c>
      <c r="E170" s="21">
        <f t="shared" si="305"/>
        <v>0</v>
      </c>
      <c r="F170" s="21">
        <f t="shared" si="305"/>
        <v>0</v>
      </c>
      <c r="G170" s="21">
        <f t="shared" si="305"/>
        <v>0</v>
      </c>
      <c r="H170" s="21">
        <f t="shared" si="305"/>
        <v>0</v>
      </c>
      <c r="I170" s="21">
        <f t="shared" si="305"/>
        <v>0</v>
      </c>
      <c r="J170" s="21">
        <f t="shared" si="305"/>
        <v>0</v>
      </c>
      <c r="K170" s="21">
        <f t="shared" si="305"/>
        <v>0</v>
      </c>
      <c r="L170" s="21">
        <f t="shared" si="305"/>
        <v>0</v>
      </c>
      <c r="M170" s="21">
        <f t="shared" si="305"/>
        <v>0</v>
      </c>
      <c r="N170" s="21">
        <f t="shared" si="305"/>
        <v>0</v>
      </c>
      <c r="O170" s="21">
        <f t="shared" si="305"/>
        <v>0</v>
      </c>
    </row>
    <row r="171">
      <c r="B171" s="20">
        <v>46216.0</v>
      </c>
      <c r="C171" s="21">
        <f>22</f>
        <v>22</v>
      </c>
      <c r="D171" s="21">
        <f t="shared" ref="D171:F171" si="306">0</f>
        <v>0</v>
      </c>
      <c r="E171" s="21">
        <f t="shared" si="306"/>
        <v>0</v>
      </c>
      <c r="F171" s="21">
        <f t="shared" si="306"/>
        <v>0</v>
      </c>
      <c r="G171" s="21">
        <f>13.2</f>
        <v>13.2</v>
      </c>
      <c r="H171" s="21">
        <f t="shared" ref="H171:K171" si="307">0</f>
        <v>0</v>
      </c>
      <c r="I171" s="21">
        <f t="shared" si="307"/>
        <v>0</v>
      </c>
      <c r="J171" s="21">
        <f t="shared" si="307"/>
        <v>0</v>
      </c>
      <c r="K171" s="21">
        <f t="shared" si="307"/>
        <v>0</v>
      </c>
      <c r="L171" s="21">
        <f>8.8</f>
        <v>8.8</v>
      </c>
      <c r="M171" s="21">
        <f t="shared" ref="M171:O171" si="308">0</f>
        <v>0</v>
      </c>
      <c r="N171" s="21">
        <f t="shared" si="308"/>
        <v>0</v>
      </c>
      <c r="O171" s="21">
        <f t="shared" si="308"/>
        <v>0</v>
      </c>
    </row>
    <row r="172">
      <c r="B172" s="20">
        <v>46216.0</v>
      </c>
      <c r="C172" s="21">
        <f t="shared" ref="C172:E172" si="309">0</f>
        <v>0</v>
      </c>
      <c r="D172" s="21">
        <f t="shared" si="309"/>
        <v>0</v>
      </c>
      <c r="E172" s="21">
        <f t="shared" si="309"/>
        <v>0</v>
      </c>
      <c r="F172" s="21">
        <f t="shared" ref="F172:G172" si="310">5.4</f>
        <v>5.4</v>
      </c>
      <c r="G172" s="21">
        <f t="shared" si="310"/>
        <v>5.4</v>
      </c>
      <c r="H172" s="21">
        <f>0</f>
        <v>0</v>
      </c>
      <c r="I172" s="21">
        <f>37.8</f>
        <v>37.8</v>
      </c>
      <c r="J172" s="21">
        <f t="shared" ref="J172:L172" si="311">0</f>
        <v>0</v>
      </c>
      <c r="K172" s="21">
        <f t="shared" si="311"/>
        <v>0</v>
      </c>
      <c r="L172" s="21">
        <f t="shared" si="311"/>
        <v>0</v>
      </c>
      <c r="M172" s="21">
        <f>5.4</f>
        <v>5.4</v>
      </c>
      <c r="N172" s="21">
        <f t="shared" ref="N172:O172" si="312">0</f>
        <v>0</v>
      </c>
      <c r="O172" s="21">
        <f t="shared" si="312"/>
        <v>0</v>
      </c>
    </row>
    <row r="173">
      <c r="B173" s="20">
        <v>46216.0</v>
      </c>
      <c r="C173" s="21">
        <f t="shared" ref="C173:L173" si="313">0</f>
        <v>0</v>
      </c>
      <c r="D173" s="21">
        <f t="shared" si="313"/>
        <v>0</v>
      </c>
      <c r="E173" s="21">
        <f t="shared" si="313"/>
        <v>0</v>
      </c>
      <c r="F173" s="21">
        <f t="shared" si="313"/>
        <v>0</v>
      </c>
      <c r="G173" s="21">
        <f t="shared" si="313"/>
        <v>0</v>
      </c>
      <c r="H173" s="21">
        <f t="shared" si="313"/>
        <v>0</v>
      </c>
      <c r="I173" s="21">
        <f t="shared" si="313"/>
        <v>0</v>
      </c>
      <c r="J173" s="21">
        <f t="shared" si="313"/>
        <v>0</v>
      </c>
      <c r="K173" s="21">
        <f t="shared" si="313"/>
        <v>0</v>
      </c>
      <c r="L173" s="21">
        <f t="shared" si="313"/>
        <v>0</v>
      </c>
      <c r="M173" s="21">
        <f>8</f>
        <v>8</v>
      </c>
      <c r="N173" s="21">
        <f t="shared" ref="N173:O173" si="314">0</f>
        <v>0</v>
      </c>
      <c r="O173" s="21">
        <f t="shared" si="314"/>
        <v>0</v>
      </c>
    </row>
    <row r="174">
      <c r="B174" s="20">
        <v>46216.0</v>
      </c>
      <c r="C174" s="21">
        <f>18</f>
        <v>18</v>
      </c>
      <c r="D174" s="21">
        <f t="shared" ref="D174:K174" si="315">0</f>
        <v>0</v>
      </c>
      <c r="E174" s="21">
        <f t="shared" si="315"/>
        <v>0</v>
      </c>
      <c r="F174" s="21">
        <f t="shared" si="315"/>
        <v>0</v>
      </c>
      <c r="G174" s="21">
        <f t="shared" si="315"/>
        <v>0</v>
      </c>
      <c r="H174" s="21">
        <f t="shared" si="315"/>
        <v>0</v>
      </c>
      <c r="I174" s="21">
        <f t="shared" si="315"/>
        <v>0</v>
      </c>
      <c r="J174" s="21">
        <f t="shared" si="315"/>
        <v>0</v>
      </c>
      <c r="K174" s="21">
        <f t="shared" si="315"/>
        <v>0</v>
      </c>
      <c r="L174" s="21">
        <f>18</f>
        <v>18</v>
      </c>
      <c r="M174" s="21">
        <f t="shared" ref="M174:O174" si="316">0</f>
        <v>0</v>
      </c>
      <c r="N174" s="21">
        <f t="shared" si="316"/>
        <v>0</v>
      </c>
      <c r="O174" s="21">
        <f t="shared" si="316"/>
        <v>0</v>
      </c>
    </row>
    <row r="175">
      <c r="B175" s="20">
        <v>46216.0</v>
      </c>
      <c r="C175" s="21">
        <f>21.6</f>
        <v>21.6</v>
      </c>
      <c r="D175" s="21">
        <f t="shared" ref="D175:F175" si="317">0</f>
        <v>0</v>
      </c>
      <c r="E175" s="21">
        <f t="shared" si="317"/>
        <v>0</v>
      </c>
      <c r="F175" s="21">
        <f t="shared" si="317"/>
        <v>0</v>
      </c>
      <c r="G175" s="21">
        <f>2.4</f>
        <v>2.4</v>
      </c>
      <c r="H175" s="21">
        <f t="shared" ref="H175:O175" si="318">0</f>
        <v>0</v>
      </c>
      <c r="I175" s="21">
        <f t="shared" si="318"/>
        <v>0</v>
      </c>
      <c r="J175" s="21">
        <f t="shared" si="318"/>
        <v>0</v>
      </c>
      <c r="K175" s="21">
        <f t="shared" si="318"/>
        <v>0</v>
      </c>
      <c r="L175" s="21">
        <f t="shared" si="318"/>
        <v>0</v>
      </c>
      <c r="M175" s="21">
        <f t="shared" si="318"/>
        <v>0</v>
      </c>
      <c r="N175" s="21">
        <f t="shared" si="318"/>
        <v>0</v>
      </c>
      <c r="O175" s="21">
        <f t="shared" si="318"/>
        <v>0</v>
      </c>
    </row>
    <row r="176">
      <c r="B176" s="20">
        <v>46216.0</v>
      </c>
      <c r="C176" s="21">
        <f>60.8</f>
        <v>60.8</v>
      </c>
      <c r="D176" s="21">
        <f t="shared" ref="D176:H176" si="319">0</f>
        <v>0</v>
      </c>
      <c r="E176" s="21">
        <f t="shared" si="319"/>
        <v>0</v>
      </c>
      <c r="F176" s="21">
        <f t="shared" si="319"/>
        <v>0</v>
      </c>
      <c r="G176" s="21">
        <f t="shared" si="319"/>
        <v>0</v>
      </c>
      <c r="H176" s="21">
        <f t="shared" si="319"/>
        <v>0</v>
      </c>
      <c r="I176" s="21">
        <f>7.6</f>
        <v>7.6</v>
      </c>
      <c r="J176" s="21">
        <f t="shared" ref="J176:L176" si="320">0</f>
        <v>0</v>
      </c>
      <c r="K176" s="21">
        <f t="shared" si="320"/>
        <v>0</v>
      </c>
      <c r="L176" s="21">
        <f t="shared" si="320"/>
        <v>0</v>
      </c>
      <c r="M176" s="21">
        <f>7.6</f>
        <v>7.6</v>
      </c>
      <c r="N176" s="21">
        <f t="shared" ref="N176:O176" si="321">0</f>
        <v>0</v>
      </c>
      <c r="O176" s="21">
        <f t="shared" si="321"/>
        <v>0</v>
      </c>
    </row>
    <row r="177">
      <c r="B177" s="20">
        <v>46216.0</v>
      </c>
      <c r="C177" s="21">
        <f t="shared" ref="C177:F177" si="322">0</f>
        <v>0</v>
      </c>
      <c r="D177" s="21">
        <f t="shared" si="322"/>
        <v>0</v>
      </c>
      <c r="E177" s="21">
        <f t="shared" si="322"/>
        <v>0</v>
      </c>
      <c r="F177" s="21">
        <f t="shared" si="322"/>
        <v>0</v>
      </c>
      <c r="G177" s="21">
        <f>2.8</f>
        <v>2.8</v>
      </c>
      <c r="H177" s="21">
        <f t="shared" ref="H177:H179" si="325">0</f>
        <v>0</v>
      </c>
      <c r="I177" s="21">
        <f>5.6</f>
        <v>5.6</v>
      </c>
      <c r="J177" s="21">
        <f t="shared" ref="J177:L177" si="323">0</f>
        <v>0</v>
      </c>
      <c r="K177" s="21">
        <f t="shared" si="323"/>
        <v>0</v>
      </c>
      <c r="L177" s="21">
        <f t="shared" si="323"/>
        <v>0</v>
      </c>
      <c r="M177" s="21">
        <f>2.8</f>
        <v>2.8</v>
      </c>
      <c r="N177" s="21">
        <f t="shared" ref="N177:N179" si="327">0</f>
        <v>0</v>
      </c>
      <c r="O177" s="21">
        <f>16.8</f>
        <v>16.8</v>
      </c>
    </row>
    <row r="178">
      <c r="B178" s="20">
        <v>46216.0</v>
      </c>
      <c r="C178" s="21">
        <f>8.6</f>
        <v>8.6</v>
      </c>
      <c r="D178" s="21">
        <f t="shared" ref="D178:F178" si="324">0</f>
        <v>0</v>
      </c>
      <c r="E178" s="21">
        <f t="shared" si="324"/>
        <v>0</v>
      </c>
      <c r="F178" s="21">
        <f t="shared" si="324"/>
        <v>0</v>
      </c>
      <c r="G178" s="21">
        <f>8.6</f>
        <v>8.6</v>
      </c>
      <c r="H178" s="21">
        <f t="shared" si="325"/>
        <v>0</v>
      </c>
      <c r="I178" s="21">
        <f>34.4</f>
        <v>34.4</v>
      </c>
      <c r="J178" s="21">
        <f t="shared" ref="J178:L178" si="326">0</f>
        <v>0</v>
      </c>
      <c r="K178" s="21">
        <f t="shared" si="326"/>
        <v>0</v>
      </c>
      <c r="L178" s="21">
        <f t="shared" si="326"/>
        <v>0</v>
      </c>
      <c r="M178" s="21">
        <f>34.4</f>
        <v>34.4</v>
      </c>
      <c r="N178" s="21">
        <f t="shared" si="327"/>
        <v>0</v>
      </c>
      <c r="O178" s="21">
        <f>0</f>
        <v>0</v>
      </c>
    </row>
    <row r="179">
      <c r="B179" s="20">
        <v>46216.0</v>
      </c>
      <c r="C179" s="21">
        <f t="shared" ref="C179:E179" si="328">0</f>
        <v>0</v>
      </c>
      <c r="D179" s="21">
        <f t="shared" si="328"/>
        <v>0</v>
      </c>
      <c r="E179" s="21">
        <f t="shared" si="328"/>
        <v>0</v>
      </c>
      <c r="F179" s="21">
        <f>14.5</f>
        <v>14.5</v>
      </c>
      <c r="G179" s="21">
        <f>2.9</f>
        <v>2.9</v>
      </c>
      <c r="H179" s="21">
        <f t="shared" si="325"/>
        <v>0</v>
      </c>
      <c r="I179" s="21">
        <f t="shared" ref="I179:L179" si="329">0</f>
        <v>0</v>
      </c>
      <c r="J179" s="21">
        <f t="shared" si="329"/>
        <v>0</v>
      </c>
      <c r="K179" s="21">
        <f t="shared" si="329"/>
        <v>0</v>
      </c>
      <c r="L179" s="21">
        <f t="shared" si="329"/>
        <v>0</v>
      </c>
      <c r="M179" s="21">
        <f>8.7</f>
        <v>8.7</v>
      </c>
      <c r="N179" s="21">
        <f t="shared" si="327"/>
        <v>0</v>
      </c>
      <c r="O179" s="21">
        <f>2.9</f>
        <v>2.9</v>
      </c>
    </row>
    <row r="180">
      <c r="B180" s="20">
        <v>46217.0</v>
      </c>
      <c r="C180" s="21">
        <f t="shared" ref="C180:H180" si="330">0</f>
        <v>0</v>
      </c>
      <c r="D180" s="21">
        <f t="shared" si="330"/>
        <v>0</v>
      </c>
      <c r="E180" s="21">
        <f t="shared" si="330"/>
        <v>0</v>
      </c>
      <c r="F180" s="21">
        <f t="shared" si="330"/>
        <v>0</v>
      </c>
      <c r="G180" s="21">
        <f t="shared" si="330"/>
        <v>0</v>
      </c>
      <c r="H180" s="21">
        <f t="shared" si="330"/>
        <v>0</v>
      </c>
      <c r="I180" s="21">
        <f>108</f>
        <v>108</v>
      </c>
      <c r="J180" s="21">
        <f t="shared" ref="J180:O180" si="331">0</f>
        <v>0</v>
      </c>
      <c r="K180" s="21">
        <f t="shared" si="331"/>
        <v>0</v>
      </c>
      <c r="L180" s="21">
        <f t="shared" si="331"/>
        <v>0</v>
      </c>
      <c r="M180" s="21">
        <f t="shared" si="331"/>
        <v>0</v>
      </c>
      <c r="N180" s="21">
        <f t="shared" si="331"/>
        <v>0</v>
      </c>
      <c r="O180" s="21">
        <f t="shared" si="331"/>
        <v>0</v>
      </c>
    </row>
    <row r="181">
      <c r="B181" s="20">
        <v>46217.0</v>
      </c>
      <c r="C181" s="21">
        <f t="shared" ref="C181:F181" si="332">0</f>
        <v>0</v>
      </c>
      <c r="D181" s="21">
        <f t="shared" si="332"/>
        <v>0</v>
      </c>
      <c r="E181" s="21">
        <f t="shared" si="332"/>
        <v>0</v>
      </c>
      <c r="F181" s="21">
        <f t="shared" si="332"/>
        <v>0</v>
      </c>
      <c r="G181" s="21">
        <f>13.6</f>
        <v>13.6</v>
      </c>
      <c r="H181" s="21">
        <f t="shared" ref="H181:L181" si="333">0</f>
        <v>0</v>
      </c>
      <c r="I181" s="21">
        <f t="shared" si="333"/>
        <v>0</v>
      </c>
      <c r="J181" s="21">
        <f t="shared" si="333"/>
        <v>0</v>
      </c>
      <c r="K181" s="21">
        <f t="shared" si="333"/>
        <v>0</v>
      </c>
      <c r="L181" s="21">
        <f t="shared" si="333"/>
        <v>0</v>
      </c>
      <c r="M181" s="21">
        <f>3.4</f>
        <v>3.4</v>
      </c>
      <c r="N181" s="21">
        <f t="shared" ref="N181:O181" si="334">0</f>
        <v>0</v>
      </c>
      <c r="O181" s="21">
        <f t="shared" si="334"/>
        <v>0</v>
      </c>
    </row>
    <row r="182">
      <c r="B182" s="20">
        <v>46217.0</v>
      </c>
      <c r="C182" s="21">
        <f t="shared" ref="C182:N182" si="335">0</f>
        <v>0</v>
      </c>
      <c r="D182" s="21">
        <f t="shared" si="335"/>
        <v>0</v>
      </c>
      <c r="E182" s="21">
        <f t="shared" si="335"/>
        <v>0</v>
      </c>
      <c r="F182" s="21">
        <f t="shared" si="335"/>
        <v>0</v>
      </c>
      <c r="G182" s="21">
        <f t="shared" si="335"/>
        <v>0</v>
      </c>
      <c r="H182" s="21">
        <f t="shared" si="335"/>
        <v>0</v>
      </c>
      <c r="I182" s="21">
        <f t="shared" si="335"/>
        <v>0</v>
      </c>
      <c r="J182" s="21">
        <f t="shared" si="335"/>
        <v>0</v>
      </c>
      <c r="K182" s="21">
        <f t="shared" si="335"/>
        <v>0</v>
      </c>
      <c r="L182" s="21">
        <f t="shared" si="335"/>
        <v>0</v>
      </c>
      <c r="M182" s="21">
        <f t="shared" si="335"/>
        <v>0</v>
      </c>
      <c r="N182" s="21">
        <f t="shared" si="335"/>
        <v>0</v>
      </c>
      <c r="O182" s="21">
        <f>44</f>
        <v>44</v>
      </c>
    </row>
    <row r="183">
      <c r="B183" s="20">
        <v>46217.0</v>
      </c>
      <c r="C183" s="21">
        <v>0.0</v>
      </c>
      <c r="D183" s="21">
        <v>0.0</v>
      </c>
      <c r="E183" s="21">
        <v>0.0</v>
      </c>
      <c r="F183" s="21">
        <v>0.0</v>
      </c>
      <c r="G183" s="21">
        <v>0.0</v>
      </c>
      <c r="H183" s="21">
        <v>0.0</v>
      </c>
      <c r="I183" s="21">
        <f>54</f>
        <v>54</v>
      </c>
      <c r="J183" s="21">
        <v>0.0</v>
      </c>
      <c r="K183" s="21">
        <v>0.0</v>
      </c>
      <c r="L183" s="21">
        <v>0.0</v>
      </c>
      <c r="M183" s="21">
        <v>0.0</v>
      </c>
      <c r="N183" s="21">
        <v>0.0</v>
      </c>
      <c r="O183" s="21">
        <v>0.0</v>
      </c>
    </row>
    <row r="184">
      <c r="B184" s="20">
        <v>46217.0</v>
      </c>
      <c r="C184" s="21">
        <v>0.0</v>
      </c>
      <c r="D184" s="21">
        <v>0.0</v>
      </c>
      <c r="E184" s="21">
        <v>0.0</v>
      </c>
      <c r="F184" s="21">
        <v>0.0</v>
      </c>
      <c r="G184" s="21">
        <v>0.0</v>
      </c>
      <c r="H184" s="21">
        <v>0.0</v>
      </c>
      <c r="I184" s="21">
        <v>0.0</v>
      </c>
      <c r="J184" s="21">
        <v>0.0</v>
      </c>
      <c r="K184" s="21">
        <v>0.0</v>
      </c>
      <c r="L184" s="21">
        <v>0.0</v>
      </c>
      <c r="M184" s="21">
        <v>0.0</v>
      </c>
      <c r="N184" s="21">
        <v>0.0</v>
      </c>
      <c r="O184" s="21">
        <f>37</f>
        <v>37</v>
      </c>
    </row>
    <row r="185">
      <c r="B185" s="20">
        <v>46217.0</v>
      </c>
      <c r="C185" s="21">
        <f t="shared" ref="C185:H185" si="336">0</f>
        <v>0</v>
      </c>
      <c r="D185" s="21">
        <f t="shared" si="336"/>
        <v>0</v>
      </c>
      <c r="E185" s="21">
        <f t="shared" si="336"/>
        <v>0</v>
      </c>
      <c r="F185" s="21">
        <f t="shared" si="336"/>
        <v>0</v>
      </c>
      <c r="G185" s="21">
        <f t="shared" si="336"/>
        <v>0</v>
      </c>
      <c r="H185" s="21">
        <f t="shared" si="336"/>
        <v>0</v>
      </c>
      <c r="I185" s="21">
        <f>37.6</f>
        <v>37.6</v>
      </c>
      <c r="J185" s="21">
        <f t="shared" ref="J185:L185" si="337">0</f>
        <v>0</v>
      </c>
      <c r="K185" s="21">
        <f t="shared" si="337"/>
        <v>0</v>
      </c>
      <c r="L185" s="21">
        <f t="shared" si="337"/>
        <v>0</v>
      </c>
      <c r="M185" s="21">
        <f>9.4</f>
        <v>9.4</v>
      </c>
      <c r="N185" s="21">
        <f t="shared" ref="N185:O185" si="338">0</f>
        <v>0</v>
      </c>
      <c r="O185" s="21">
        <f t="shared" si="338"/>
        <v>0</v>
      </c>
    </row>
    <row r="186">
      <c r="B186" s="20">
        <v>46217.0</v>
      </c>
      <c r="C186" s="21">
        <f t="shared" ref="C186:F186" si="339">0</f>
        <v>0</v>
      </c>
      <c r="D186" s="21">
        <f t="shared" si="339"/>
        <v>0</v>
      </c>
      <c r="E186" s="21">
        <f t="shared" si="339"/>
        <v>0</v>
      </c>
      <c r="F186" s="21">
        <f t="shared" si="339"/>
        <v>0</v>
      </c>
      <c r="G186" s="21">
        <f>18</f>
        <v>18</v>
      </c>
      <c r="H186" s="21">
        <f t="shared" ref="H186:L186" si="340">0</f>
        <v>0</v>
      </c>
      <c r="I186" s="21">
        <f t="shared" si="340"/>
        <v>0</v>
      </c>
      <c r="J186" s="21">
        <f t="shared" si="340"/>
        <v>0</v>
      </c>
      <c r="K186" s="21">
        <f t="shared" si="340"/>
        <v>0</v>
      </c>
      <c r="L186" s="21">
        <f t="shared" si="340"/>
        <v>0</v>
      </c>
      <c r="M186" s="21">
        <f>18</f>
        <v>18</v>
      </c>
      <c r="N186" s="21">
        <f t="shared" ref="N186:O186" si="341">0</f>
        <v>0</v>
      </c>
      <c r="O186" s="21">
        <f t="shared" si="341"/>
        <v>0</v>
      </c>
    </row>
    <row r="187">
      <c r="B187" s="20">
        <v>46217.0</v>
      </c>
      <c r="C187" s="21">
        <f>30.4</f>
        <v>30.4</v>
      </c>
      <c r="D187" s="21">
        <f t="shared" ref="D187:N187" si="342">0</f>
        <v>0</v>
      </c>
      <c r="E187" s="21">
        <f t="shared" si="342"/>
        <v>0</v>
      </c>
      <c r="F187" s="21">
        <f t="shared" si="342"/>
        <v>0</v>
      </c>
      <c r="G187" s="21">
        <f t="shared" si="342"/>
        <v>0</v>
      </c>
      <c r="H187" s="21">
        <f t="shared" si="342"/>
        <v>0</v>
      </c>
      <c r="I187" s="21">
        <f t="shared" si="342"/>
        <v>0</v>
      </c>
      <c r="J187" s="21">
        <f t="shared" si="342"/>
        <v>0</v>
      </c>
      <c r="K187" s="21">
        <f t="shared" si="342"/>
        <v>0</v>
      </c>
      <c r="L187" s="21">
        <f t="shared" si="342"/>
        <v>0</v>
      </c>
      <c r="M187" s="21">
        <f t="shared" si="342"/>
        <v>0</v>
      </c>
      <c r="N187" s="21">
        <f t="shared" si="342"/>
        <v>0</v>
      </c>
      <c r="O187" s="21">
        <f>7.6</f>
        <v>7.6</v>
      </c>
    </row>
    <row r="188">
      <c r="B188" s="20">
        <v>46217.0</v>
      </c>
      <c r="C188" s="21">
        <f t="shared" ref="C188:H188" si="343">0</f>
        <v>0</v>
      </c>
      <c r="D188" s="21">
        <f t="shared" si="343"/>
        <v>0</v>
      </c>
      <c r="E188" s="21">
        <f t="shared" si="343"/>
        <v>0</v>
      </c>
      <c r="F188" s="21">
        <f t="shared" si="343"/>
        <v>0</v>
      </c>
      <c r="G188" s="21">
        <f t="shared" si="343"/>
        <v>0</v>
      </c>
      <c r="H188" s="21">
        <f t="shared" si="343"/>
        <v>0</v>
      </c>
      <c r="I188" s="21">
        <f>10.2</f>
        <v>10.2</v>
      </c>
      <c r="J188" s="21">
        <f t="shared" ref="J188:K188" si="344">0</f>
        <v>0</v>
      </c>
      <c r="K188" s="21">
        <f t="shared" si="344"/>
        <v>0</v>
      </c>
      <c r="L188" s="21">
        <f>6.8</f>
        <v>6.8</v>
      </c>
      <c r="M188" s="21">
        <f t="shared" ref="M188:O188" si="345">0</f>
        <v>0</v>
      </c>
      <c r="N188" s="21">
        <f t="shared" si="345"/>
        <v>0</v>
      </c>
      <c r="O188" s="21">
        <f t="shared" si="345"/>
        <v>0</v>
      </c>
    </row>
    <row r="189">
      <c r="B189" s="20">
        <v>46217.0</v>
      </c>
      <c r="C189" s="21">
        <f>17</f>
        <v>17</v>
      </c>
      <c r="D189" s="21">
        <f t="shared" ref="D189:H189" si="346">0</f>
        <v>0</v>
      </c>
      <c r="E189" s="21">
        <f t="shared" si="346"/>
        <v>0</v>
      </c>
      <c r="F189" s="21">
        <f t="shared" si="346"/>
        <v>0</v>
      </c>
      <c r="G189" s="21">
        <f t="shared" si="346"/>
        <v>0</v>
      </c>
      <c r="H189" s="21">
        <f t="shared" si="346"/>
        <v>0</v>
      </c>
      <c r="I189" s="21">
        <f>17</f>
        <v>17</v>
      </c>
      <c r="J189" s="21">
        <f t="shared" ref="J189:O189" si="347">0</f>
        <v>0</v>
      </c>
      <c r="K189" s="21">
        <f t="shared" si="347"/>
        <v>0</v>
      </c>
      <c r="L189" s="21">
        <f t="shared" si="347"/>
        <v>0</v>
      </c>
      <c r="M189" s="21">
        <f t="shared" si="347"/>
        <v>0</v>
      </c>
      <c r="N189" s="21">
        <f t="shared" si="347"/>
        <v>0</v>
      </c>
      <c r="O189" s="21">
        <f t="shared" si="347"/>
        <v>0</v>
      </c>
    </row>
    <row r="190">
      <c r="B190" s="20">
        <v>46217.0</v>
      </c>
      <c r="C190" s="21">
        <f>23.4</f>
        <v>23.4</v>
      </c>
      <c r="D190" s="21">
        <f t="shared" ref="D190:N190" si="348">0</f>
        <v>0</v>
      </c>
      <c r="E190" s="21">
        <f t="shared" si="348"/>
        <v>0</v>
      </c>
      <c r="F190" s="21">
        <f t="shared" si="348"/>
        <v>0</v>
      </c>
      <c r="G190" s="21">
        <f t="shared" si="348"/>
        <v>0</v>
      </c>
      <c r="H190" s="21">
        <f t="shared" si="348"/>
        <v>0</v>
      </c>
      <c r="I190" s="21">
        <f t="shared" si="348"/>
        <v>0</v>
      </c>
      <c r="J190" s="21">
        <f t="shared" si="348"/>
        <v>0</v>
      </c>
      <c r="K190" s="21">
        <f t="shared" si="348"/>
        <v>0</v>
      </c>
      <c r="L190" s="21">
        <f t="shared" si="348"/>
        <v>0</v>
      </c>
      <c r="M190" s="21">
        <f t="shared" si="348"/>
        <v>0</v>
      </c>
      <c r="N190" s="21">
        <f t="shared" si="348"/>
        <v>0</v>
      </c>
      <c r="O190" s="21">
        <f>2.6</f>
        <v>2.6</v>
      </c>
    </row>
    <row r="191">
      <c r="B191" s="20">
        <v>46217.0</v>
      </c>
      <c r="C191" s="21">
        <v>0.0</v>
      </c>
      <c r="D191" s="21">
        <v>0.0</v>
      </c>
      <c r="E191" s="21">
        <v>0.0</v>
      </c>
      <c r="F191" s="21">
        <v>0.0</v>
      </c>
      <c r="G191" s="21">
        <v>0.0</v>
      </c>
      <c r="H191" s="21">
        <v>0.0</v>
      </c>
      <c r="I191" s="21">
        <f>34</f>
        <v>34</v>
      </c>
      <c r="J191" s="21">
        <v>0.0</v>
      </c>
      <c r="K191" s="21">
        <v>0.0</v>
      </c>
      <c r="L191" s="21">
        <v>0.0</v>
      </c>
      <c r="M191" s="21">
        <v>0.0</v>
      </c>
      <c r="N191" s="21">
        <v>0.0</v>
      </c>
      <c r="O191" s="21">
        <v>0.0</v>
      </c>
    </row>
    <row r="192">
      <c r="B192" s="20">
        <v>46218.0</v>
      </c>
      <c r="C192" s="21">
        <f>8.4</f>
        <v>8.4</v>
      </c>
      <c r="D192" s="21">
        <f t="shared" ref="D192:I192" si="349">0</f>
        <v>0</v>
      </c>
      <c r="E192" s="21">
        <f t="shared" si="349"/>
        <v>0</v>
      </c>
      <c r="F192" s="21">
        <f t="shared" si="349"/>
        <v>0</v>
      </c>
      <c r="G192" s="21">
        <f t="shared" si="349"/>
        <v>0</v>
      </c>
      <c r="H192" s="21">
        <f t="shared" si="349"/>
        <v>0</v>
      </c>
      <c r="I192" s="21">
        <f t="shared" si="349"/>
        <v>0</v>
      </c>
      <c r="J192" s="21">
        <f>12.6</f>
        <v>12.6</v>
      </c>
      <c r="K192" s="21">
        <f t="shared" ref="K192:O192" si="350">0</f>
        <v>0</v>
      </c>
      <c r="L192" s="21">
        <f t="shared" si="350"/>
        <v>0</v>
      </c>
      <c r="M192" s="21">
        <f t="shared" si="350"/>
        <v>0</v>
      </c>
      <c r="N192" s="21">
        <f t="shared" si="350"/>
        <v>0</v>
      </c>
      <c r="O192" s="21">
        <f t="shared" si="350"/>
        <v>0</v>
      </c>
    </row>
    <row r="193">
      <c r="B193" s="20">
        <v>46218.0</v>
      </c>
      <c r="C193" s="21">
        <f>9.8</f>
        <v>9.8</v>
      </c>
      <c r="D193" s="21">
        <f t="shared" ref="D193:H193" si="351">0</f>
        <v>0</v>
      </c>
      <c r="E193" s="21">
        <f t="shared" si="351"/>
        <v>0</v>
      </c>
      <c r="F193" s="21">
        <f t="shared" si="351"/>
        <v>0</v>
      </c>
      <c r="G193" s="21">
        <f t="shared" si="351"/>
        <v>0</v>
      </c>
      <c r="H193" s="21">
        <f t="shared" si="351"/>
        <v>0</v>
      </c>
      <c r="I193" s="21">
        <f>4.9</f>
        <v>4.9</v>
      </c>
      <c r="J193" s="21">
        <f t="shared" ref="J193:L193" si="352">0</f>
        <v>0</v>
      </c>
      <c r="K193" s="21">
        <f t="shared" si="352"/>
        <v>0</v>
      </c>
      <c r="L193" s="21">
        <f t="shared" si="352"/>
        <v>0</v>
      </c>
      <c r="M193" s="21">
        <f>14.7</f>
        <v>14.7</v>
      </c>
      <c r="N193" s="21">
        <f t="shared" ref="N193:N194" si="355">0</f>
        <v>0</v>
      </c>
      <c r="O193" s="21">
        <f>19.6</f>
        <v>19.6</v>
      </c>
    </row>
    <row r="194">
      <c r="B194" s="20">
        <v>46218.0</v>
      </c>
      <c r="C194" s="21">
        <f>13.2</f>
        <v>13.2</v>
      </c>
      <c r="D194" s="21">
        <f t="shared" ref="D194:F194" si="353">0</f>
        <v>0</v>
      </c>
      <c r="E194" s="21">
        <f t="shared" si="353"/>
        <v>0</v>
      </c>
      <c r="F194" s="21">
        <f t="shared" si="353"/>
        <v>0</v>
      </c>
      <c r="G194" s="21">
        <f>4.4</f>
        <v>4.4</v>
      </c>
      <c r="H194" s="21">
        <f t="shared" ref="H194:L194" si="354">0</f>
        <v>0</v>
      </c>
      <c r="I194" s="21">
        <f t="shared" si="354"/>
        <v>0</v>
      </c>
      <c r="J194" s="21">
        <f t="shared" si="354"/>
        <v>0</v>
      </c>
      <c r="K194" s="21">
        <f t="shared" si="354"/>
        <v>0</v>
      </c>
      <c r="L194" s="21">
        <f t="shared" si="354"/>
        <v>0</v>
      </c>
      <c r="M194" s="21">
        <f>4.4</f>
        <v>4.4</v>
      </c>
      <c r="N194" s="21">
        <f t="shared" si="355"/>
        <v>0</v>
      </c>
      <c r="O194" s="21">
        <f>0</f>
        <v>0</v>
      </c>
    </row>
    <row r="195">
      <c r="B195" s="20">
        <v>46218.0</v>
      </c>
      <c r="C195" s="21">
        <f t="shared" ref="C195:F195" si="356">0</f>
        <v>0</v>
      </c>
      <c r="D195" s="21">
        <f t="shared" si="356"/>
        <v>0</v>
      </c>
      <c r="E195" s="21">
        <f t="shared" si="356"/>
        <v>0</v>
      </c>
      <c r="F195" s="21">
        <f t="shared" si="356"/>
        <v>0</v>
      </c>
      <c r="G195" s="21">
        <f>6.8</f>
        <v>6.8</v>
      </c>
      <c r="H195" s="21">
        <f>0</f>
        <v>0</v>
      </c>
      <c r="I195" s="21">
        <f>61.2</f>
        <v>61.2</v>
      </c>
      <c r="J195" s="21">
        <f t="shared" ref="J195:O195" si="357">0</f>
        <v>0</v>
      </c>
      <c r="K195" s="21">
        <f t="shared" si="357"/>
        <v>0</v>
      </c>
      <c r="L195" s="21">
        <f t="shared" si="357"/>
        <v>0</v>
      </c>
      <c r="M195" s="21">
        <f t="shared" si="357"/>
        <v>0</v>
      </c>
      <c r="N195" s="21">
        <f t="shared" si="357"/>
        <v>0</v>
      </c>
      <c r="O195" s="21">
        <f t="shared" si="357"/>
        <v>0</v>
      </c>
    </row>
    <row r="196">
      <c r="B196" s="20">
        <v>46218.0</v>
      </c>
      <c r="C196" s="21">
        <f t="shared" ref="C196:H196" si="358">0</f>
        <v>0</v>
      </c>
      <c r="D196" s="21">
        <f t="shared" si="358"/>
        <v>0</v>
      </c>
      <c r="E196" s="21">
        <f t="shared" si="358"/>
        <v>0</v>
      </c>
      <c r="F196" s="21">
        <f t="shared" si="358"/>
        <v>0</v>
      </c>
      <c r="G196" s="21">
        <f t="shared" si="358"/>
        <v>0</v>
      </c>
      <c r="H196" s="21">
        <f t="shared" si="358"/>
        <v>0</v>
      </c>
      <c r="I196" s="21">
        <f>30.6</f>
        <v>30.6</v>
      </c>
      <c r="J196" s="21">
        <f t="shared" ref="J196:M196" si="359">0</f>
        <v>0</v>
      </c>
      <c r="K196" s="21">
        <f t="shared" si="359"/>
        <v>0</v>
      </c>
      <c r="L196" s="21">
        <f t="shared" si="359"/>
        <v>0</v>
      </c>
      <c r="M196" s="21">
        <f t="shared" si="359"/>
        <v>0</v>
      </c>
      <c r="N196" s="21">
        <f>3.4</f>
        <v>3.4</v>
      </c>
      <c r="O196" s="21">
        <f>0</f>
        <v>0</v>
      </c>
    </row>
    <row r="197">
      <c r="B197" s="20">
        <v>46218.0</v>
      </c>
      <c r="C197" s="21">
        <f t="shared" ref="C197:H197" si="360">0</f>
        <v>0</v>
      </c>
      <c r="D197" s="21">
        <f t="shared" si="360"/>
        <v>0</v>
      </c>
      <c r="E197" s="21">
        <f t="shared" si="360"/>
        <v>0</v>
      </c>
      <c r="F197" s="21">
        <f t="shared" si="360"/>
        <v>0</v>
      </c>
      <c r="G197" s="21">
        <f t="shared" si="360"/>
        <v>0</v>
      </c>
      <c r="H197" s="21">
        <f t="shared" si="360"/>
        <v>0</v>
      </c>
      <c r="I197" s="21">
        <f>-5</f>
        <v>-5</v>
      </c>
      <c r="J197" s="21">
        <f t="shared" ref="J197:O197" si="361">0</f>
        <v>0</v>
      </c>
      <c r="K197" s="21">
        <f t="shared" si="361"/>
        <v>0</v>
      </c>
      <c r="L197" s="21">
        <f t="shared" si="361"/>
        <v>0</v>
      </c>
      <c r="M197" s="21">
        <f t="shared" si="361"/>
        <v>0</v>
      </c>
      <c r="N197" s="21">
        <f t="shared" si="361"/>
        <v>0</v>
      </c>
      <c r="O197" s="21">
        <f t="shared" si="361"/>
        <v>0</v>
      </c>
    </row>
    <row r="198">
      <c r="B198" s="20">
        <v>46218.0</v>
      </c>
      <c r="C198" s="21">
        <f t="shared" ref="C198:H198" si="362">0</f>
        <v>0</v>
      </c>
      <c r="D198" s="21">
        <f t="shared" si="362"/>
        <v>0</v>
      </c>
      <c r="E198" s="21">
        <f t="shared" si="362"/>
        <v>0</v>
      </c>
      <c r="F198" s="21">
        <f t="shared" si="362"/>
        <v>0</v>
      </c>
      <c r="G198" s="21">
        <f t="shared" si="362"/>
        <v>0</v>
      </c>
      <c r="H198" s="21">
        <f t="shared" si="362"/>
        <v>0</v>
      </c>
      <c r="I198" s="21">
        <f>27.55</f>
        <v>27.55</v>
      </c>
      <c r="J198" s="21">
        <f t="shared" ref="J198:L198" si="363">0</f>
        <v>0</v>
      </c>
      <c r="K198" s="21">
        <f t="shared" si="363"/>
        <v>0</v>
      </c>
      <c r="L198" s="21">
        <f t="shared" si="363"/>
        <v>0</v>
      </c>
      <c r="M198" s="21">
        <f>1.45</f>
        <v>1.45</v>
      </c>
      <c r="N198" s="21">
        <f t="shared" ref="N198:O198" si="364">0</f>
        <v>0</v>
      </c>
      <c r="O198" s="21">
        <f t="shared" si="364"/>
        <v>0</v>
      </c>
    </row>
    <row r="199">
      <c r="B199" s="20">
        <v>46218.0</v>
      </c>
      <c r="C199" s="21">
        <f t="shared" ref="C199:H199" si="365">0</f>
        <v>0</v>
      </c>
      <c r="D199" s="21">
        <f t="shared" si="365"/>
        <v>0</v>
      </c>
      <c r="E199" s="21">
        <f t="shared" si="365"/>
        <v>0</v>
      </c>
      <c r="F199" s="21">
        <f t="shared" si="365"/>
        <v>0</v>
      </c>
      <c r="G199" s="21">
        <f t="shared" si="365"/>
        <v>0</v>
      </c>
      <c r="H199" s="21">
        <f t="shared" si="365"/>
        <v>0</v>
      </c>
      <c r="I199" s="21">
        <f>29</f>
        <v>29</v>
      </c>
      <c r="J199" s="21">
        <f t="shared" ref="J199:O199" si="366">0</f>
        <v>0</v>
      </c>
      <c r="K199" s="21">
        <f t="shared" si="366"/>
        <v>0</v>
      </c>
      <c r="L199" s="21">
        <f t="shared" si="366"/>
        <v>0</v>
      </c>
      <c r="M199" s="21">
        <f t="shared" si="366"/>
        <v>0</v>
      </c>
      <c r="N199" s="21">
        <f t="shared" si="366"/>
        <v>0</v>
      </c>
      <c r="O199" s="21">
        <f t="shared" si="366"/>
        <v>0</v>
      </c>
    </row>
    <row r="200">
      <c r="B200" s="20">
        <v>46218.0</v>
      </c>
      <c r="C200" s="21">
        <f>15.5</f>
        <v>15.5</v>
      </c>
      <c r="D200" s="21">
        <f t="shared" ref="D200:H200" si="367">0</f>
        <v>0</v>
      </c>
      <c r="E200" s="21">
        <f t="shared" si="367"/>
        <v>0</v>
      </c>
      <c r="F200" s="21">
        <f t="shared" si="367"/>
        <v>0</v>
      </c>
      <c r="G200" s="21">
        <f t="shared" si="367"/>
        <v>0</v>
      </c>
      <c r="H200" s="21">
        <f t="shared" si="367"/>
        <v>0</v>
      </c>
      <c r="I200" s="21">
        <f>15.5</f>
        <v>15.5</v>
      </c>
      <c r="J200" s="21">
        <f t="shared" ref="J200:O200" si="368">0</f>
        <v>0</v>
      </c>
      <c r="K200" s="21">
        <f t="shared" si="368"/>
        <v>0</v>
      </c>
      <c r="L200" s="21">
        <f t="shared" si="368"/>
        <v>0</v>
      </c>
      <c r="M200" s="21">
        <f t="shared" si="368"/>
        <v>0</v>
      </c>
      <c r="N200" s="21">
        <f t="shared" si="368"/>
        <v>0</v>
      </c>
      <c r="O200" s="21">
        <f t="shared" si="368"/>
        <v>0</v>
      </c>
    </row>
    <row r="201">
      <c r="B201" s="20">
        <v>46218.0</v>
      </c>
      <c r="C201" s="21">
        <f t="shared" ref="C201:H201" si="369">0</f>
        <v>0</v>
      </c>
      <c r="D201" s="21">
        <f t="shared" si="369"/>
        <v>0</v>
      </c>
      <c r="E201" s="21">
        <f t="shared" si="369"/>
        <v>0</v>
      </c>
      <c r="F201" s="21">
        <f t="shared" si="369"/>
        <v>0</v>
      </c>
      <c r="G201" s="21">
        <f t="shared" si="369"/>
        <v>0</v>
      </c>
      <c r="H201" s="21">
        <f t="shared" si="369"/>
        <v>0</v>
      </c>
      <c r="I201" s="21">
        <f>34.5</f>
        <v>34.5</v>
      </c>
      <c r="J201" s="21">
        <f t="shared" ref="J201:M201" si="370">0</f>
        <v>0</v>
      </c>
      <c r="K201" s="21">
        <f t="shared" si="370"/>
        <v>0</v>
      </c>
      <c r="L201" s="21">
        <f t="shared" si="370"/>
        <v>0</v>
      </c>
      <c r="M201" s="21">
        <f t="shared" si="370"/>
        <v>0</v>
      </c>
      <c r="N201" s="21">
        <f>34.5</f>
        <v>34.5</v>
      </c>
      <c r="O201" s="21">
        <f>0</f>
        <v>0</v>
      </c>
    </row>
    <row r="202">
      <c r="B202" s="20">
        <v>46218.0</v>
      </c>
      <c r="C202" s="21">
        <f t="shared" ref="C202:E202" si="371">0</f>
        <v>0</v>
      </c>
      <c r="D202" s="21">
        <f t="shared" si="371"/>
        <v>0</v>
      </c>
      <c r="E202" s="21">
        <f t="shared" si="371"/>
        <v>0</v>
      </c>
      <c r="F202" s="21">
        <f>5.7</f>
        <v>5.7</v>
      </c>
      <c r="G202" s="21">
        <f t="shared" ref="G202:H202" si="372">0</f>
        <v>0</v>
      </c>
      <c r="H202" s="21">
        <f t="shared" si="372"/>
        <v>0</v>
      </c>
      <c r="I202" s="21">
        <f>5.7</f>
        <v>5.7</v>
      </c>
      <c r="J202" s="21">
        <f t="shared" ref="J202:L202" si="373">0</f>
        <v>0</v>
      </c>
      <c r="K202" s="21">
        <f t="shared" si="373"/>
        <v>0</v>
      </c>
      <c r="L202" s="21">
        <f t="shared" si="373"/>
        <v>0</v>
      </c>
      <c r="M202" s="21">
        <f>5.7</f>
        <v>5.7</v>
      </c>
      <c r="N202" s="21">
        <f>0</f>
        <v>0</v>
      </c>
      <c r="O202" s="21">
        <f>1.9</f>
        <v>1.9</v>
      </c>
    </row>
    <row r="203">
      <c r="B203" s="20">
        <v>46218.0</v>
      </c>
      <c r="C203" s="21">
        <f>10.4</f>
        <v>10.4</v>
      </c>
      <c r="D203" s="21">
        <f t="shared" ref="D203:H203" si="374">0</f>
        <v>0</v>
      </c>
      <c r="E203" s="21">
        <f t="shared" si="374"/>
        <v>0</v>
      </c>
      <c r="F203" s="21">
        <f t="shared" si="374"/>
        <v>0</v>
      </c>
      <c r="G203" s="21">
        <f t="shared" si="374"/>
        <v>0</v>
      </c>
      <c r="H203" s="21">
        <f t="shared" si="374"/>
        <v>0</v>
      </c>
      <c r="I203" s="21">
        <f>41.6</f>
        <v>41.6</v>
      </c>
      <c r="J203" s="21">
        <f t="shared" ref="J203:O203" si="375">0</f>
        <v>0</v>
      </c>
      <c r="K203" s="21">
        <f t="shared" si="375"/>
        <v>0</v>
      </c>
      <c r="L203" s="21">
        <f t="shared" si="375"/>
        <v>0</v>
      </c>
      <c r="M203" s="21">
        <f t="shared" si="375"/>
        <v>0</v>
      </c>
      <c r="N203" s="21">
        <f t="shared" si="375"/>
        <v>0</v>
      </c>
      <c r="O203" s="21">
        <f t="shared" si="375"/>
        <v>0</v>
      </c>
    </row>
    <row r="204">
      <c r="B204" s="20">
        <v>46218.0</v>
      </c>
      <c r="C204" s="21">
        <f>3.6</f>
        <v>3.6</v>
      </c>
      <c r="D204" s="21">
        <f t="shared" ref="D204:H204" si="376">0</f>
        <v>0</v>
      </c>
      <c r="E204" s="21">
        <f t="shared" si="376"/>
        <v>0</v>
      </c>
      <c r="F204" s="21">
        <f t="shared" si="376"/>
        <v>0</v>
      </c>
      <c r="G204" s="21">
        <f t="shared" si="376"/>
        <v>0</v>
      </c>
      <c r="H204" s="21">
        <f t="shared" si="376"/>
        <v>0</v>
      </c>
      <c r="I204" s="21">
        <f>12.6</f>
        <v>12.6</v>
      </c>
      <c r="J204" s="21">
        <f t="shared" ref="J204:L204" si="377">0</f>
        <v>0</v>
      </c>
      <c r="K204" s="21">
        <f t="shared" si="377"/>
        <v>0</v>
      </c>
      <c r="L204" s="21">
        <f t="shared" si="377"/>
        <v>0</v>
      </c>
      <c r="M204" s="21">
        <f>1.8</f>
        <v>1.8</v>
      </c>
      <c r="N204" s="21">
        <f t="shared" ref="N204:O204" si="378">0</f>
        <v>0</v>
      </c>
      <c r="O204" s="21">
        <f t="shared" si="378"/>
        <v>0</v>
      </c>
    </row>
    <row r="205">
      <c r="B205" s="20">
        <v>46218.0</v>
      </c>
      <c r="C205" s="21">
        <f>1.55</f>
        <v>1.55</v>
      </c>
      <c r="D205" s="21">
        <f t="shared" ref="D205:H205" si="379">0</f>
        <v>0</v>
      </c>
      <c r="E205" s="21">
        <f t="shared" si="379"/>
        <v>0</v>
      </c>
      <c r="F205" s="21">
        <f t="shared" si="379"/>
        <v>0</v>
      </c>
      <c r="G205" s="21">
        <f t="shared" si="379"/>
        <v>0</v>
      </c>
      <c r="H205" s="21">
        <f t="shared" si="379"/>
        <v>0</v>
      </c>
      <c r="I205" s="21">
        <f>29.45</f>
        <v>29.45</v>
      </c>
      <c r="J205" s="21">
        <f t="shared" ref="J205:O205" si="380">0</f>
        <v>0</v>
      </c>
      <c r="K205" s="21">
        <f t="shared" si="380"/>
        <v>0</v>
      </c>
      <c r="L205" s="21">
        <f t="shared" si="380"/>
        <v>0</v>
      </c>
      <c r="M205" s="21">
        <f t="shared" si="380"/>
        <v>0</v>
      </c>
      <c r="N205" s="21">
        <f t="shared" si="380"/>
        <v>0</v>
      </c>
      <c r="O205" s="21">
        <f t="shared" si="380"/>
        <v>0</v>
      </c>
    </row>
    <row r="206">
      <c r="B206" s="20">
        <v>46218.0</v>
      </c>
      <c r="C206" s="21">
        <f t="shared" ref="C206:E206" si="381">0</f>
        <v>0</v>
      </c>
      <c r="D206" s="21">
        <f t="shared" si="381"/>
        <v>0</v>
      </c>
      <c r="E206" s="21">
        <f t="shared" si="381"/>
        <v>0</v>
      </c>
      <c r="F206" s="21">
        <f>36</f>
        <v>36</v>
      </c>
      <c r="G206" s="21">
        <f t="shared" ref="G206:H206" si="382">0</f>
        <v>0</v>
      </c>
      <c r="H206" s="21">
        <f t="shared" si="382"/>
        <v>0</v>
      </c>
      <c r="I206" s="21">
        <f>24</f>
        <v>24</v>
      </c>
      <c r="J206" s="21">
        <f t="shared" ref="J206:O206" si="383">0</f>
        <v>0</v>
      </c>
      <c r="K206" s="21">
        <f t="shared" si="383"/>
        <v>0</v>
      </c>
      <c r="L206" s="21">
        <f t="shared" si="383"/>
        <v>0</v>
      </c>
      <c r="M206" s="21">
        <f t="shared" si="383"/>
        <v>0</v>
      </c>
      <c r="N206" s="21">
        <f t="shared" si="383"/>
        <v>0</v>
      </c>
      <c r="O206" s="21">
        <f t="shared" si="383"/>
        <v>0</v>
      </c>
    </row>
    <row r="207">
      <c r="B207" s="20">
        <v>46218.0</v>
      </c>
      <c r="C207" s="21">
        <f t="shared" ref="C207:G207" si="384">0</f>
        <v>0</v>
      </c>
      <c r="D207" s="21">
        <f t="shared" si="384"/>
        <v>0</v>
      </c>
      <c r="E207" s="21">
        <f t="shared" si="384"/>
        <v>0</v>
      </c>
      <c r="F207" s="21">
        <f t="shared" si="384"/>
        <v>0</v>
      </c>
      <c r="G207" s="21">
        <f t="shared" si="384"/>
        <v>0</v>
      </c>
      <c r="H207" s="21">
        <f>15.2</f>
        <v>15.2</v>
      </c>
      <c r="I207" s="21">
        <f>22.8</f>
        <v>22.8</v>
      </c>
      <c r="J207" s="21">
        <f t="shared" ref="J207:O207" si="385">0</f>
        <v>0</v>
      </c>
      <c r="K207" s="21">
        <f t="shared" si="385"/>
        <v>0</v>
      </c>
      <c r="L207" s="21">
        <f t="shared" si="385"/>
        <v>0</v>
      </c>
      <c r="M207" s="21">
        <f t="shared" si="385"/>
        <v>0</v>
      </c>
      <c r="N207" s="21">
        <f t="shared" si="385"/>
        <v>0</v>
      </c>
      <c r="O207" s="21">
        <f t="shared" si="385"/>
        <v>0</v>
      </c>
    </row>
    <row r="208">
      <c r="B208" s="20">
        <v>46218.0</v>
      </c>
      <c r="C208" s="21">
        <f>77</f>
        <v>77</v>
      </c>
      <c r="D208" s="21">
        <f t="shared" ref="D208:O208" si="386">0</f>
        <v>0</v>
      </c>
      <c r="E208" s="21">
        <f t="shared" si="386"/>
        <v>0</v>
      </c>
      <c r="F208" s="21">
        <f t="shared" si="386"/>
        <v>0</v>
      </c>
      <c r="G208" s="21">
        <f t="shared" si="386"/>
        <v>0</v>
      </c>
      <c r="H208" s="21">
        <f t="shared" si="386"/>
        <v>0</v>
      </c>
      <c r="I208" s="21">
        <f t="shared" si="386"/>
        <v>0</v>
      </c>
      <c r="J208" s="21">
        <f t="shared" si="386"/>
        <v>0</v>
      </c>
      <c r="K208" s="21">
        <f t="shared" si="386"/>
        <v>0</v>
      </c>
      <c r="L208" s="21">
        <f t="shared" si="386"/>
        <v>0</v>
      </c>
      <c r="M208" s="21">
        <f t="shared" si="386"/>
        <v>0</v>
      </c>
      <c r="N208" s="21">
        <f t="shared" si="386"/>
        <v>0</v>
      </c>
      <c r="O208" s="21">
        <f t="shared" si="386"/>
        <v>0</v>
      </c>
    </row>
    <row r="209">
      <c r="B209" s="20">
        <v>46219.0</v>
      </c>
      <c r="C209" s="21">
        <v>0.0</v>
      </c>
      <c r="D209" s="21">
        <v>0.0</v>
      </c>
      <c r="E209" s="21">
        <v>0.0</v>
      </c>
      <c r="F209" s="21">
        <v>0.0</v>
      </c>
      <c r="G209" s="21">
        <v>0.0</v>
      </c>
      <c r="H209" s="21">
        <v>0.0</v>
      </c>
      <c r="I209" s="21">
        <f>55</f>
        <v>55</v>
      </c>
      <c r="J209" s="21">
        <v>0.0</v>
      </c>
      <c r="K209" s="21">
        <v>0.0</v>
      </c>
      <c r="L209" s="21">
        <v>0.0</v>
      </c>
      <c r="M209" s="21">
        <v>0.0</v>
      </c>
      <c r="N209" s="21">
        <v>0.0</v>
      </c>
      <c r="O209" s="21">
        <v>0.0</v>
      </c>
    </row>
    <row r="210">
      <c r="B210" s="20">
        <v>46219.0</v>
      </c>
      <c r="C210" s="21">
        <f t="shared" ref="C210:J210" si="387">0</f>
        <v>0</v>
      </c>
      <c r="D210" s="21">
        <f t="shared" si="387"/>
        <v>0</v>
      </c>
      <c r="E210" s="21">
        <f t="shared" si="387"/>
        <v>0</v>
      </c>
      <c r="F210" s="21">
        <f t="shared" si="387"/>
        <v>0</v>
      </c>
      <c r="G210" s="21">
        <f t="shared" si="387"/>
        <v>0</v>
      </c>
      <c r="H210" s="21">
        <f t="shared" si="387"/>
        <v>0</v>
      </c>
      <c r="I210" s="21">
        <f t="shared" si="387"/>
        <v>0</v>
      </c>
      <c r="J210" s="21">
        <f t="shared" si="387"/>
        <v>0</v>
      </c>
      <c r="K210" s="21">
        <f>18</f>
        <v>18</v>
      </c>
      <c r="L210" s="21">
        <f t="shared" ref="L210:M210" si="388">0</f>
        <v>0</v>
      </c>
      <c r="M210" s="21">
        <f t="shared" si="388"/>
        <v>0</v>
      </c>
      <c r="N210" s="21">
        <f t="shared" ref="N210:O210" si="389">6</f>
        <v>6</v>
      </c>
      <c r="O210" s="21">
        <f t="shared" si="389"/>
        <v>6</v>
      </c>
    </row>
    <row r="211">
      <c r="B211" s="20">
        <v>46219.0</v>
      </c>
      <c r="C211" s="21">
        <f>15</f>
        <v>15</v>
      </c>
      <c r="D211" s="21">
        <f t="shared" ref="D211:L211" si="390">0</f>
        <v>0</v>
      </c>
      <c r="E211" s="21">
        <f t="shared" si="390"/>
        <v>0</v>
      </c>
      <c r="F211" s="21">
        <f t="shared" si="390"/>
        <v>0</v>
      </c>
      <c r="G211" s="21">
        <f t="shared" si="390"/>
        <v>0</v>
      </c>
      <c r="H211" s="21">
        <f t="shared" si="390"/>
        <v>0</v>
      </c>
      <c r="I211" s="21">
        <f t="shared" si="390"/>
        <v>0</v>
      </c>
      <c r="J211" s="21">
        <f t="shared" si="390"/>
        <v>0</v>
      </c>
      <c r="K211" s="21">
        <f t="shared" si="390"/>
        <v>0</v>
      </c>
      <c r="L211" s="21">
        <f t="shared" si="390"/>
        <v>0</v>
      </c>
      <c r="M211" s="21">
        <f>7.5</f>
        <v>7.5</v>
      </c>
      <c r="N211" s="21">
        <f>0</f>
        <v>0</v>
      </c>
      <c r="O211" s="21">
        <f>2.5</f>
        <v>2.5</v>
      </c>
    </row>
    <row r="212">
      <c r="B212" s="20">
        <v>46219.0</v>
      </c>
      <c r="C212" s="21">
        <f>25</f>
        <v>25</v>
      </c>
      <c r="D212" s="21">
        <f t="shared" ref="D212:H212" si="391">0</f>
        <v>0</v>
      </c>
      <c r="E212" s="21">
        <f t="shared" si="391"/>
        <v>0</v>
      </c>
      <c r="F212" s="21">
        <f t="shared" si="391"/>
        <v>0</v>
      </c>
      <c r="G212" s="21">
        <f t="shared" si="391"/>
        <v>0</v>
      </c>
      <c r="H212" s="21">
        <f t="shared" si="391"/>
        <v>0</v>
      </c>
      <c r="I212" s="21">
        <f>25</f>
        <v>25</v>
      </c>
      <c r="J212" s="21">
        <f t="shared" ref="J212:O212" si="392">0</f>
        <v>0</v>
      </c>
      <c r="K212" s="21">
        <f t="shared" si="392"/>
        <v>0</v>
      </c>
      <c r="L212" s="21">
        <f t="shared" si="392"/>
        <v>0</v>
      </c>
      <c r="M212" s="21">
        <f t="shared" si="392"/>
        <v>0</v>
      </c>
      <c r="N212" s="21">
        <f t="shared" si="392"/>
        <v>0</v>
      </c>
      <c r="O212" s="21">
        <f t="shared" si="392"/>
        <v>0</v>
      </c>
    </row>
    <row r="213">
      <c r="B213" s="20">
        <v>46219.0</v>
      </c>
      <c r="C213" s="21">
        <f>12.6</f>
        <v>12.6</v>
      </c>
      <c r="D213" s="21">
        <f t="shared" ref="D213:M213" si="393">0</f>
        <v>0</v>
      </c>
      <c r="E213" s="21">
        <f t="shared" si="393"/>
        <v>0</v>
      </c>
      <c r="F213" s="21">
        <f t="shared" si="393"/>
        <v>0</v>
      </c>
      <c r="G213" s="21">
        <f t="shared" si="393"/>
        <v>0</v>
      </c>
      <c r="H213" s="21">
        <f t="shared" si="393"/>
        <v>0</v>
      </c>
      <c r="I213" s="21">
        <f t="shared" si="393"/>
        <v>0</v>
      </c>
      <c r="J213" s="21">
        <f t="shared" si="393"/>
        <v>0</v>
      </c>
      <c r="K213" s="21">
        <f t="shared" si="393"/>
        <v>0</v>
      </c>
      <c r="L213" s="21">
        <f t="shared" si="393"/>
        <v>0</v>
      </c>
      <c r="M213" s="21">
        <f t="shared" si="393"/>
        <v>0</v>
      </c>
      <c r="N213" s="21">
        <f>50.4</f>
        <v>50.4</v>
      </c>
      <c r="O213" s="21">
        <f>0</f>
        <v>0</v>
      </c>
    </row>
    <row r="214">
      <c r="B214" s="20">
        <v>46219.0</v>
      </c>
      <c r="C214" s="21">
        <v>0.0</v>
      </c>
      <c r="D214" s="21">
        <v>0.0</v>
      </c>
      <c r="E214" s="21">
        <v>0.0</v>
      </c>
      <c r="F214" s="21">
        <v>0.0</v>
      </c>
      <c r="G214" s="21">
        <v>0.0</v>
      </c>
      <c r="H214" s="21">
        <v>0.0</v>
      </c>
      <c r="I214" s="21">
        <f>46</f>
        <v>46</v>
      </c>
      <c r="J214" s="21">
        <v>0.0</v>
      </c>
      <c r="K214" s="21">
        <v>0.0</v>
      </c>
      <c r="L214" s="21">
        <v>0.0</v>
      </c>
      <c r="M214" s="21">
        <v>0.0</v>
      </c>
      <c r="N214" s="21">
        <v>0.0</v>
      </c>
      <c r="O214" s="21">
        <v>0.0</v>
      </c>
    </row>
    <row r="215">
      <c r="B215" s="20">
        <v>46219.0</v>
      </c>
      <c r="C215" s="21">
        <f t="shared" ref="C215:E215" si="394">0</f>
        <v>0</v>
      </c>
      <c r="D215" s="21">
        <f t="shared" si="394"/>
        <v>0</v>
      </c>
      <c r="E215" s="21">
        <f t="shared" si="394"/>
        <v>0</v>
      </c>
      <c r="F215" s="21">
        <f>22.8</f>
        <v>22.8</v>
      </c>
      <c r="G215" s="21">
        <f t="shared" ref="G215:H215" si="395">0</f>
        <v>0</v>
      </c>
      <c r="H215" s="21">
        <f t="shared" si="395"/>
        <v>0</v>
      </c>
      <c r="I215" s="21">
        <f>7.6</f>
        <v>7.6</v>
      </c>
      <c r="J215" s="21">
        <f t="shared" ref="J215:N215" si="396">0</f>
        <v>0</v>
      </c>
      <c r="K215" s="21">
        <f t="shared" si="396"/>
        <v>0</v>
      </c>
      <c r="L215" s="21">
        <f t="shared" si="396"/>
        <v>0</v>
      </c>
      <c r="M215" s="21">
        <f t="shared" si="396"/>
        <v>0</v>
      </c>
      <c r="N215" s="21">
        <f t="shared" si="396"/>
        <v>0</v>
      </c>
      <c r="O215" s="21">
        <f>7.6</f>
        <v>7.6</v>
      </c>
    </row>
    <row r="216">
      <c r="B216" s="20">
        <v>46219.0</v>
      </c>
      <c r="C216" s="21">
        <f t="shared" ref="C216:E216" si="397">0</f>
        <v>0</v>
      </c>
      <c r="D216" s="21">
        <f t="shared" si="397"/>
        <v>0</v>
      </c>
      <c r="E216" s="21">
        <f t="shared" si="397"/>
        <v>0</v>
      </c>
      <c r="F216" s="21">
        <f>21</f>
        <v>21</v>
      </c>
      <c r="G216" s="21">
        <f>6.3</f>
        <v>6.3</v>
      </c>
      <c r="H216" s="21">
        <f t="shared" ref="H216:L216" si="398">0</f>
        <v>0</v>
      </c>
      <c r="I216" s="21">
        <f t="shared" si="398"/>
        <v>0</v>
      </c>
      <c r="J216" s="21">
        <f t="shared" si="398"/>
        <v>0</v>
      </c>
      <c r="K216" s="21">
        <f t="shared" si="398"/>
        <v>0</v>
      </c>
      <c r="L216" s="21">
        <f t="shared" si="398"/>
        <v>0</v>
      </c>
      <c r="M216" s="21">
        <f>6.3</f>
        <v>6.3</v>
      </c>
      <c r="N216" s="21">
        <f t="shared" ref="N216:N218" si="400">0</f>
        <v>0</v>
      </c>
      <c r="O216" s="21">
        <f>8.4</f>
        <v>8.4</v>
      </c>
    </row>
    <row r="217">
      <c r="B217" s="20">
        <v>46219.0</v>
      </c>
      <c r="C217" s="21">
        <f t="shared" ref="C217:L217" si="399">0</f>
        <v>0</v>
      </c>
      <c r="D217" s="21">
        <f t="shared" si="399"/>
        <v>0</v>
      </c>
      <c r="E217" s="21">
        <f t="shared" si="399"/>
        <v>0</v>
      </c>
      <c r="F217" s="21">
        <f t="shared" si="399"/>
        <v>0</v>
      </c>
      <c r="G217" s="21">
        <f t="shared" si="399"/>
        <v>0</v>
      </c>
      <c r="H217" s="21">
        <f t="shared" si="399"/>
        <v>0</v>
      </c>
      <c r="I217" s="21">
        <f t="shared" si="399"/>
        <v>0</v>
      </c>
      <c r="J217" s="21">
        <f t="shared" si="399"/>
        <v>0</v>
      </c>
      <c r="K217" s="21">
        <f t="shared" si="399"/>
        <v>0</v>
      </c>
      <c r="L217" s="21">
        <f t="shared" si="399"/>
        <v>0</v>
      </c>
      <c r="M217" s="21">
        <f>14.4</f>
        <v>14.4</v>
      </c>
      <c r="N217" s="21">
        <f t="shared" si="400"/>
        <v>0</v>
      </c>
      <c r="O217" s="21">
        <f>3.6</f>
        <v>3.6</v>
      </c>
    </row>
    <row r="218">
      <c r="B218" s="20">
        <v>46219.0</v>
      </c>
      <c r="C218" s="21">
        <f t="shared" ref="C218:E218" si="401">0</f>
        <v>0</v>
      </c>
      <c r="D218" s="21">
        <f t="shared" si="401"/>
        <v>0</v>
      </c>
      <c r="E218" s="21">
        <f t="shared" si="401"/>
        <v>0</v>
      </c>
      <c r="F218" s="21">
        <f>12</f>
        <v>12</v>
      </c>
      <c r="G218" s="21">
        <f>2</f>
        <v>2</v>
      </c>
      <c r="H218" s="21">
        <f t="shared" ref="H218:L218" si="402">0</f>
        <v>0</v>
      </c>
      <c r="I218" s="21">
        <f t="shared" si="402"/>
        <v>0</v>
      </c>
      <c r="J218" s="21">
        <f t="shared" si="402"/>
        <v>0</v>
      </c>
      <c r="K218" s="21">
        <f t="shared" si="402"/>
        <v>0</v>
      </c>
      <c r="L218" s="21">
        <f t="shared" si="402"/>
        <v>0</v>
      </c>
      <c r="M218" s="21">
        <f>6</f>
        <v>6</v>
      </c>
      <c r="N218" s="21">
        <f t="shared" si="400"/>
        <v>0</v>
      </c>
      <c r="O218" s="21">
        <f>0</f>
        <v>0</v>
      </c>
    </row>
    <row r="219">
      <c r="B219" s="20">
        <v>46220.0</v>
      </c>
      <c r="C219" s="21">
        <v>0.0</v>
      </c>
      <c r="D219" s="21">
        <v>0.0</v>
      </c>
      <c r="E219" s="21">
        <v>0.0</v>
      </c>
      <c r="F219" s="21">
        <v>0.0</v>
      </c>
      <c r="G219" s="21">
        <v>0.0</v>
      </c>
      <c r="H219" s="21">
        <v>0.0</v>
      </c>
      <c r="I219" s="21">
        <v>0.0</v>
      </c>
      <c r="J219" s="21">
        <v>0.0</v>
      </c>
      <c r="K219" s="21">
        <v>0.0</v>
      </c>
      <c r="L219" s="21">
        <v>0.0</v>
      </c>
      <c r="M219" s="21">
        <v>0.0</v>
      </c>
      <c r="N219" s="21">
        <v>0.0</v>
      </c>
      <c r="O219" s="21">
        <f>35</f>
        <v>35</v>
      </c>
    </row>
    <row r="220">
      <c r="B220" s="20">
        <v>46220.0</v>
      </c>
      <c r="C220" s="21">
        <f t="shared" ref="C220:F220" si="403">0</f>
        <v>0</v>
      </c>
      <c r="D220" s="21">
        <f t="shared" si="403"/>
        <v>0</v>
      </c>
      <c r="E220" s="21">
        <f t="shared" si="403"/>
        <v>0</v>
      </c>
      <c r="F220" s="21">
        <f t="shared" si="403"/>
        <v>0</v>
      </c>
      <c r="G220" s="21">
        <f>23</f>
        <v>23</v>
      </c>
      <c r="H220" s="21">
        <f t="shared" ref="H220:L220" si="404">0</f>
        <v>0</v>
      </c>
      <c r="I220" s="21">
        <f t="shared" si="404"/>
        <v>0</v>
      </c>
      <c r="J220" s="21">
        <f t="shared" si="404"/>
        <v>0</v>
      </c>
      <c r="K220" s="21">
        <f t="shared" si="404"/>
        <v>0</v>
      </c>
      <c r="L220" s="21">
        <f t="shared" si="404"/>
        <v>0</v>
      </c>
      <c r="M220" s="21">
        <f>23</f>
        <v>23</v>
      </c>
      <c r="N220" s="21">
        <f t="shared" ref="N220:O220" si="405">0</f>
        <v>0</v>
      </c>
      <c r="O220" s="21">
        <f t="shared" si="405"/>
        <v>0</v>
      </c>
    </row>
    <row r="221">
      <c r="B221" s="20">
        <v>46220.0</v>
      </c>
      <c r="C221" s="21">
        <f>5</f>
        <v>5</v>
      </c>
      <c r="D221" s="21">
        <f t="shared" ref="D221:F221" si="406">0</f>
        <v>0</v>
      </c>
      <c r="E221" s="21">
        <f t="shared" si="406"/>
        <v>0</v>
      </c>
      <c r="F221" s="21">
        <f t="shared" si="406"/>
        <v>0</v>
      </c>
      <c r="G221" s="21">
        <f>15</f>
        <v>15</v>
      </c>
      <c r="H221" s="21">
        <f t="shared" ref="H221:N221" si="407">0</f>
        <v>0</v>
      </c>
      <c r="I221" s="21">
        <f t="shared" si="407"/>
        <v>0</v>
      </c>
      <c r="J221" s="21">
        <f t="shared" si="407"/>
        <v>0</v>
      </c>
      <c r="K221" s="21">
        <f t="shared" si="407"/>
        <v>0</v>
      </c>
      <c r="L221" s="21">
        <f t="shared" si="407"/>
        <v>0</v>
      </c>
      <c r="M221" s="21">
        <f t="shared" si="407"/>
        <v>0</v>
      </c>
      <c r="N221" s="21">
        <f t="shared" si="407"/>
        <v>0</v>
      </c>
      <c r="O221" s="21">
        <f>5</f>
        <v>5</v>
      </c>
    </row>
    <row r="222">
      <c r="B222" s="20">
        <v>46220.0</v>
      </c>
      <c r="C222" s="21">
        <f>81.6</f>
        <v>81.6</v>
      </c>
      <c r="D222" s="21">
        <f t="shared" ref="D222:H222" si="408">0</f>
        <v>0</v>
      </c>
      <c r="E222" s="21">
        <f t="shared" si="408"/>
        <v>0</v>
      </c>
      <c r="F222" s="21">
        <f t="shared" si="408"/>
        <v>0</v>
      </c>
      <c r="G222" s="21">
        <f t="shared" si="408"/>
        <v>0</v>
      </c>
      <c r="H222" s="21">
        <f t="shared" si="408"/>
        <v>0</v>
      </c>
      <c r="I222" s="21">
        <f>20.4</f>
        <v>20.4</v>
      </c>
      <c r="J222" s="21">
        <f t="shared" ref="J222:O222" si="409">0</f>
        <v>0</v>
      </c>
      <c r="K222" s="21">
        <f t="shared" si="409"/>
        <v>0</v>
      </c>
      <c r="L222" s="21">
        <f t="shared" si="409"/>
        <v>0</v>
      </c>
      <c r="M222" s="21">
        <f t="shared" si="409"/>
        <v>0</v>
      </c>
      <c r="N222" s="21">
        <f t="shared" si="409"/>
        <v>0</v>
      </c>
      <c r="O222" s="21">
        <f t="shared" si="409"/>
        <v>0</v>
      </c>
    </row>
    <row r="223">
      <c r="B223" s="20">
        <v>46220.0</v>
      </c>
      <c r="C223" s="21">
        <f>21.6</f>
        <v>21.6</v>
      </c>
      <c r="D223" s="21">
        <f t="shared" ref="D223:H223" si="410">0</f>
        <v>0</v>
      </c>
      <c r="E223" s="21">
        <f t="shared" si="410"/>
        <v>0</v>
      </c>
      <c r="F223" s="21">
        <f t="shared" si="410"/>
        <v>0</v>
      </c>
      <c r="G223" s="21">
        <f t="shared" si="410"/>
        <v>0</v>
      </c>
      <c r="H223" s="21">
        <f t="shared" si="410"/>
        <v>0</v>
      </c>
      <c r="I223" s="21">
        <f>32.4</f>
        <v>32.4</v>
      </c>
      <c r="J223" s="21">
        <f t="shared" ref="J223:O223" si="411">0</f>
        <v>0</v>
      </c>
      <c r="K223" s="21">
        <f t="shared" si="411"/>
        <v>0</v>
      </c>
      <c r="L223" s="21">
        <f t="shared" si="411"/>
        <v>0</v>
      </c>
      <c r="M223" s="21">
        <f t="shared" si="411"/>
        <v>0</v>
      </c>
      <c r="N223" s="21">
        <f t="shared" si="411"/>
        <v>0</v>
      </c>
      <c r="O223" s="21">
        <f t="shared" si="411"/>
        <v>0</v>
      </c>
    </row>
    <row r="224">
      <c r="B224" s="20">
        <v>46220.0</v>
      </c>
      <c r="C224" s="21">
        <f>15</f>
        <v>15</v>
      </c>
      <c r="D224" s="21">
        <f t="shared" ref="D224:H224" si="412">0</f>
        <v>0</v>
      </c>
      <c r="E224" s="21">
        <f t="shared" si="412"/>
        <v>0</v>
      </c>
      <c r="F224" s="21">
        <f t="shared" si="412"/>
        <v>0</v>
      </c>
      <c r="G224" s="21">
        <f t="shared" si="412"/>
        <v>0</v>
      </c>
      <c r="H224" s="21">
        <f t="shared" si="412"/>
        <v>0</v>
      </c>
      <c r="I224" s="21">
        <f>15</f>
        <v>15</v>
      </c>
      <c r="J224" s="21">
        <f t="shared" ref="J224:L224" si="413">0</f>
        <v>0</v>
      </c>
      <c r="K224" s="21">
        <f t="shared" si="413"/>
        <v>0</v>
      </c>
      <c r="L224" s="21">
        <f t="shared" si="413"/>
        <v>0</v>
      </c>
      <c r="M224" s="21">
        <f>15</f>
        <v>15</v>
      </c>
      <c r="N224" s="21">
        <f t="shared" ref="N224:N225" si="415">0</f>
        <v>0</v>
      </c>
      <c r="O224" s="21">
        <f>5</f>
        <v>5</v>
      </c>
    </row>
    <row r="225">
      <c r="B225" s="20">
        <v>46220.0</v>
      </c>
      <c r="C225" s="21">
        <f>0</f>
        <v>0</v>
      </c>
      <c r="D225" s="21">
        <f>10.5</f>
        <v>10.5</v>
      </c>
      <c r="E225" s="21">
        <f t="shared" ref="E225:L225" si="414">0</f>
        <v>0</v>
      </c>
      <c r="F225" s="21">
        <f t="shared" si="414"/>
        <v>0</v>
      </c>
      <c r="G225" s="21">
        <f t="shared" si="414"/>
        <v>0</v>
      </c>
      <c r="H225" s="21">
        <f t="shared" si="414"/>
        <v>0</v>
      </c>
      <c r="I225" s="21">
        <f t="shared" si="414"/>
        <v>0</v>
      </c>
      <c r="J225" s="21">
        <f t="shared" si="414"/>
        <v>0</v>
      </c>
      <c r="K225" s="21">
        <f t="shared" si="414"/>
        <v>0</v>
      </c>
      <c r="L225" s="21">
        <f t="shared" si="414"/>
        <v>0</v>
      </c>
      <c r="M225" s="21">
        <f>4.5</f>
        <v>4.5</v>
      </c>
      <c r="N225" s="21">
        <f t="shared" si="415"/>
        <v>0</v>
      </c>
      <c r="O225" s="21">
        <f>0</f>
        <v>0</v>
      </c>
    </row>
    <row r="226">
      <c r="B226" s="20">
        <v>46220.0</v>
      </c>
      <c r="C226" s="21">
        <f>31</f>
        <v>31</v>
      </c>
      <c r="D226" s="21">
        <f t="shared" ref="D226:O226" si="416">0</f>
        <v>0</v>
      </c>
      <c r="E226" s="21">
        <f t="shared" si="416"/>
        <v>0</v>
      </c>
      <c r="F226" s="21">
        <f t="shared" si="416"/>
        <v>0</v>
      </c>
      <c r="G226" s="21">
        <f t="shared" si="416"/>
        <v>0</v>
      </c>
      <c r="H226" s="21">
        <f t="shared" si="416"/>
        <v>0</v>
      </c>
      <c r="I226" s="21">
        <f t="shared" si="416"/>
        <v>0</v>
      </c>
      <c r="J226" s="21">
        <f t="shared" si="416"/>
        <v>0</v>
      </c>
      <c r="K226" s="21">
        <f t="shared" si="416"/>
        <v>0</v>
      </c>
      <c r="L226" s="21">
        <f t="shared" si="416"/>
        <v>0</v>
      </c>
      <c r="M226" s="21">
        <f t="shared" si="416"/>
        <v>0</v>
      </c>
      <c r="N226" s="21">
        <f t="shared" si="416"/>
        <v>0</v>
      </c>
      <c r="O226" s="21">
        <f t="shared" si="416"/>
        <v>0</v>
      </c>
    </row>
    <row r="227">
      <c r="B227" s="20">
        <v>46220.0</v>
      </c>
      <c r="C227" s="21">
        <f t="shared" ref="C227:D227" si="417">6.2</f>
        <v>6.2</v>
      </c>
      <c r="D227" s="21">
        <f t="shared" si="417"/>
        <v>6.2</v>
      </c>
      <c r="E227" s="21">
        <f t="shared" ref="E227:H227" si="418">0</f>
        <v>0</v>
      </c>
      <c r="F227" s="21">
        <f t="shared" si="418"/>
        <v>0</v>
      </c>
      <c r="G227" s="21">
        <f t="shared" si="418"/>
        <v>0</v>
      </c>
      <c r="H227" s="21">
        <f t="shared" si="418"/>
        <v>0</v>
      </c>
      <c r="I227" s="21">
        <f>49.6</f>
        <v>49.6</v>
      </c>
      <c r="J227" s="21">
        <f t="shared" ref="J227:O227" si="419">0</f>
        <v>0</v>
      </c>
      <c r="K227" s="21">
        <f t="shared" si="419"/>
        <v>0</v>
      </c>
      <c r="L227" s="21">
        <f t="shared" si="419"/>
        <v>0</v>
      </c>
      <c r="M227" s="21">
        <f t="shared" si="419"/>
        <v>0</v>
      </c>
      <c r="N227" s="21">
        <f t="shared" si="419"/>
        <v>0</v>
      </c>
      <c r="O227" s="21">
        <f t="shared" si="419"/>
        <v>0</v>
      </c>
    </row>
    <row r="228">
      <c r="B228" s="20">
        <v>46220.0</v>
      </c>
      <c r="C228" s="21">
        <f>108</f>
        <v>108</v>
      </c>
      <c r="D228" s="21">
        <f>12</f>
        <v>12</v>
      </c>
      <c r="E228" s="21">
        <f t="shared" ref="E228:O228" si="420">0</f>
        <v>0</v>
      </c>
      <c r="F228" s="21">
        <f t="shared" si="420"/>
        <v>0</v>
      </c>
      <c r="G228" s="21">
        <f t="shared" si="420"/>
        <v>0</v>
      </c>
      <c r="H228" s="21">
        <f t="shared" si="420"/>
        <v>0</v>
      </c>
      <c r="I228" s="21">
        <f t="shared" si="420"/>
        <v>0</v>
      </c>
      <c r="J228" s="21">
        <f t="shared" si="420"/>
        <v>0</v>
      </c>
      <c r="K228" s="21">
        <f t="shared" si="420"/>
        <v>0</v>
      </c>
      <c r="L228" s="21">
        <f t="shared" si="420"/>
        <v>0</v>
      </c>
      <c r="M228" s="21">
        <f t="shared" si="420"/>
        <v>0</v>
      </c>
      <c r="N228" s="21">
        <f t="shared" si="420"/>
        <v>0</v>
      </c>
      <c r="O228" s="21">
        <f t="shared" si="420"/>
        <v>0</v>
      </c>
    </row>
    <row r="229">
      <c r="B229" s="20">
        <v>46220.0</v>
      </c>
      <c r="C229" s="21">
        <f t="shared" ref="C229:L229" si="421">0</f>
        <v>0</v>
      </c>
      <c r="D229" s="21">
        <f t="shared" si="421"/>
        <v>0</v>
      </c>
      <c r="E229" s="21">
        <f t="shared" si="421"/>
        <v>0</v>
      </c>
      <c r="F229" s="21">
        <f t="shared" si="421"/>
        <v>0</v>
      </c>
      <c r="G229" s="21">
        <f t="shared" si="421"/>
        <v>0</v>
      </c>
      <c r="H229" s="21">
        <f t="shared" si="421"/>
        <v>0</v>
      </c>
      <c r="I229" s="21">
        <f t="shared" si="421"/>
        <v>0</v>
      </c>
      <c r="J229" s="21">
        <f t="shared" si="421"/>
        <v>0</v>
      </c>
      <c r="K229" s="21">
        <f t="shared" si="421"/>
        <v>0</v>
      </c>
      <c r="L229" s="21">
        <f t="shared" si="421"/>
        <v>0</v>
      </c>
      <c r="M229" s="21">
        <f>15</f>
        <v>15</v>
      </c>
      <c r="N229" s="21">
        <f t="shared" ref="N229:O229" si="422">0</f>
        <v>0</v>
      </c>
      <c r="O229" s="21">
        <f t="shared" si="422"/>
        <v>0</v>
      </c>
    </row>
    <row r="230">
      <c r="B230" s="20">
        <v>46220.0</v>
      </c>
      <c r="C230" s="21">
        <f>8.5</f>
        <v>8.5</v>
      </c>
      <c r="D230" s="21">
        <f t="shared" ref="D230:L230" si="423">0</f>
        <v>0</v>
      </c>
      <c r="E230" s="21">
        <f t="shared" si="423"/>
        <v>0</v>
      </c>
      <c r="F230" s="21">
        <f t="shared" si="423"/>
        <v>0</v>
      </c>
      <c r="G230" s="21">
        <f t="shared" si="423"/>
        <v>0</v>
      </c>
      <c r="H230" s="21">
        <f t="shared" si="423"/>
        <v>0</v>
      </c>
      <c r="I230" s="21">
        <f t="shared" si="423"/>
        <v>0</v>
      </c>
      <c r="J230" s="21">
        <f t="shared" si="423"/>
        <v>0</v>
      </c>
      <c r="K230" s="21">
        <f t="shared" si="423"/>
        <v>0</v>
      </c>
      <c r="L230" s="21">
        <f t="shared" si="423"/>
        <v>0</v>
      </c>
      <c r="M230" s="21">
        <f>8.5</f>
        <v>8.5</v>
      </c>
      <c r="N230" s="21">
        <f t="shared" ref="N230:O230" si="424">0</f>
        <v>0</v>
      </c>
      <c r="O230" s="21">
        <f t="shared" si="424"/>
        <v>0</v>
      </c>
    </row>
    <row r="231">
      <c r="B231" s="20">
        <v>46220.0</v>
      </c>
      <c r="C231" s="21">
        <f>13.5</f>
        <v>13.5</v>
      </c>
      <c r="D231" s="21">
        <f t="shared" ref="D231:F231" si="425">0</f>
        <v>0</v>
      </c>
      <c r="E231" s="21">
        <f t="shared" si="425"/>
        <v>0</v>
      </c>
      <c r="F231" s="21">
        <f t="shared" si="425"/>
        <v>0</v>
      </c>
      <c r="G231" s="21">
        <f>2.7</f>
        <v>2.7</v>
      </c>
      <c r="H231" s="21">
        <f t="shared" ref="H231:H233" si="428">0</f>
        <v>0</v>
      </c>
      <c r="I231" s="21">
        <f>10.8</f>
        <v>10.8</v>
      </c>
      <c r="J231" s="21">
        <f t="shared" ref="J231:O231" si="426">0</f>
        <v>0</v>
      </c>
      <c r="K231" s="21">
        <f t="shared" si="426"/>
        <v>0</v>
      </c>
      <c r="L231" s="21">
        <f t="shared" si="426"/>
        <v>0</v>
      </c>
      <c r="M231" s="21">
        <f t="shared" si="426"/>
        <v>0</v>
      </c>
      <c r="N231" s="21">
        <f t="shared" si="426"/>
        <v>0</v>
      </c>
      <c r="O231" s="21">
        <f t="shared" si="426"/>
        <v>0</v>
      </c>
    </row>
    <row r="232">
      <c r="B232" s="20">
        <v>46220.0</v>
      </c>
      <c r="C232" s="21">
        <f>12.9</f>
        <v>12.9</v>
      </c>
      <c r="D232" s="21">
        <f t="shared" ref="D232:F232" si="427">0</f>
        <v>0</v>
      </c>
      <c r="E232" s="21">
        <f t="shared" si="427"/>
        <v>0</v>
      </c>
      <c r="F232" s="21">
        <f t="shared" si="427"/>
        <v>0</v>
      </c>
      <c r="G232" s="21">
        <f>12.9</f>
        <v>12.9</v>
      </c>
      <c r="H232" s="21">
        <f t="shared" si="428"/>
        <v>0</v>
      </c>
      <c r="I232" s="21">
        <f t="shared" ref="I232:L232" si="429">0</f>
        <v>0</v>
      </c>
      <c r="J232" s="21">
        <f t="shared" si="429"/>
        <v>0</v>
      </c>
      <c r="K232" s="21">
        <f t="shared" si="429"/>
        <v>0</v>
      </c>
      <c r="L232" s="21">
        <f t="shared" si="429"/>
        <v>0</v>
      </c>
      <c r="M232" s="21">
        <f>17.2</f>
        <v>17.2</v>
      </c>
      <c r="N232" s="21">
        <f t="shared" ref="N232:O232" si="430">0</f>
        <v>0</v>
      </c>
      <c r="O232" s="21">
        <f t="shared" si="430"/>
        <v>0</v>
      </c>
    </row>
    <row r="233">
      <c r="B233" s="20">
        <v>46220.0</v>
      </c>
      <c r="C233" s="21">
        <f t="shared" ref="C233:F233" si="431">0</f>
        <v>0</v>
      </c>
      <c r="D233" s="21">
        <f t="shared" si="431"/>
        <v>0</v>
      </c>
      <c r="E233" s="21">
        <f t="shared" si="431"/>
        <v>0</v>
      </c>
      <c r="F233" s="21">
        <f t="shared" si="431"/>
        <v>0</v>
      </c>
      <c r="G233" s="21">
        <f>6.6</f>
        <v>6.6</v>
      </c>
      <c r="H233" s="21">
        <f t="shared" si="428"/>
        <v>0</v>
      </c>
      <c r="I233" s="21">
        <f>26.4</f>
        <v>26.4</v>
      </c>
      <c r="J233" s="21">
        <f t="shared" ref="J233:O233" si="432">0</f>
        <v>0</v>
      </c>
      <c r="K233" s="21">
        <f t="shared" si="432"/>
        <v>0</v>
      </c>
      <c r="L233" s="21">
        <f t="shared" si="432"/>
        <v>0</v>
      </c>
      <c r="M233" s="21">
        <f t="shared" si="432"/>
        <v>0</v>
      </c>
      <c r="N233" s="21">
        <f t="shared" si="432"/>
        <v>0</v>
      </c>
      <c r="O233" s="21">
        <f t="shared" si="432"/>
        <v>0</v>
      </c>
    </row>
    <row r="234">
      <c r="B234" s="20">
        <v>46220.0</v>
      </c>
      <c r="C234" s="21">
        <v>0.0</v>
      </c>
      <c r="D234" s="21">
        <v>0.0</v>
      </c>
      <c r="E234" s="21">
        <v>0.0</v>
      </c>
      <c r="F234" s="21">
        <v>0.0</v>
      </c>
      <c r="G234" s="21">
        <v>0.0</v>
      </c>
      <c r="H234" s="21">
        <v>0.0</v>
      </c>
      <c r="I234" s="21">
        <v>0.0</v>
      </c>
      <c r="J234" s="21">
        <v>0.0</v>
      </c>
      <c r="K234" s="21">
        <v>0.0</v>
      </c>
      <c r="L234" s="21">
        <v>0.0</v>
      </c>
      <c r="M234" s="21">
        <v>0.0</v>
      </c>
      <c r="N234" s="21">
        <v>0.0</v>
      </c>
      <c r="O234" s="21">
        <f>25</f>
        <v>25</v>
      </c>
    </row>
    <row r="235">
      <c r="B235" s="20">
        <v>46220.0</v>
      </c>
      <c r="C235" s="21">
        <f t="shared" ref="C235:F235" si="433">0</f>
        <v>0</v>
      </c>
      <c r="D235" s="21">
        <f t="shared" si="433"/>
        <v>0</v>
      </c>
      <c r="E235" s="21">
        <f t="shared" si="433"/>
        <v>0</v>
      </c>
      <c r="F235" s="21">
        <f t="shared" si="433"/>
        <v>0</v>
      </c>
      <c r="G235" s="21">
        <f>3.2</f>
        <v>3.2</v>
      </c>
      <c r="H235" s="21">
        <f>0</f>
        <v>0</v>
      </c>
      <c r="I235" s="21">
        <f>4.8</f>
        <v>4.8</v>
      </c>
      <c r="J235" s="21">
        <f t="shared" ref="J235:O235" si="434">0</f>
        <v>0</v>
      </c>
      <c r="K235" s="21">
        <f t="shared" si="434"/>
        <v>0</v>
      </c>
      <c r="L235" s="21">
        <f t="shared" si="434"/>
        <v>0</v>
      </c>
      <c r="M235" s="21">
        <f t="shared" si="434"/>
        <v>0</v>
      </c>
      <c r="N235" s="21">
        <f t="shared" si="434"/>
        <v>0</v>
      </c>
      <c r="O235" s="21">
        <f t="shared" si="434"/>
        <v>0</v>
      </c>
    </row>
    <row r="236">
      <c r="B236" s="20">
        <v>46221.0</v>
      </c>
      <c r="C236" s="21">
        <f>24</f>
        <v>24</v>
      </c>
      <c r="D236" s="21">
        <f t="shared" ref="D236:O236" si="435">0</f>
        <v>0</v>
      </c>
      <c r="E236" s="21">
        <f t="shared" si="435"/>
        <v>0</v>
      </c>
      <c r="F236" s="21">
        <f t="shared" si="435"/>
        <v>0</v>
      </c>
      <c r="G236" s="21">
        <f t="shared" si="435"/>
        <v>0</v>
      </c>
      <c r="H236" s="21">
        <f t="shared" si="435"/>
        <v>0</v>
      </c>
      <c r="I236" s="21">
        <f t="shared" si="435"/>
        <v>0</v>
      </c>
      <c r="J236" s="21">
        <f t="shared" si="435"/>
        <v>0</v>
      </c>
      <c r="K236" s="21">
        <f t="shared" si="435"/>
        <v>0</v>
      </c>
      <c r="L236" s="21">
        <f t="shared" si="435"/>
        <v>0</v>
      </c>
      <c r="M236" s="21">
        <f t="shared" si="435"/>
        <v>0</v>
      </c>
      <c r="N236" s="21">
        <f t="shared" si="435"/>
        <v>0</v>
      </c>
      <c r="O236" s="21">
        <f t="shared" si="435"/>
        <v>0</v>
      </c>
    </row>
    <row r="237">
      <c r="B237" s="20">
        <v>46221.0</v>
      </c>
      <c r="C237" s="21">
        <f>186</f>
        <v>186</v>
      </c>
      <c r="D237" s="21">
        <f t="shared" ref="D237:O237" si="436">0</f>
        <v>0</v>
      </c>
      <c r="E237" s="21">
        <f t="shared" si="436"/>
        <v>0</v>
      </c>
      <c r="F237" s="21">
        <f t="shared" si="436"/>
        <v>0</v>
      </c>
      <c r="G237" s="21">
        <f t="shared" si="436"/>
        <v>0</v>
      </c>
      <c r="H237" s="21">
        <f t="shared" si="436"/>
        <v>0</v>
      </c>
      <c r="I237" s="21">
        <f t="shared" si="436"/>
        <v>0</v>
      </c>
      <c r="J237" s="21">
        <f t="shared" si="436"/>
        <v>0</v>
      </c>
      <c r="K237" s="21">
        <f t="shared" si="436"/>
        <v>0</v>
      </c>
      <c r="L237" s="21">
        <f t="shared" si="436"/>
        <v>0</v>
      </c>
      <c r="M237" s="21">
        <f t="shared" si="436"/>
        <v>0</v>
      </c>
      <c r="N237" s="21">
        <f t="shared" si="436"/>
        <v>0</v>
      </c>
      <c r="O237" s="21">
        <f t="shared" si="436"/>
        <v>0</v>
      </c>
    </row>
    <row r="238">
      <c r="B238" s="20">
        <v>46221.0</v>
      </c>
      <c r="C238" s="21">
        <f>268</f>
        <v>268</v>
      </c>
      <c r="D238" s="21">
        <f t="shared" ref="D238:O238" si="437">0</f>
        <v>0</v>
      </c>
      <c r="E238" s="21">
        <f t="shared" si="437"/>
        <v>0</v>
      </c>
      <c r="F238" s="21">
        <f t="shared" si="437"/>
        <v>0</v>
      </c>
      <c r="G238" s="21">
        <f t="shared" si="437"/>
        <v>0</v>
      </c>
      <c r="H238" s="21">
        <f t="shared" si="437"/>
        <v>0</v>
      </c>
      <c r="I238" s="21">
        <f t="shared" si="437"/>
        <v>0</v>
      </c>
      <c r="J238" s="21">
        <f t="shared" si="437"/>
        <v>0</v>
      </c>
      <c r="K238" s="21">
        <f t="shared" si="437"/>
        <v>0</v>
      </c>
      <c r="L238" s="21">
        <f t="shared" si="437"/>
        <v>0</v>
      </c>
      <c r="M238" s="21">
        <f t="shared" si="437"/>
        <v>0</v>
      </c>
      <c r="N238" s="21">
        <f t="shared" si="437"/>
        <v>0</v>
      </c>
      <c r="O238" s="21">
        <f t="shared" si="437"/>
        <v>0</v>
      </c>
    </row>
    <row r="239">
      <c r="B239" s="20">
        <v>46221.0</v>
      </c>
      <c r="C239" s="21">
        <f t="shared" ref="C239:L239" si="438">0</f>
        <v>0</v>
      </c>
      <c r="D239" s="21">
        <f t="shared" si="438"/>
        <v>0</v>
      </c>
      <c r="E239" s="21">
        <f t="shared" si="438"/>
        <v>0</v>
      </c>
      <c r="F239" s="21">
        <f t="shared" si="438"/>
        <v>0</v>
      </c>
      <c r="G239" s="21">
        <f t="shared" si="438"/>
        <v>0</v>
      </c>
      <c r="H239" s="21">
        <f t="shared" si="438"/>
        <v>0</v>
      </c>
      <c r="I239" s="21">
        <f t="shared" si="438"/>
        <v>0</v>
      </c>
      <c r="J239" s="21">
        <f t="shared" si="438"/>
        <v>0</v>
      </c>
      <c r="K239" s="21">
        <f t="shared" si="438"/>
        <v>0</v>
      </c>
      <c r="L239" s="21">
        <f t="shared" si="438"/>
        <v>0</v>
      </c>
      <c r="M239" s="21">
        <f>94.8</f>
        <v>94.8</v>
      </c>
      <c r="N239" s="21">
        <f>0</f>
        <v>0</v>
      </c>
      <c r="O239" s="21">
        <f>142.2</f>
        <v>142.2</v>
      </c>
    </row>
    <row r="240">
      <c r="B240" s="20">
        <v>46221.0</v>
      </c>
      <c r="C240" s="21">
        <f>29.1</f>
        <v>29.1</v>
      </c>
      <c r="D240" s="21">
        <f t="shared" ref="D240:F240" si="439">0</f>
        <v>0</v>
      </c>
      <c r="E240" s="21">
        <f t="shared" si="439"/>
        <v>0</v>
      </c>
      <c r="F240" s="21">
        <f t="shared" si="439"/>
        <v>0</v>
      </c>
      <c r="G240" s="21">
        <f>29.1</f>
        <v>29.1</v>
      </c>
      <c r="H240" s="21">
        <f t="shared" ref="H240:N240" si="440">0</f>
        <v>0</v>
      </c>
      <c r="I240" s="21">
        <f t="shared" si="440"/>
        <v>0</v>
      </c>
      <c r="J240" s="21">
        <f t="shared" si="440"/>
        <v>0</v>
      </c>
      <c r="K240" s="21">
        <f t="shared" si="440"/>
        <v>0</v>
      </c>
      <c r="L240" s="21">
        <f t="shared" si="440"/>
        <v>0</v>
      </c>
      <c r="M240" s="21">
        <f t="shared" si="440"/>
        <v>0</v>
      </c>
      <c r="N240" s="21">
        <f t="shared" si="440"/>
        <v>0</v>
      </c>
      <c r="O240" s="21">
        <f>38.8</f>
        <v>38.8</v>
      </c>
    </row>
    <row r="241">
      <c r="B241" s="20">
        <v>46221.0</v>
      </c>
      <c r="C241" s="21">
        <f t="shared" ref="C241:L241" si="441">0</f>
        <v>0</v>
      </c>
      <c r="D241" s="21">
        <f t="shared" si="441"/>
        <v>0</v>
      </c>
      <c r="E241" s="21">
        <f t="shared" si="441"/>
        <v>0</v>
      </c>
      <c r="F241" s="21">
        <f t="shared" si="441"/>
        <v>0</v>
      </c>
      <c r="G241" s="21">
        <f t="shared" si="441"/>
        <v>0</v>
      </c>
      <c r="H241" s="21">
        <f t="shared" si="441"/>
        <v>0</v>
      </c>
      <c r="I241" s="21">
        <f t="shared" si="441"/>
        <v>0</v>
      </c>
      <c r="J241" s="21">
        <f t="shared" si="441"/>
        <v>0</v>
      </c>
      <c r="K241" s="21">
        <f t="shared" si="441"/>
        <v>0</v>
      </c>
      <c r="L241" s="21">
        <f t="shared" si="441"/>
        <v>0</v>
      </c>
      <c r="M241" s="21">
        <f>93</f>
        <v>93</v>
      </c>
      <c r="N241" s="21">
        <f t="shared" ref="N241:O241" si="442">0</f>
        <v>0</v>
      </c>
      <c r="O241" s="21">
        <f t="shared" si="442"/>
        <v>0</v>
      </c>
    </row>
    <row r="242">
      <c r="B242" s="20">
        <v>46221.0</v>
      </c>
      <c r="C242" s="21">
        <f>34</f>
        <v>34</v>
      </c>
      <c r="D242" s="21">
        <f t="shared" ref="D242:O242" si="443">0</f>
        <v>0</v>
      </c>
      <c r="E242" s="21">
        <f t="shared" si="443"/>
        <v>0</v>
      </c>
      <c r="F242" s="21">
        <f t="shared" si="443"/>
        <v>0</v>
      </c>
      <c r="G242" s="21">
        <f t="shared" si="443"/>
        <v>0</v>
      </c>
      <c r="H242" s="21">
        <f t="shared" si="443"/>
        <v>0</v>
      </c>
      <c r="I242" s="21">
        <f t="shared" si="443"/>
        <v>0</v>
      </c>
      <c r="J242" s="21">
        <f t="shared" si="443"/>
        <v>0</v>
      </c>
      <c r="K242" s="21">
        <f t="shared" si="443"/>
        <v>0</v>
      </c>
      <c r="L242" s="21">
        <f t="shared" si="443"/>
        <v>0</v>
      </c>
      <c r="M242" s="21">
        <f t="shared" si="443"/>
        <v>0</v>
      </c>
      <c r="N242" s="21">
        <f t="shared" si="443"/>
        <v>0</v>
      </c>
      <c r="O242" s="21">
        <f t="shared" si="443"/>
        <v>0</v>
      </c>
    </row>
    <row r="243">
      <c r="B243" s="20">
        <v>46221.0</v>
      </c>
      <c r="C243" s="21">
        <f>12</f>
        <v>12</v>
      </c>
      <c r="D243" s="21">
        <f t="shared" ref="D243:F243" si="444">0</f>
        <v>0</v>
      </c>
      <c r="E243" s="21">
        <f t="shared" si="444"/>
        <v>0</v>
      </c>
      <c r="F243" s="21">
        <f t="shared" si="444"/>
        <v>0</v>
      </c>
      <c r="G243" s="21">
        <f>4</f>
        <v>4</v>
      </c>
      <c r="H243" s="21">
        <f>0</f>
        <v>0</v>
      </c>
      <c r="I243" s="21">
        <f t="shared" ref="I243:I244" si="446">12</f>
        <v>12</v>
      </c>
      <c r="J243" s="21">
        <f t="shared" ref="J243:L243" si="445">0</f>
        <v>0</v>
      </c>
      <c r="K243" s="21">
        <f t="shared" si="445"/>
        <v>0</v>
      </c>
      <c r="L243" s="21">
        <f t="shared" si="445"/>
        <v>0</v>
      </c>
      <c r="M243" s="21">
        <f>4</f>
        <v>4</v>
      </c>
      <c r="N243" s="21">
        <f>0</f>
        <v>0</v>
      </c>
      <c r="O243" s="21">
        <f>8</f>
        <v>8</v>
      </c>
    </row>
    <row r="244">
      <c r="B244" s="20">
        <v>46221.0</v>
      </c>
      <c r="C244" s="21">
        <v>0.0</v>
      </c>
      <c r="D244" s="21">
        <v>0.0</v>
      </c>
      <c r="E244" s="21">
        <v>0.0</v>
      </c>
      <c r="F244" s="21">
        <v>0.0</v>
      </c>
      <c r="G244" s="21">
        <v>0.0</v>
      </c>
      <c r="H244" s="21">
        <v>0.0</v>
      </c>
      <c r="I244" s="21">
        <f t="shared" si="446"/>
        <v>12</v>
      </c>
      <c r="J244" s="21">
        <v>0.0</v>
      </c>
      <c r="K244" s="21">
        <v>0.0</v>
      </c>
      <c r="L244" s="21">
        <v>0.0</v>
      </c>
      <c r="M244" s="21">
        <v>0.0</v>
      </c>
      <c r="N244" s="21">
        <v>0.0</v>
      </c>
      <c r="O244" s="21">
        <v>0.0</v>
      </c>
    </row>
    <row r="245">
      <c r="B245" s="20">
        <v>46221.0</v>
      </c>
      <c r="C245" s="21">
        <v>0.0</v>
      </c>
      <c r="D245" s="21">
        <v>0.0</v>
      </c>
      <c r="E245" s="21">
        <v>0.0</v>
      </c>
      <c r="F245" s="21">
        <v>0.0</v>
      </c>
      <c r="G245" s="21">
        <v>0.0</v>
      </c>
      <c r="H245" s="21">
        <v>0.0</v>
      </c>
      <c r="I245" s="21">
        <f>62</f>
        <v>62</v>
      </c>
      <c r="J245" s="21">
        <v>0.0</v>
      </c>
      <c r="K245" s="21">
        <v>0.0</v>
      </c>
      <c r="L245" s="21">
        <v>0.0</v>
      </c>
      <c r="M245" s="21">
        <v>0.0</v>
      </c>
      <c r="N245" s="21">
        <v>0.0</v>
      </c>
      <c r="O245" s="21">
        <v>0.0</v>
      </c>
    </row>
    <row r="246">
      <c r="B246" s="20">
        <v>46221.0</v>
      </c>
      <c r="C246" s="21">
        <f>5.6</f>
        <v>5.6</v>
      </c>
      <c r="D246" s="21">
        <f t="shared" ref="D246:F246" si="447">0</f>
        <v>0</v>
      </c>
      <c r="E246" s="21">
        <f t="shared" si="447"/>
        <v>0</v>
      </c>
      <c r="F246" s="21">
        <f t="shared" si="447"/>
        <v>0</v>
      </c>
      <c r="G246" s="21">
        <f>2.8</f>
        <v>2.8</v>
      </c>
      <c r="H246" s="21">
        <f t="shared" ref="H246:L246" si="448">0</f>
        <v>0</v>
      </c>
      <c r="I246" s="21">
        <f t="shared" si="448"/>
        <v>0</v>
      </c>
      <c r="J246" s="21">
        <f t="shared" si="448"/>
        <v>0</v>
      </c>
      <c r="K246" s="21">
        <f t="shared" si="448"/>
        <v>0</v>
      </c>
      <c r="L246" s="21">
        <f t="shared" si="448"/>
        <v>0</v>
      </c>
      <c r="M246" s="21">
        <f>5.6</f>
        <v>5.6</v>
      </c>
      <c r="N246" s="21">
        <f t="shared" ref="N246:N247" si="451">0</f>
        <v>0</v>
      </c>
      <c r="O246" s="21">
        <f>14</f>
        <v>14</v>
      </c>
    </row>
    <row r="247">
      <c r="B247" s="20">
        <v>46221.0</v>
      </c>
      <c r="C247" s="21">
        <f>20.8</f>
        <v>20.8</v>
      </c>
      <c r="D247" s="21">
        <f t="shared" ref="D247:H247" si="449">0</f>
        <v>0</v>
      </c>
      <c r="E247" s="21">
        <f t="shared" si="449"/>
        <v>0</v>
      </c>
      <c r="F247" s="21">
        <f t="shared" si="449"/>
        <v>0</v>
      </c>
      <c r="G247" s="21">
        <f t="shared" si="449"/>
        <v>0</v>
      </c>
      <c r="H247" s="21">
        <f t="shared" si="449"/>
        <v>0</v>
      </c>
      <c r="I247" s="21">
        <f>5.2</f>
        <v>5.2</v>
      </c>
      <c r="J247" s="21">
        <f t="shared" ref="J247:L247" si="450">0</f>
        <v>0</v>
      </c>
      <c r="K247" s="21">
        <f t="shared" si="450"/>
        <v>0</v>
      </c>
      <c r="L247" s="21">
        <f t="shared" si="450"/>
        <v>0</v>
      </c>
      <c r="M247" s="21">
        <f>5.2</f>
        <v>5.2</v>
      </c>
      <c r="N247" s="21">
        <f t="shared" si="451"/>
        <v>0</v>
      </c>
      <c r="O247" s="21">
        <f>20.8</f>
        <v>20.8</v>
      </c>
    </row>
    <row r="248">
      <c r="B248" s="20">
        <v>46222.0</v>
      </c>
      <c r="C248" s="21">
        <f>20.1</f>
        <v>20.1</v>
      </c>
      <c r="D248" s="21">
        <f t="shared" ref="D248:H248" si="452">0</f>
        <v>0</v>
      </c>
      <c r="E248" s="21">
        <f t="shared" si="452"/>
        <v>0</v>
      </c>
      <c r="F248" s="21">
        <f t="shared" si="452"/>
        <v>0</v>
      </c>
      <c r="G248" s="21">
        <f t="shared" si="452"/>
        <v>0</v>
      </c>
      <c r="H248" s="21">
        <f t="shared" si="452"/>
        <v>0</v>
      </c>
      <c r="I248" s="21">
        <f>40.2</f>
        <v>40.2</v>
      </c>
      <c r="J248" s="21">
        <f t="shared" ref="J248:M248" si="453">0</f>
        <v>0</v>
      </c>
      <c r="K248" s="21">
        <f t="shared" si="453"/>
        <v>0</v>
      </c>
      <c r="L248" s="21">
        <f t="shared" si="453"/>
        <v>0</v>
      </c>
      <c r="M248" s="21">
        <f t="shared" si="453"/>
        <v>0</v>
      </c>
      <c r="N248" s="21">
        <f>6.7</f>
        <v>6.7</v>
      </c>
      <c r="O248" s="21">
        <f>0</f>
        <v>0</v>
      </c>
    </row>
    <row r="249">
      <c r="B249" s="20">
        <v>46222.0</v>
      </c>
      <c r="C249" s="21">
        <f>16.8</f>
        <v>16.8</v>
      </c>
      <c r="D249" s="21">
        <f t="shared" ref="D249:F249" si="454">0</f>
        <v>0</v>
      </c>
      <c r="E249" s="21">
        <f t="shared" si="454"/>
        <v>0</v>
      </c>
      <c r="F249" s="21">
        <f t="shared" si="454"/>
        <v>0</v>
      </c>
      <c r="G249" s="21">
        <f>2.1</f>
        <v>2.1</v>
      </c>
      <c r="H249" s="21">
        <f t="shared" ref="H249:N249" si="455">0</f>
        <v>0</v>
      </c>
      <c r="I249" s="21">
        <f t="shared" si="455"/>
        <v>0</v>
      </c>
      <c r="J249" s="21">
        <f t="shared" si="455"/>
        <v>0</v>
      </c>
      <c r="K249" s="21">
        <f t="shared" si="455"/>
        <v>0</v>
      </c>
      <c r="L249" s="21">
        <f t="shared" si="455"/>
        <v>0</v>
      </c>
      <c r="M249" s="21">
        <f t="shared" si="455"/>
        <v>0</v>
      </c>
      <c r="N249" s="21">
        <f t="shared" si="455"/>
        <v>0</v>
      </c>
      <c r="O249" s="21">
        <f>2.1</f>
        <v>2.1</v>
      </c>
    </row>
    <row r="250">
      <c r="B250" s="20">
        <v>46222.0</v>
      </c>
      <c r="C250" s="21">
        <v>0.0</v>
      </c>
      <c r="D250" s="21">
        <v>0.0</v>
      </c>
      <c r="E250" s="21">
        <v>0.0</v>
      </c>
      <c r="F250" s="21">
        <v>0.0</v>
      </c>
      <c r="G250" s="21">
        <v>0.0</v>
      </c>
      <c r="H250" s="21">
        <v>0.0</v>
      </c>
      <c r="I250" s="21">
        <f>52</f>
        <v>52</v>
      </c>
      <c r="J250" s="21">
        <v>0.0</v>
      </c>
      <c r="K250" s="21">
        <v>0.0</v>
      </c>
      <c r="L250" s="21">
        <v>0.0</v>
      </c>
      <c r="M250" s="21">
        <v>0.0</v>
      </c>
      <c r="N250" s="21">
        <v>0.0</v>
      </c>
      <c r="O250" s="21">
        <v>0.0</v>
      </c>
    </row>
    <row r="251">
      <c r="B251" s="20">
        <v>46222.0</v>
      </c>
      <c r="C251" s="21">
        <f>17.1</f>
        <v>17.1</v>
      </c>
      <c r="D251" s="21">
        <f t="shared" ref="D251:F251" si="456">0</f>
        <v>0</v>
      </c>
      <c r="E251" s="21">
        <f t="shared" si="456"/>
        <v>0</v>
      </c>
      <c r="F251" s="21">
        <f t="shared" si="456"/>
        <v>0</v>
      </c>
      <c r="G251" s="21">
        <f>1.9</f>
        <v>1.9</v>
      </c>
      <c r="H251" s="21">
        <f t="shared" ref="H251:O251" si="457">0</f>
        <v>0</v>
      </c>
      <c r="I251" s="21">
        <f t="shared" si="457"/>
        <v>0</v>
      </c>
      <c r="J251" s="21">
        <f t="shared" si="457"/>
        <v>0</v>
      </c>
      <c r="K251" s="21">
        <f t="shared" si="457"/>
        <v>0</v>
      </c>
      <c r="L251" s="21">
        <f t="shared" si="457"/>
        <v>0</v>
      </c>
      <c r="M251" s="21">
        <f t="shared" si="457"/>
        <v>0</v>
      </c>
      <c r="N251" s="21">
        <f t="shared" si="457"/>
        <v>0</v>
      </c>
      <c r="O251" s="21">
        <f t="shared" si="457"/>
        <v>0</v>
      </c>
    </row>
    <row r="252">
      <c r="B252" s="20">
        <v>46222.0</v>
      </c>
      <c r="C252" s="21">
        <f>15.6</f>
        <v>15.6</v>
      </c>
      <c r="D252" s="21">
        <f t="shared" ref="D252:H252" si="458">0</f>
        <v>0</v>
      </c>
      <c r="E252" s="21">
        <f t="shared" si="458"/>
        <v>0</v>
      </c>
      <c r="F252" s="21">
        <f t="shared" si="458"/>
        <v>0</v>
      </c>
      <c r="G252" s="21">
        <f t="shared" si="458"/>
        <v>0</v>
      </c>
      <c r="H252" s="21">
        <f t="shared" si="458"/>
        <v>0</v>
      </c>
      <c r="I252" s="21">
        <f>31.2</f>
        <v>31.2</v>
      </c>
      <c r="J252" s="21">
        <f t="shared" ref="J252:L252" si="459">0</f>
        <v>0</v>
      </c>
      <c r="K252" s="21">
        <f t="shared" si="459"/>
        <v>0</v>
      </c>
      <c r="L252" s="21">
        <f t="shared" si="459"/>
        <v>0</v>
      </c>
      <c r="M252" s="21">
        <f>5.2</f>
        <v>5.2</v>
      </c>
      <c r="N252" s="21">
        <f t="shared" ref="N252:O252" si="460">0</f>
        <v>0</v>
      </c>
      <c r="O252" s="21">
        <f t="shared" si="460"/>
        <v>0</v>
      </c>
    </row>
    <row r="253">
      <c r="B253" s="20">
        <v>46222.0</v>
      </c>
      <c r="C253" s="21">
        <f>51.2</f>
        <v>51.2</v>
      </c>
      <c r="D253" s="21">
        <f t="shared" ref="D253:N253" si="461">0</f>
        <v>0</v>
      </c>
      <c r="E253" s="21">
        <f t="shared" si="461"/>
        <v>0</v>
      </c>
      <c r="F253" s="21">
        <f t="shared" si="461"/>
        <v>0</v>
      </c>
      <c r="G253" s="21">
        <f t="shared" si="461"/>
        <v>0</v>
      </c>
      <c r="H253" s="21">
        <f t="shared" si="461"/>
        <v>0</v>
      </c>
      <c r="I253" s="21">
        <f t="shared" si="461"/>
        <v>0</v>
      </c>
      <c r="J253" s="21">
        <f t="shared" si="461"/>
        <v>0</v>
      </c>
      <c r="K253" s="21">
        <f t="shared" si="461"/>
        <v>0</v>
      </c>
      <c r="L253" s="21">
        <f t="shared" si="461"/>
        <v>0</v>
      </c>
      <c r="M253" s="21">
        <f t="shared" si="461"/>
        <v>0</v>
      </c>
      <c r="N253" s="21">
        <f t="shared" si="461"/>
        <v>0</v>
      </c>
      <c r="O253" s="21">
        <f>12.8</f>
        <v>12.8</v>
      </c>
    </row>
    <row r="254">
      <c r="B254" s="20">
        <v>46222.0</v>
      </c>
      <c r="C254" s="21">
        <f t="shared" ref="C254:H254" si="462">0</f>
        <v>0</v>
      </c>
      <c r="D254" s="21">
        <f t="shared" si="462"/>
        <v>0</v>
      </c>
      <c r="E254" s="21">
        <f t="shared" si="462"/>
        <v>0</v>
      </c>
      <c r="F254" s="21">
        <f t="shared" si="462"/>
        <v>0</v>
      </c>
      <c r="G254" s="21">
        <f t="shared" si="462"/>
        <v>0</v>
      </c>
      <c r="H254" s="21">
        <f t="shared" si="462"/>
        <v>0</v>
      </c>
      <c r="I254" s="21">
        <f>47.7</f>
        <v>47.7</v>
      </c>
      <c r="J254" s="21">
        <f t="shared" ref="J254:L254" si="463">0</f>
        <v>0</v>
      </c>
      <c r="K254" s="21">
        <f t="shared" si="463"/>
        <v>0</v>
      </c>
      <c r="L254" s="21">
        <f t="shared" si="463"/>
        <v>0</v>
      </c>
      <c r="M254" s="21">
        <f>5.3</f>
        <v>5.3</v>
      </c>
      <c r="N254" s="21">
        <f t="shared" ref="N254:O254" si="464">0</f>
        <v>0</v>
      </c>
      <c r="O254" s="21">
        <f t="shared" si="464"/>
        <v>0</v>
      </c>
    </row>
    <row r="255">
      <c r="B255" s="20">
        <v>46222.0</v>
      </c>
      <c r="C255" s="21">
        <f t="shared" ref="C255:H255" si="465">0</f>
        <v>0</v>
      </c>
      <c r="D255" s="21">
        <f t="shared" si="465"/>
        <v>0</v>
      </c>
      <c r="E255" s="21">
        <f t="shared" si="465"/>
        <v>0</v>
      </c>
      <c r="F255" s="21">
        <f t="shared" si="465"/>
        <v>0</v>
      </c>
      <c r="G255" s="21">
        <f t="shared" si="465"/>
        <v>0</v>
      </c>
      <c r="H255" s="21">
        <f t="shared" si="465"/>
        <v>0</v>
      </c>
      <c r="I255" s="21">
        <f>28.8</f>
        <v>28.8</v>
      </c>
      <c r="J255" s="21">
        <f t="shared" ref="J255:L255" si="466">0</f>
        <v>0</v>
      </c>
      <c r="K255" s="21">
        <f t="shared" si="466"/>
        <v>0</v>
      </c>
      <c r="L255" s="21">
        <f t="shared" si="466"/>
        <v>0</v>
      </c>
      <c r="M255" s="21">
        <f>19.2</f>
        <v>19.2</v>
      </c>
      <c r="N255" s="21">
        <f t="shared" ref="N255:O255" si="467">0</f>
        <v>0</v>
      </c>
      <c r="O255" s="21">
        <f t="shared" si="467"/>
        <v>0</v>
      </c>
    </row>
    <row r="256">
      <c r="B256" s="20">
        <v>46222.0</v>
      </c>
      <c r="C256" s="21">
        <f>52.8</f>
        <v>52.8</v>
      </c>
      <c r="D256" s="21">
        <f t="shared" ref="D256:H256" si="468">0</f>
        <v>0</v>
      </c>
      <c r="E256" s="21">
        <f t="shared" si="468"/>
        <v>0</v>
      </c>
      <c r="F256" s="21">
        <f t="shared" si="468"/>
        <v>0</v>
      </c>
      <c r="G256" s="21">
        <f t="shared" si="468"/>
        <v>0</v>
      </c>
      <c r="H256" s="21">
        <f t="shared" si="468"/>
        <v>0</v>
      </c>
      <c r="I256" s="21">
        <f>13.2</f>
        <v>13.2</v>
      </c>
      <c r="J256" s="21">
        <f t="shared" ref="J256:O256" si="469">0</f>
        <v>0</v>
      </c>
      <c r="K256" s="21">
        <f t="shared" si="469"/>
        <v>0</v>
      </c>
      <c r="L256" s="21">
        <f t="shared" si="469"/>
        <v>0</v>
      </c>
      <c r="M256" s="21">
        <f t="shared" si="469"/>
        <v>0</v>
      </c>
      <c r="N256" s="21">
        <f t="shared" si="469"/>
        <v>0</v>
      </c>
      <c r="O256" s="21">
        <f t="shared" si="469"/>
        <v>0</v>
      </c>
    </row>
    <row r="257">
      <c r="B257" s="20">
        <v>46222.0</v>
      </c>
      <c r="C257" s="21">
        <f>7.2</f>
        <v>7.2</v>
      </c>
      <c r="D257" s="21">
        <f>3.6</f>
        <v>3.6</v>
      </c>
      <c r="E257" s="21">
        <f t="shared" ref="E257:L257" si="470">0</f>
        <v>0</v>
      </c>
      <c r="F257" s="21">
        <f t="shared" si="470"/>
        <v>0</v>
      </c>
      <c r="G257" s="21">
        <f t="shared" si="470"/>
        <v>0</v>
      </c>
      <c r="H257" s="21">
        <f t="shared" si="470"/>
        <v>0</v>
      </c>
      <c r="I257" s="21">
        <f t="shared" si="470"/>
        <v>0</v>
      </c>
      <c r="J257" s="21">
        <f t="shared" si="470"/>
        <v>0</v>
      </c>
      <c r="K257" s="21">
        <f t="shared" si="470"/>
        <v>0</v>
      </c>
      <c r="L257" s="21">
        <f t="shared" si="470"/>
        <v>0</v>
      </c>
      <c r="M257" s="21">
        <f>25.2</f>
        <v>25.2</v>
      </c>
      <c r="N257" s="21">
        <f t="shared" ref="N257:O257" si="471">0</f>
        <v>0</v>
      </c>
      <c r="O257" s="21">
        <f t="shared" si="471"/>
        <v>0</v>
      </c>
    </row>
    <row r="258">
      <c r="B258" s="20">
        <v>46222.0</v>
      </c>
      <c r="C258" s="21">
        <f>92.4</f>
        <v>92.4</v>
      </c>
      <c r="D258" s="21">
        <f t="shared" ref="D258:H258" si="472">0</f>
        <v>0</v>
      </c>
      <c r="E258" s="21">
        <f t="shared" si="472"/>
        <v>0</v>
      </c>
      <c r="F258" s="21">
        <f t="shared" si="472"/>
        <v>0</v>
      </c>
      <c r="G258" s="21">
        <f t="shared" si="472"/>
        <v>0</v>
      </c>
      <c r="H258" s="21">
        <f t="shared" si="472"/>
        <v>0</v>
      </c>
      <c r="I258" s="21">
        <f t="shared" ref="I258:J258" si="473">30.8</f>
        <v>30.8</v>
      </c>
      <c r="J258" s="21">
        <f t="shared" si="473"/>
        <v>30.8</v>
      </c>
      <c r="K258" s="21">
        <f t="shared" ref="K258:O258" si="474">0</f>
        <v>0</v>
      </c>
      <c r="L258" s="21">
        <f t="shared" si="474"/>
        <v>0</v>
      </c>
      <c r="M258" s="21">
        <f t="shared" si="474"/>
        <v>0</v>
      </c>
      <c r="N258" s="21">
        <f t="shared" si="474"/>
        <v>0</v>
      </c>
      <c r="O258" s="21">
        <f t="shared" si="474"/>
        <v>0</v>
      </c>
    </row>
    <row r="259">
      <c r="B259" s="20">
        <v>46222.0</v>
      </c>
      <c r="C259" s="21">
        <f t="shared" ref="C259:H259" si="475">0</f>
        <v>0</v>
      </c>
      <c r="D259" s="21">
        <f t="shared" si="475"/>
        <v>0</v>
      </c>
      <c r="E259" s="21">
        <f t="shared" si="475"/>
        <v>0</v>
      </c>
      <c r="F259" s="21">
        <f t="shared" si="475"/>
        <v>0</v>
      </c>
      <c r="G259" s="21">
        <f t="shared" si="475"/>
        <v>0</v>
      </c>
      <c r="H259" s="21">
        <f t="shared" si="475"/>
        <v>0</v>
      </c>
      <c r="I259" s="21">
        <f>83.6</f>
        <v>83.6</v>
      </c>
      <c r="J259" s="21">
        <f t="shared" ref="J259:N259" si="476">0</f>
        <v>0</v>
      </c>
      <c r="K259" s="21">
        <f t="shared" si="476"/>
        <v>0</v>
      </c>
      <c r="L259" s="21">
        <f t="shared" si="476"/>
        <v>0</v>
      </c>
      <c r="M259" s="21">
        <f t="shared" si="476"/>
        <v>0</v>
      </c>
      <c r="N259" s="21">
        <f t="shared" si="476"/>
        <v>0</v>
      </c>
      <c r="O259" s="21">
        <f>4.4</f>
        <v>4.4</v>
      </c>
    </row>
    <row r="260">
      <c r="B260" s="20">
        <v>46222.0</v>
      </c>
      <c r="C260" s="21">
        <f>6.1</f>
        <v>6.1</v>
      </c>
      <c r="D260" s="21">
        <f t="shared" ref="D260:H260" si="477">0</f>
        <v>0</v>
      </c>
      <c r="E260" s="21">
        <f t="shared" si="477"/>
        <v>0</v>
      </c>
      <c r="F260" s="21">
        <f t="shared" si="477"/>
        <v>0</v>
      </c>
      <c r="G260" s="21">
        <f t="shared" si="477"/>
        <v>0</v>
      </c>
      <c r="H260" s="21">
        <f t="shared" si="477"/>
        <v>0</v>
      </c>
      <c r="I260" s="21">
        <f>24.4</f>
        <v>24.4</v>
      </c>
      <c r="J260" s="21">
        <f t="shared" ref="J260:L260" si="478">0</f>
        <v>0</v>
      </c>
      <c r="K260" s="21">
        <f t="shared" si="478"/>
        <v>0</v>
      </c>
      <c r="L260" s="21">
        <f t="shared" si="478"/>
        <v>0</v>
      </c>
      <c r="M260" s="21">
        <f>30.5</f>
        <v>30.5</v>
      </c>
      <c r="N260" s="21">
        <f t="shared" ref="N260:O260" si="479">0</f>
        <v>0</v>
      </c>
      <c r="O260" s="21">
        <f t="shared" si="479"/>
        <v>0</v>
      </c>
    </row>
    <row r="261">
      <c r="B261" s="20">
        <v>46222.0</v>
      </c>
      <c r="C261" s="21">
        <f t="shared" ref="C261:D261" si="480">9.2</f>
        <v>9.2</v>
      </c>
      <c r="D261" s="21">
        <f t="shared" si="480"/>
        <v>9.2</v>
      </c>
      <c r="E261" s="21">
        <f t="shared" ref="E261:L261" si="481">0</f>
        <v>0</v>
      </c>
      <c r="F261" s="21">
        <f t="shared" si="481"/>
        <v>0</v>
      </c>
      <c r="G261" s="21">
        <f t="shared" si="481"/>
        <v>0</v>
      </c>
      <c r="H261" s="21">
        <f t="shared" si="481"/>
        <v>0</v>
      </c>
      <c r="I261" s="21">
        <f t="shared" si="481"/>
        <v>0</v>
      </c>
      <c r="J261" s="21">
        <f t="shared" si="481"/>
        <v>0</v>
      </c>
      <c r="K261" s="21">
        <f t="shared" si="481"/>
        <v>0</v>
      </c>
      <c r="L261" s="21">
        <f t="shared" si="481"/>
        <v>0</v>
      </c>
      <c r="M261" s="21">
        <f>18.4</f>
        <v>18.4</v>
      </c>
      <c r="N261" s="21">
        <f t="shared" ref="N261:N262" si="485">0</f>
        <v>0</v>
      </c>
      <c r="O261" s="21">
        <f>9.2</f>
        <v>9.2</v>
      </c>
    </row>
    <row r="262">
      <c r="B262" s="20">
        <v>46222.0</v>
      </c>
      <c r="C262" s="21">
        <f t="shared" ref="C262:D262" si="482">0</f>
        <v>0</v>
      </c>
      <c r="D262" s="21">
        <f t="shared" si="482"/>
        <v>0</v>
      </c>
      <c r="E262" s="21">
        <f>10.95</f>
        <v>10.95</v>
      </c>
      <c r="F262" s="21">
        <f t="shared" ref="F262:H262" si="483">0</f>
        <v>0</v>
      </c>
      <c r="G262" s="21">
        <f t="shared" si="483"/>
        <v>0</v>
      </c>
      <c r="H262" s="21">
        <f t="shared" si="483"/>
        <v>0</v>
      </c>
      <c r="I262" s="21">
        <f>36.5</f>
        <v>36.5</v>
      </c>
      <c r="J262" s="21">
        <f t="shared" ref="J262:L262" si="484">0</f>
        <v>0</v>
      </c>
      <c r="K262" s="21">
        <f t="shared" si="484"/>
        <v>0</v>
      </c>
      <c r="L262" s="21">
        <f t="shared" si="484"/>
        <v>0</v>
      </c>
      <c r="M262" s="21">
        <f>25.55</f>
        <v>25.55</v>
      </c>
      <c r="N262" s="21">
        <f t="shared" si="485"/>
        <v>0</v>
      </c>
      <c r="O262" s="21">
        <f>0</f>
        <v>0</v>
      </c>
    </row>
    <row r="263">
      <c r="B263" s="20">
        <v>46222.0</v>
      </c>
      <c r="C263" s="21">
        <f>6</f>
        <v>6</v>
      </c>
      <c r="D263" s="21">
        <f>0</f>
        <v>0</v>
      </c>
      <c r="E263" s="21">
        <f>9</f>
        <v>9</v>
      </c>
      <c r="F263" s="21">
        <f t="shared" ref="F263:H263" si="486">0</f>
        <v>0</v>
      </c>
      <c r="G263" s="21">
        <f t="shared" si="486"/>
        <v>0</v>
      </c>
      <c r="H263" s="21">
        <f t="shared" si="486"/>
        <v>0</v>
      </c>
      <c r="I263" s="21">
        <f>21</f>
        <v>21</v>
      </c>
      <c r="J263" s="21">
        <f t="shared" ref="J263:N263" si="487">0</f>
        <v>0</v>
      </c>
      <c r="K263" s="21">
        <f t="shared" si="487"/>
        <v>0</v>
      </c>
      <c r="L263" s="21">
        <f t="shared" si="487"/>
        <v>0</v>
      </c>
      <c r="M263" s="21">
        <f t="shared" si="487"/>
        <v>0</v>
      </c>
      <c r="N263" s="21">
        <f t="shared" si="487"/>
        <v>0</v>
      </c>
      <c r="O263" s="21">
        <f>24</f>
        <v>24</v>
      </c>
    </row>
    <row r="264">
      <c r="B264" s="20">
        <v>46222.0</v>
      </c>
      <c r="C264" s="21">
        <f t="shared" ref="C264:E264" si="488">0</f>
        <v>0</v>
      </c>
      <c r="D264" s="21">
        <f t="shared" si="488"/>
        <v>0</v>
      </c>
      <c r="E264" s="21">
        <f t="shared" si="488"/>
        <v>0</v>
      </c>
      <c r="F264" s="21">
        <f>40.8</f>
        <v>40.8</v>
      </c>
      <c r="G264" s="21">
        <f t="shared" ref="G264:N264" si="489">0</f>
        <v>0</v>
      </c>
      <c r="H264" s="21">
        <f t="shared" si="489"/>
        <v>0</v>
      </c>
      <c r="I264" s="21">
        <f t="shared" si="489"/>
        <v>0</v>
      </c>
      <c r="J264" s="21">
        <f t="shared" si="489"/>
        <v>0</v>
      </c>
      <c r="K264" s="21">
        <f t="shared" si="489"/>
        <v>0</v>
      </c>
      <c r="L264" s="21">
        <f t="shared" si="489"/>
        <v>0</v>
      </c>
      <c r="M264" s="21">
        <f t="shared" si="489"/>
        <v>0</v>
      </c>
      <c r="N264" s="21">
        <f t="shared" si="489"/>
        <v>0</v>
      </c>
      <c r="O264" s="21">
        <f>10.2</f>
        <v>10.2</v>
      </c>
    </row>
    <row r="265">
      <c r="B265" s="20">
        <v>46222.0</v>
      </c>
      <c r="C265" s="21">
        <f t="shared" ref="C265:E265" si="490">0</f>
        <v>0</v>
      </c>
      <c r="D265" s="21">
        <f t="shared" si="490"/>
        <v>0</v>
      </c>
      <c r="E265" s="21">
        <f t="shared" si="490"/>
        <v>0</v>
      </c>
      <c r="F265" s="21">
        <f>36</f>
        <v>36</v>
      </c>
      <c r="G265" s="21">
        <f t="shared" ref="G265:I265" si="491">0</f>
        <v>0</v>
      </c>
      <c r="H265" s="21">
        <f t="shared" si="491"/>
        <v>0</v>
      </c>
      <c r="I265" s="21">
        <f t="shared" si="491"/>
        <v>0</v>
      </c>
      <c r="J265" s="21">
        <f>4</f>
        <v>4</v>
      </c>
      <c r="K265" s="21">
        <f t="shared" ref="K265:O265" si="492">0</f>
        <v>0</v>
      </c>
      <c r="L265" s="21">
        <f t="shared" si="492"/>
        <v>0</v>
      </c>
      <c r="M265" s="21">
        <f t="shared" si="492"/>
        <v>0</v>
      </c>
      <c r="N265" s="21">
        <f t="shared" si="492"/>
        <v>0</v>
      </c>
      <c r="O265" s="21">
        <f t="shared" si="492"/>
        <v>0</v>
      </c>
    </row>
    <row r="266">
      <c r="B266" s="20">
        <v>46223.0</v>
      </c>
      <c r="C266" s="21">
        <v>0.0</v>
      </c>
      <c r="D266" s="21">
        <v>0.0</v>
      </c>
      <c r="E266" s="21">
        <v>0.0</v>
      </c>
      <c r="F266" s="21">
        <v>0.0</v>
      </c>
      <c r="G266" s="21">
        <v>0.0</v>
      </c>
      <c r="H266" s="21">
        <v>0.0</v>
      </c>
      <c r="I266" s="21">
        <v>0.0</v>
      </c>
      <c r="J266" s="21">
        <v>0.0</v>
      </c>
      <c r="K266" s="21">
        <v>0.0</v>
      </c>
      <c r="L266" s="21">
        <v>0.0</v>
      </c>
      <c r="M266" s="21">
        <v>0.0</v>
      </c>
      <c r="N266" s="21">
        <v>0.0</v>
      </c>
      <c r="O266" s="21">
        <f>15</f>
        <v>15</v>
      </c>
    </row>
    <row r="267">
      <c r="B267" s="20">
        <v>46223.0</v>
      </c>
      <c r="C267" s="21">
        <v>0.0</v>
      </c>
      <c r="D267" s="21">
        <v>0.0</v>
      </c>
      <c r="E267" s="21">
        <v>0.0</v>
      </c>
      <c r="F267" s="21">
        <v>0.0</v>
      </c>
      <c r="G267" s="21">
        <v>0.0</v>
      </c>
      <c r="H267" s="21">
        <v>0.0</v>
      </c>
      <c r="I267" s="21">
        <f>44</f>
        <v>44</v>
      </c>
      <c r="J267" s="21">
        <v>0.0</v>
      </c>
      <c r="K267" s="21">
        <v>0.0</v>
      </c>
      <c r="L267" s="21">
        <v>0.0</v>
      </c>
      <c r="M267" s="21">
        <v>0.0</v>
      </c>
      <c r="N267" s="21">
        <v>0.0</v>
      </c>
      <c r="O267" s="21">
        <v>0.0</v>
      </c>
    </row>
    <row r="268">
      <c r="B268" s="20">
        <v>46223.0</v>
      </c>
      <c r="C268" s="21">
        <f t="shared" ref="C268:F268" si="493">0</f>
        <v>0</v>
      </c>
      <c r="D268" s="21">
        <f t="shared" si="493"/>
        <v>0</v>
      </c>
      <c r="E268" s="21">
        <f t="shared" si="493"/>
        <v>0</v>
      </c>
      <c r="F268" s="21">
        <f t="shared" si="493"/>
        <v>0</v>
      </c>
      <c r="G268" s="21">
        <f>154</f>
        <v>154</v>
      </c>
      <c r="H268" s="21">
        <f t="shared" ref="H268:O268" si="494">0</f>
        <v>0</v>
      </c>
      <c r="I268" s="21">
        <f t="shared" si="494"/>
        <v>0</v>
      </c>
      <c r="J268" s="21">
        <f t="shared" si="494"/>
        <v>0</v>
      </c>
      <c r="K268" s="21">
        <f t="shared" si="494"/>
        <v>0</v>
      </c>
      <c r="L268" s="21">
        <f t="shared" si="494"/>
        <v>0</v>
      </c>
      <c r="M268" s="21">
        <f t="shared" si="494"/>
        <v>0</v>
      </c>
      <c r="N268" s="21">
        <f t="shared" si="494"/>
        <v>0</v>
      </c>
      <c r="O268" s="21">
        <f t="shared" si="494"/>
        <v>0</v>
      </c>
    </row>
    <row r="269">
      <c r="B269" s="20">
        <v>46223.0</v>
      </c>
      <c r="C269" s="21">
        <f t="shared" ref="C269:F269" si="495">0</f>
        <v>0</v>
      </c>
      <c r="D269" s="21">
        <f t="shared" si="495"/>
        <v>0</v>
      </c>
      <c r="E269" s="21">
        <f t="shared" si="495"/>
        <v>0</v>
      </c>
      <c r="F269" s="21">
        <f t="shared" si="495"/>
        <v>0</v>
      </c>
      <c r="G269" s="21">
        <f>59</f>
        <v>59</v>
      </c>
      <c r="H269" s="21">
        <f t="shared" ref="H269:O269" si="496">0</f>
        <v>0</v>
      </c>
      <c r="I269" s="21">
        <f t="shared" si="496"/>
        <v>0</v>
      </c>
      <c r="J269" s="21">
        <f t="shared" si="496"/>
        <v>0</v>
      </c>
      <c r="K269" s="21">
        <f t="shared" si="496"/>
        <v>0</v>
      </c>
      <c r="L269" s="21">
        <f t="shared" si="496"/>
        <v>0</v>
      </c>
      <c r="M269" s="21">
        <f t="shared" si="496"/>
        <v>0</v>
      </c>
      <c r="N269" s="21">
        <f t="shared" si="496"/>
        <v>0</v>
      </c>
      <c r="O269" s="21">
        <f t="shared" si="496"/>
        <v>0</v>
      </c>
    </row>
    <row r="270">
      <c r="B270" s="20">
        <v>46223.0</v>
      </c>
      <c r="C270" s="21">
        <f t="shared" ref="C270:H270" si="497">0</f>
        <v>0</v>
      </c>
      <c r="D270" s="21">
        <f t="shared" si="497"/>
        <v>0</v>
      </c>
      <c r="E270" s="21">
        <f t="shared" si="497"/>
        <v>0</v>
      </c>
      <c r="F270" s="21">
        <f t="shared" si="497"/>
        <v>0</v>
      </c>
      <c r="G270" s="21">
        <f t="shared" si="497"/>
        <v>0</v>
      </c>
      <c r="H270" s="21">
        <f t="shared" si="497"/>
        <v>0</v>
      </c>
      <c r="I270" s="21">
        <f>32.4</f>
        <v>32.4</v>
      </c>
      <c r="J270" s="21">
        <f t="shared" ref="J270:L270" si="498">0</f>
        <v>0</v>
      </c>
      <c r="K270" s="21">
        <f t="shared" si="498"/>
        <v>0</v>
      </c>
      <c r="L270" s="21">
        <f t="shared" si="498"/>
        <v>0</v>
      </c>
      <c r="M270" s="21">
        <f>3.6</f>
        <v>3.6</v>
      </c>
      <c r="N270" s="21">
        <f t="shared" ref="N270:O270" si="499">0</f>
        <v>0</v>
      </c>
      <c r="O270" s="21">
        <f t="shared" si="499"/>
        <v>0</v>
      </c>
    </row>
    <row r="271">
      <c r="B271" s="20">
        <v>46223.0</v>
      </c>
      <c r="C271" s="21">
        <f t="shared" ref="C271:L271" si="500">0</f>
        <v>0</v>
      </c>
      <c r="D271" s="21">
        <f t="shared" si="500"/>
        <v>0</v>
      </c>
      <c r="E271" s="21">
        <f t="shared" si="500"/>
        <v>0</v>
      </c>
      <c r="F271" s="21">
        <f t="shared" si="500"/>
        <v>0</v>
      </c>
      <c r="G271" s="21">
        <f t="shared" si="500"/>
        <v>0</v>
      </c>
      <c r="H271" s="21">
        <f t="shared" si="500"/>
        <v>0</v>
      </c>
      <c r="I271" s="21">
        <f t="shared" si="500"/>
        <v>0</v>
      </c>
      <c r="J271" s="21">
        <f t="shared" si="500"/>
        <v>0</v>
      </c>
      <c r="K271" s="21">
        <f t="shared" si="500"/>
        <v>0</v>
      </c>
      <c r="L271" s="21">
        <f t="shared" si="500"/>
        <v>0</v>
      </c>
      <c r="M271" s="21">
        <f>38.4</f>
        <v>38.4</v>
      </c>
      <c r="N271" s="21">
        <f>0</f>
        <v>0</v>
      </c>
      <c r="O271" s="21">
        <f>25.6</f>
        <v>25.6</v>
      </c>
    </row>
    <row r="272">
      <c r="B272" s="20">
        <v>46223.0</v>
      </c>
      <c r="C272" s="21">
        <f>6.9</f>
        <v>6.9</v>
      </c>
      <c r="D272" s="21">
        <f t="shared" ref="D272:F272" si="501">0</f>
        <v>0</v>
      </c>
      <c r="E272" s="21">
        <f t="shared" si="501"/>
        <v>0</v>
      </c>
      <c r="F272" s="21">
        <f t="shared" si="501"/>
        <v>0</v>
      </c>
      <c r="G272" s="21">
        <f>4.6</f>
        <v>4.6</v>
      </c>
      <c r="H272" s="21">
        <f>11.5</f>
        <v>11.5</v>
      </c>
      <c r="I272" s="21">
        <f t="shared" ref="I272:O272" si="502">0</f>
        <v>0</v>
      </c>
      <c r="J272" s="21">
        <f t="shared" si="502"/>
        <v>0</v>
      </c>
      <c r="K272" s="21">
        <f t="shared" si="502"/>
        <v>0</v>
      </c>
      <c r="L272" s="21">
        <f t="shared" si="502"/>
        <v>0</v>
      </c>
      <c r="M272" s="21">
        <f t="shared" si="502"/>
        <v>0</v>
      </c>
      <c r="N272" s="21">
        <f t="shared" si="502"/>
        <v>0</v>
      </c>
      <c r="O272" s="21">
        <f t="shared" si="502"/>
        <v>0</v>
      </c>
    </row>
    <row r="273">
      <c r="B273" s="20">
        <v>46223.0</v>
      </c>
      <c r="C273" s="21">
        <f>59</f>
        <v>59</v>
      </c>
      <c r="D273" s="21">
        <f t="shared" ref="D273:O273" si="503">0</f>
        <v>0</v>
      </c>
      <c r="E273" s="21">
        <f t="shared" si="503"/>
        <v>0</v>
      </c>
      <c r="F273" s="21">
        <f t="shared" si="503"/>
        <v>0</v>
      </c>
      <c r="G273" s="21">
        <f t="shared" si="503"/>
        <v>0</v>
      </c>
      <c r="H273" s="21">
        <f t="shared" si="503"/>
        <v>0</v>
      </c>
      <c r="I273" s="21">
        <f t="shared" si="503"/>
        <v>0</v>
      </c>
      <c r="J273" s="21">
        <f t="shared" si="503"/>
        <v>0</v>
      </c>
      <c r="K273" s="21">
        <f t="shared" si="503"/>
        <v>0</v>
      </c>
      <c r="L273" s="21">
        <f t="shared" si="503"/>
        <v>0</v>
      </c>
      <c r="M273" s="21">
        <f t="shared" si="503"/>
        <v>0</v>
      </c>
      <c r="N273" s="21">
        <f t="shared" si="503"/>
        <v>0</v>
      </c>
      <c r="O273" s="21">
        <f t="shared" si="503"/>
        <v>0</v>
      </c>
    </row>
    <row r="274">
      <c r="B274" s="20">
        <v>46223.0</v>
      </c>
      <c r="C274" s="21">
        <f t="shared" ref="C274:M274" si="504">0</f>
        <v>0</v>
      </c>
      <c r="D274" s="21">
        <f t="shared" si="504"/>
        <v>0</v>
      </c>
      <c r="E274" s="21">
        <f t="shared" si="504"/>
        <v>0</v>
      </c>
      <c r="F274" s="21">
        <f t="shared" si="504"/>
        <v>0</v>
      </c>
      <c r="G274" s="21">
        <f t="shared" si="504"/>
        <v>0</v>
      </c>
      <c r="H274" s="21">
        <f t="shared" si="504"/>
        <v>0</v>
      </c>
      <c r="I274" s="21">
        <f t="shared" si="504"/>
        <v>0</v>
      </c>
      <c r="J274" s="21">
        <f t="shared" si="504"/>
        <v>0</v>
      </c>
      <c r="K274" s="21">
        <f t="shared" si="504"/>
        <v>0</v>
      </c>
      <c r="L274" s="21">
        <f t="shared" si="504"/>
        <v>0</v>
      </c>
      <c r="M274" s="21">
        <f t="shared" si="504"/>
        <v>0</v>
      </c>
      <c r="N274" s="21">
        <f>6</f>
        <v>6</v>
      </c>
      <c r="O274" s="21">
        <f>0</f>
        <v>0</v>
      </c>
    </row>
    <row r="275">
      <c r="B275" s="20">
        <v>46223.0</v>
      </c>
      <c r="C275" s="21">
        <v>0.0</v>
      </c>
      <c r="D275" s="21">
        <v>0.0</v>
      </c>
      <c r="E275" s="21">
        <v>0.0</v>
      </c>
      <c r="F275" s="21">
        <v>0.0</v>
      </c>
      <c r="G275" s="21">
        <v>0.0</v>
      </c>
      <c r="H275" s="21">
        <v>0.0</v>
      </c>
      <c r="I275" s="21">
        <v>0.0</v>
      </c>
      <c r="J275" s="21">
        <v>0.0</v>
      </c>
      <c r="K275" s="21">
        <v>0.0</v>
      </c>
      <c r="L275" s="21">
        <v>0.0</v>
      </c>
      <c r="M275" s="21">
        <v>0.0</v>
      </c>
      <c r="N275" s="21">
        <v>0.0</v>
      </c>
      <c r="O275" s="21">
        <f>25</f>
        <v>25</v>
      </c>
    </row>
    <row r="276">
      <c r="B276" s="20">
        <v>46223.0</v>
      </c>
      <c r="C276" s="21">
        <v>0.0</v>
      </c>
      <c r="D276" s="21">
        <v>0.0</v>
      </c>
      <c r="E276" s="21">
        <v>0.0</v>
      </c>
      <c r="F276" s="21">
        <v>0.0</v>
      </c>
      <c r="G276" s="21">
        <v>0.0</v>
      </c>
      <c r="H276" s="21">
        <v>0.0</v>
      </c>
      <c r="I276" s="21">
        <f>31</f>
        <v>31</v>
      </c>
      <c r="J276" s="21">
        <v>0.0</v>
      </c>
      <c r="K276" s="21">
        <v>0.0</v>
      </c>
      <c r="L276" s="21">
        <v>0.0</v>
      </c>
      <c r="M276" s="21">
        <v>0.0</v>
      </c>
      <c r="N276" s="21">
        <v>0.0</v>
      </c>
      <c r="O276" s="21">
        <v>0.0</v>
      </c>
    </row>
    <row r="277">
      <c r="B277" s="20">
        <v>46223.0</v>
      </c>
      <c r="C277" s="21">
        <f>69</f>
        <v>69</v>
      </c>
      <c r="D277" s="21">
        <f t="shared" ref="D277:O277" si="505">0</f>
        <v>0</v>
      </c>
      <c r="E277" s="21">
        <f t="shared" si="505"/>
        <v>0</v>
      </c>
      <c r="F277" s="21">
        <f t="shared" si="505"/>
        <v>0</v>
      </c>
      <c r="G277" s="21">
        <f t="shared" si="505"/>
        <v>0</v>
      </c>
      <c r="H277" s="21">
        <f t="shared" si="505"/>
        <v>0</v>
      </c>
      <c r="I277" s="21">
        <f t="shared" si="505"/>
        <v>0</v>
      </c>
      <c r="J277" s="21">
        <f t="shared" si="505"/>
        <v>0</v>
      </c>
      <c r="K277" s="21">
        <f t="shared" si="505"/>
        <v>0</v>
      </c>
      <c r="L277" s="21">
        <f t="shared" si="505"/>
        <v>0</v>
      </c>
      <c r="M277" s="21">
        <f t="shared" si="505"/>
        <v>0</v>
      </c>
      <c r="N277" s="21">
        <f t="shared" si="505"/>
        <v>0</v>
      </c>
      <c r="O277" s="21">
        <f t="shared" si="505"/>
        <v>0</v>
      </c>
    </row>
    <row r="278">
      <c r="B278" s="20">
        <v>46223.0</v>
      </c>
      <c r="C278" s="21">
        <v>0.0</v>
      </c>
      <c r="D278" s="21">
        <v>0.0</v>
      </c>
      <c r="E278" s="21">
        <v>0.0</v>
      </c>
      <c r="F278" s="21">
        <v>0.0</v>
      </c>
      <c r="G278" s="21">
        <v>0.0</v>
      </c>
      <c r="H278" s="21">
        <v>0.0</v>
      </c>
      <c r="I278" s="21">
        <f>61</f>
        <v>61</v>
      </c>
      <c r="J278" s="21">
        <v>0.0</v>
      </c>
      <c r="K278" s="21">
        <v>0.0</v>
      </c>
      <c r="L278" s="21">
        <v>0.0</v>
      </c>
      <c r="M278" s="21">
        <v>0.0</v>
      </c>
      <c r="N278" s="21">
        <v>0.0</v>
      </c>
      <c r="O278" s="21">
        <v>0.0</v>
      </c>
    </row>
    <row r="279">
      <c r="B279" s="20">
        <v>46223.0</v>
      </c>
      <c r="C279" s="21">
        <f>6.6</f>
        <v>6.6</v>
      </c>
      <c r="D279" s="21">
        <f t="shared" ref="D279:H279" si="506">0</f>
        <v>0</v>
      </c>
      <c r="E279" s="21">
        <f t="shared" si="506"/>
        <v>0</v>
      </c>
      <c r="F279" s="21">
        <f t="shared" si="506"/>
        <v>0</v>
      </c>
      <c r="G279" s="21">
        <f t="shared" si="506"/>
        <v>0</v>
      </c>
      <c r="H279" s="21">
        <f t="shared" si="506"/>
        <v>0</v>
      </c>
      <c r="I279" s="21">
        <f>59.4</f>
        <v>59.4</v>
      </c>
      <c r="J279" s="21">
        <f t="shared" ref="J279:O279" si="507">0</f>
        <v>0</v>
      </c>
      <c r="K279" s="21">
        <f t="shared" si="507"/>
        <v>0</v>
      </c>
      <c r="L279" s="21">
        <f t="shared" si="507"/>
        <v>0</v>
      </c>
      <c r="M279" s="21">
        <f t="shared" si="507"/>
        <v>0</v>
      </c>
      <c r="N279" s="21">
        <f t="shared" si="507"/>
        <v>0</v>
      </c>
      <c r="O279" s="21">
        <f t="shared" si="507"/>
        <v>0</v>
      </c>
    </row>
    <row r="280">
      <c r="B280" s="20">
        <v>46223.0</v>
      </c>
      <c r="C280" s="21">
        <f>62</f>
        <v>62</v>
      </c>
      <c r="D280" s="21">
        <f t="shared" ref="D280:O280" si="508">0</f>
        <v>0</v>
      </c>
      <c r="E280" s="21">
        <f t="shared" si="508"/>
        <v>0</v>
      </c>
      <c r="F280" s="21">
        <f t="shared" si="508"/>
        <v>0</v>
      </c>
      <c r="G280" s="21">
        <f t="shared" si="508"/>
        <v>0</v>
      </c>
      <c r="H280" s="21">
        <f t="shared" si="508"/>
        <v>0</v>
      </c>
      <c r="I280" s="21">
        <f t="shared" si="508"/>
        <v>0</v>
      </c>
      <c r="J280" s="21">
        <f t="shared" si="508"/>
        <v>0</v>
      </c>
      <c r="K280" s="21">
        <f t="shared" si="508"/>
        <v>0</v>
      </c>
      <c r="L280" s="21">
        <f t="shared" si="508"/>
        <v>0</v>
      </c>
      <c r="M280" s="21">
        <f t="shared" si="508"/>
        <v>0</v>
      </c>
      <c r="N280" s="21">
        <f t="shared" si="508"/>
        <v>0</v>
      </c>
      <c r="O280" s="21">
        <f t="shared" si="508"/>
        <v>0</v>
      </c>
    </row>
    <row r="281">
      <c r="B281" s="20">
        <v>46224.0</v>
      </c>
      <c r="C281" s="21">
        <f t="shared" ref="C281:C284" si="511">0</f>
        <v>0</v>
      </c>
      <c r="D281" s="21">
        <f>13.5</f>
        <v>13.5</v>
      </c>
      <c r="E281" s="21">
        <f t="shared" ref="E281:L281" si="509">0</f>
        <v>0</v>
      </c>
      <c r="F281" s="21">
        <f t="shared" si="509"/>
        <v>0</v>
      </c>
      <c r="G281" s="21">
        <f t="shared" si="509"/>
        <v>0</v>
      </c>
      <c r="H281" s="21">
        <f t="shared" si="509"/>
        <v>0</v>
      </c>
      <c r="I281" s="21">
        <f t="shared" si="509"/>
        <v>0</v>
      </c>
      <c r="J281" s="21">
        <f t="shared" si="509"/>
        <v>0</v>
      </c>
      <c r="K281" s="21">
        <f t="shared" si="509"/>
        <v>0</v>
      </c>
      <c r="L281" s="21">
        <f t="shared" si="509"/>
        <v>0</v>
      </c>
      <c r="M281" s="21">
        <f>13.5</f>
        <v>13.5</v>
      </c>
      <c r="N281" s="21">
        <f t="shared" ref="N281:O281" si="510">0</f>
        <v>0</v>
      </c>
      <c r="O281" s="21">
        <f t="shared" si="510"/>
        <v>0</v>
      </c>
    </row>
    <row r="282">
      <c r="B282" s="20">
        <v>46224.0</v>
      </c>
      <c r="C282" s="21">
        <f t="shared" si="511"/>
        <v>0</v>
      </c>
      <c r="D282" s="21">
        <f t="shared" ref="D282:J282" si="512">0</f>
        <v>0</v>
      </c>
      <c r="E282" s="21">
        <f t="shared" si="512"/>
        <v>0</v>
      </c>
      <c r="F282" s="21">
        <f t="shared" si="512"/>
        <v>0</v>
      </c>
      <c r="G282" s="21">
        <f t="shared" si="512"/>
        <v>0</v>
      </c>
      <c r="H282" s="21">
        <f t="shared" si="512"/>
        <v>0</v>
      </c>
      <c r="I282" s="21">
        <f t="shared" si="512"/>
        <v>0</v>
      </c>
      <c r="J282" s="21">
        <f t="shared" si="512"/>
        <v>0</v>
      </c>
      <c r="K282" s="21">
        <f>559</f>
        <v>559</v>
      </c>
      <c r="L282" s="21">
        <f t="shared" ref="L282:O282" si="513">0</f>
        <v>0</v>
      </c>
      <c r="M282" s="21">
        <f t="shared" si="513"/>
        <v>0</v>
      </c>
      <c r="N282" s="21">
        <f t="shared" si="513"/>
        <v>0</v>
      </c>
      <c r="O282" s="21">
        <f t="shared" si="513"/>
        <v>0</v>
      </c>
    </row>
    <row r="283">
      <c r="B283" s="20">
        <v>46224.0</v>
      </c>
      <c r="C283" s="21">
        <f t="shared" si="511"/>
        <v>0</v>
      </c>
      <c r="D283" s="21">
        <f t="shared" ref="D283:H283" si="514">0</f>
        <v>0</v>
      </c>
      <c r="E283" s="21">
        <f t="shared" si="514"/>
        <v>0</v>
      </c>
      <c r="F283" s="21">
        <f t="shared" si="514"/>
        <v>0</v>
      </c>
      <c r="G283" s="21">
        <f t="shared" si="514"/>
        <v>0</v>
      </c>
      <c r="H283" s="21">
        <f t="shared" si="514"/>
        <v>0</v>
      </c>
      <c r="I283" s="21">
        <f>9.2</f>
        <v>9.2</v>
      </c>
      <c r="J283" s="21">
        <f t="shared" ref="J283:M283" si="515">0</f>
        <v>0</v>
      </c>
      <c r="K283" s="21">
        <f t="shared" si="515"/>
        <v>0</v>
      </c>
      <c r="L283" s="21">
        <f t="shared" si="515"/>
        <v>0</v>
      </c>
      <c r="M283" s="21">
        <f t="shared" si="515"/>
        <v>0</v>
      </c>
      <c r="N283" s="21">
        <f>9.2</f>
        <v>9.2</v>
      </c>
      <c r="O283" s="21">
        <f>27.6</f>
        <v>27.6</v>
      </c>
    </row>
    <row r="284">
      <c r="B284" s="20">
        <v>46224.0</v>
      </c>
      <c r="C284" s="21">
        <f t="shared" si="511"/>
        <v>0</v>
      </c>
      <c r="D284" s="21">
        <f t="shared" ref="D284:I284" si="516">0</f>
        <v>0</v>
      </c>
      <c r="E284" s="21">
        <f t="shared" si="516"/>
        <v>0</v>
      </c>
      <c r="F284" s="21">
        <f t="shared" si="516"/>
        <v>0</v>
      </c>
      <c r="G284" s="21">
        <f t="shared" si="516"/>
        <v>0</v>
      </c>
      <c r="H284" s="21">
        <f t="shared" si="516"/>
        <v>0</v>
      </c>
      <c r="I284" s="21">
        <f t="shared" si="516"/>
        <v>0</v>
      </c>
      <c r="J284" s="21">
        <f>67.5</f>
        <v>67.5</v>
      </c>
      <c r="K284" s="21">
        <f t="shared" ref="K284:L284" si="517">0</f>
        <v>0</v>
      </c>
      <c r="L284" s="21">
        <f t="shared" si="517"/>
        <v>0</v>
      </c>
      <c r="M284" s="21">
        <f>67.5</f>
        <v>67.5</v>
      </c>
      <c r="N284" s="21">
        <f t="shared" ref="N284:O284" si="518">0</f>
        <v>0</v>
      </c>
      <c r="O284" s="21">
        <f t="shared" si="518"/>
        <v>0</v>
      </c>
    </row>
    <row r="285">
      <c r="B285" s="20">
        <v>46224.0</v>
      </c>
      <c r="C285" s="21">
        <v>0.0</v>
      </c>
      <c r="D285" s="21">
        <v>0.0</v>
      </c>
      <c r="E285" s="21">
        <v>0.0</v>
      </c>
      <c r="F285" s="21">
        <v>0.0</v>
      </c>
      <c r="G285" s="21">
        <v>0.0</v>
      </c>
      <c r="H285" s="21">
        <v>0.0</v>
      </c>
      <c r="I285" s="21">
        <f>74</f>
        <v>74</v>
      </c>
      <c r="J285" s="21">
        <v>0.0</v>
      </c>
      <c r="K285" s="21">
        <v>0.0</v>
      </c>
      <c r="L285" s="21">
        <v>0.0</v>
      </c>
      <c r="M285" s="21">
        <v>0.0</v>
      </c>
      <c r="N285" s="21">
        <v>0.0</v>
      </c>
      <c r="O285" s="21">
        <v>0.0</v>
      </c>
    </row>
    <row r="286">
      <c r="B286" s="20">
        <v>46224.0</v>
      </c>
      <c r="C286" s="21">
        <v>0.0</v>
      </c>
      <c r="D286" s="21">
        <v>0.0</v>
      </c>
      <c r="E286" s="21">
        <v>0.0</v>
      </c>
      <c r="F286" s="21">
        <v>0.0</v>
      </c>
      <c r="G286" s="21">
        <v>0.0</v>
      </c>
      <c r="H286" s="21">
        <v>0.0</v>
      </c>
      <c r="I286" s="21">
        <f>78</f>
        <v>78</v>
      </c>
      <c r="J286" s="21">
        <v>0.0</v>
      </c>
      <c r="K286" s="21">
        <v>0.0</v>
      </c>
      <c r="L286" s="21">
        <v>0.0</v>
      </c>
      <c r="M286" s="21">
        <v>0.0</v>
      </c>
      <c r="N286" s="21">
        <v>0.0</v>
      </c>
      <c r="O286" s="21">
        <v>0.0</v>
      </c>
    </row>
    <row r="287">
      <c r="B287" s="20">
        <v>46224.0</v>
      </c>
      <c r="C287" s="21">
        <f t="shared" ref="C287:E287" si="519">0</f>
        <v>0</v>
      </c>
      <c r="D287" s="21">
        <f t="shared" si="519"/>
        <v>0</v>
      </c>
      <c r="E287" s="21">
        <f t="shared" si="519"/>
        <v>0</v>
      </c>
      <c r="F287" s="21">
        <f>3.8</f>
        <v>3.8</v>
      </c>
      <c r="G287" s="21">
        <f>15.2</f>
        <v>15.2</v>
      </c>
      <c r="H287" s="21">
        <f t="shared" ref="H287:O287" si="520">0</f>
        <v>0</v>
      </c>
      <c r="I287" s="21">
        <f t="shared" si="520"/>
        <v>0</v>
      </c>
      <c r="J287" s="21">
        <f t="shared" si="520"/>
        <v>0</v>
      </c>
      <c r="K287" s="21">
        <f t="shared" si="520"/>
        <v>0</v>
      </c>
      <c r="L287" s="21">
        <f t="shared" si="520"/>
        <v>0</v>
      </c>
      <c r="M287" s="21">
        <f t="shared" si="520"/>
        <v>0</v>
      </c>
      <c r="N287" s="21">
        <f t="shared" si="520"/>
        <v>0</v>
      </c>
      <c r="O287" s="21">
        <f t="shared" si="520"/>
        <v>0</v>
      </c>
    </row>
    <row r="288">
      <c r="B288" s="20">
        <v>46224.0</v>
      </c>
      <c r="C288" s="21">
        <f t="shared" ref="C288:E288" si="521">0</f>
        <v>0</v>
      </c>
      <c r="D288" s="21">
        <f t="shared" si="521"/>
        <v>0</v>
      </c>
      <c r="E288" s="21">
        <f t="shared" si="521"/>
        <v>0</v>
      </c>
      <c r="F288" s="21">
        <f>2.9</f>
        <v>2.9</v>
      </c>
      <c r="G288" s="21">
        <f t="shared" ref="G288:H288" si="522">0</f>
        <v>0</v>
      </c>
      <c r="H288" s="21">
        <f t="shared" si="522"/>
        <v>0</v>
      </c>
      <c r="I288" s="21">
        <f>5.8</f>
        <v>5.8</v>
      </c>
      <c r="J288" s="21">
        <f t="shared" ref="J288:L288" si="523">0</f>
        <v>0</v>
      </c>
      <c r="K288" s="21">
        <f t="shared" si="523"/>
        <v>0</v>
      </c>
      <c r="L288" s="21">
        <f t="shared" si="523"/>
        <v>0</v>
      </c>
      <c r="M288" s="21">
        <f>20.3</f>
        <v>20.3</v>
      </c>
      <c r="N288" s="21">
        <f t="shared" ref="N288:O288" si="524">0</f>
        <v>0</v>
      </c>
      <c r="O288" s="21">
        <f t="shared" si="524"/>
        <v>0</v>
      </c>
    </row>
    <row r="289">
      <c r="B289" s="20">
        <v>46224.0</v>
      </c>
      <c r="C289" s="21">
        <f t="shared" ref="C289:E289" si="525">0</f>
        <v>0</v>
      </c>
      <c r="D289" s="21">
        <f t="shared" si="525"/>
        <v>0</v>
      </c>
      <c r="E289" s="21">
        <f t="shared" si="525"/>
        <v>0</v>
      </c>
      <c r="F289" s="21">
        <f>2.6</f>
        <v>2.6</v>
      </c>
      <c r="G289" s="21">
        <f>5.2</f>
        <v>5.2</v>
      </c>
      <c r="H289" s="21">
        <f t="shared" ref="H289:L289" si="526">0</f>
        <v>0</v>
      </c>
      <c r="I289" s="21">
        <f t="shared" si="526"/>
        <v>0</v>
      </c>
      <c r="J289" s="21">
        <f t="shared" si="526"/>
        <v>0</v>
      </c>
      <c r="K289" s="21">
        <f t="shared" si="526"/>
        <v>0</v>
      </c>
      <c r="L289" s="21">
        <f t="shared" si="526"/>
        <v>0</v>
      </c>
      <c r="M289" s="21">
        <f>7.8</f>
        <v>7.8</v>
      </c>
      <c r="N289" s="21">
        <f>0</f>
        <v>0</v>
      </c>
      <c r="O289" s="21">
        <f>10.4</f>
        <v>10.4</v>
      </c>
    </row>
    <row r="290">
      <c r="B290" s="20">
        <v>46224.0</v>
      </c>
      <c r="C290" s="21">
        <f>94.5</f>
        <v>94.5</v>
      </c>
      <c r="D290" s="21">
        <f t="shared" ref="D290:H290" si="527">0</f>
        <v>0</v>
      </c>
      <c r="E290" s="21">
        <f t="shared" si="527"/>
        <v>0</v>
      </c>
      <c r="F290" s="21">
        <f t="shared" si="527"/>
        <v>0</v>
      </c>
      <c r="G290" s="21">
        <f t="shared" si="527"/>
        <v>0</v>
      </c>
      <c r="H290" s="21">
        <f t="shared" si="527"/>
        <v>0</v>
      </c>
      <c r="I290" s="21">
        <f>40.5</f>
        <v>40.5</v>
      </c>
      <c r="J290" s="21">
        <f t="shared" ref="J290:O290" si="528">0</f>
        <v>0</v>
      </c>
      <c r="K290" s="21">
        <f t="shared" si="528"/>
        <v>0</v>
      </c>
      <c r="L290" s="21">
        <f t="shared" si="528"/>
        <v>0</v>
      </c>
      <c r="M290" s="21">
        <f t="shared" si="528"/>
        <v>0</v>
      </c>
      <c r="N290" s="21">
        <f t="shared" si="528"/>
        <v>0</v>
      </c>
      <c r="O290" s="21">
        <f t="shared" si="528"/>
        <v>0</v>
      </c>
    </row>
    <row r="291">
      <c r="B291" s="20">
        <v>46224.0</v>
      </c>
      <c r="C291" s="21">
        <v>0.0</v>
      </c>
      <c r="D291" s="21">
        <v>0.0</v>
      </c>
      <c r="E291" s="21">
        <v>0.0</v>
      </c>
      <c r="F291" s="21">
        <v>0.0</v>
      </c>
      <c r="G291" s="21">
        <v>0.0</v>
      </c>
      <c r="H291" s="21">
        <v>0.0</v>
      </c>
      <c r="I291" s="21">
        <v>0.0</v>
      </c>
      <c r="J291" s="21">
        <v>0.0</v>
      </c>
      <c r="K291" s="21">
        <v>0.0</v>
      </c>
      <c r="L291" s="21">
        <v>0.0</v>
      </c>
      <c r="M291" s="21">
        <v>0.0</v>
      </c>
      <c r="N291" s="21">
        <v>0.0</v>
      </c>
      <c r="O291" s="21">
        <f>38</f>
        <v>38</v>
      </c>
    </row>
    <row r="292">
      <c r="B292" s="20">
        <v>46224.0</v>
      </c>
      <c r="C292" s="21">
        <f>4.8</f>
        <v>4.8</v>
      </c>
      <c r="D292" s="21">
        <f t="shared" ref="D292:H292" si="529">0</f>
        <v>0</v>
      </c>
      <c r="E292" s="21">
        <f t="shared" si="529"/>
        <v>0</v>
      </c>
      <c r="F292" s="21">
        <f t="shared" si="529"/>
        <v>0</v>
      </c>
      <c r="G292" s="21">
        <f t="shared" si="529"/>
        <v>0</v>
      </c>
      <c r="H292" s="21">
        <f t="shared" si="529"/>
        <v>0</v>
      </c>
      <c r="I292" s="21">
        <f>43.2</f>
        <v>43.2</v>
      </c>
      <c r="J292" s="21">
        <f t="shared" ref="J292:O292" si="530">0</f>
        <v>0</v>
      </c>
      <c r="K292" s="21">
        <f t="shared" si="530"/>
        <v>0</v>
      </c>
      <c r="L292" s="21">
        <f t="shared" si="530"/>
        <v>0</v>
      </c>
      <c r="M292" s="21">
        <f t="shared" si="530"/>
        <v>0</v>
      </c>
      <c r="N292" s="21">
        <f t="shared" si="530"/>
        <v>0</v>
      </c>
      <c r="O292" s="21">
        <f t="shared" si="530"/>
        <v>0</v>
      </c>
    </row>
    <row r="293">
      <c r="B293" s="20">
        <v>46224.0</v>
      </c>
      <c r="C293" s="21">
        <f t="shared" ref="C293:L293" si="531">0</f>
        <v>0</v>
      </c>
      <c r="D293" s="21">
        <f t="shared" si="531"/>
        <v>0</v>
      </c>
      <c r="E293" s="21">
        <f t="shared" si="531"/>
        <v>0</v>
      </c>
      <c r="F293" s="21">
        <f t="shared" si="531"/>
        <v>0</v>
      </c>
      <c r="G293" s="21">
        <f t="shared" si="531"/>
        <v>0</v>
      </c>
      <c r="H293" s="21">
        <f t="shared" si="531"/>
        <v>0</v>
      </c>
      <c r="I293" s="21">
        <f t="shared" si="531"/>
        <v>0</v>
      </c>
      <c r="J293" s="21">
        <f t="shared" si="531"/>
        <v>0</v>
      </c>
      <c r="K293" s="21">
        <f t="shared" si="531"/>
        <v>0</v>
      </c>
      <c r="L293" s="21">
        <f t="shared" si="531"/>
        <v>0</v>
      </c>
      <c r="M293" s="21">
        <f>59</f>
        <v>59</v>
      </c>
      <c r="N293" s="21">
        <f t="shared" ref="N293:O293" si="532">0</f>
        <v>0</v>
      </c>
      <c r="O293" s="21">
        <f t="shared" si="532"/>
        <v>0</v>
      </c>
    </row>
    <row r="294">
      <c r="B294" s="20">
        <v>46224.0</v>
      </c>
      <c r="C294" s="21">
        <f>14.5</f>
        <v>14.5</v>
      </c>
      <c r="D294" s="21">
        <f t="shared" ref="D294:F294" si="533">0</f>
        <v>0</v>
      </c>
      <c r="E294" s="21">
        <f t="shared" si="533"/>
        <v>0</v>
      </c>
      <c r="F294" s="21">
        <f t="shared" si="533"/>
        <v>0</v>
      </c>
      <c r="G294" s="21">
        <f>2.9</f>
        <v>2.9</v>
      </c>
      <c r="H294" s="21">
        <f t="shared" ref="H294:M294" si="534">0</f>
        <v>0</v>
      </c>
      <c r="I294" s="21">
        <f t="shared" si="534"/>
        <v>0</v>
      </c>
      <c r="J294" s="21">
        <f t="shared" si="534"/>
        <v>0</v>
      </c>
      <c r="K294" s="21">
        <f t="shared" si="534"/>
        <v>0</v>
      </c>
      <c r="L294" s="21">
        <f t="shared" si="534"/>
        <v>0</v>
      </c>
      <c r="M294" s="21">
        <f t="shared" si="534"/>
        <v>0</v>
      </c>
      <c r="N294" s="21">
        <f>11.6</f>
        <v>11.6</v>
      </c>
      <c r="O294" s="21">
        <f>0</f>
        <v>0</v>
      </c>
    </row>
    <row r="295">
      <c r="B295" s="20">
        <v>46224.0</v>
      </c>
      <c r="C295" s="21">
        <f t="shared" ref="C295:F295" si="535">0</f>
        <v>0</v>
      </c>
      <c r="D295" s="21">
        <f t="shared" si="535"/>
        <v>0</v>
      </c>
      <c r="E295" s="21">
        <f t="shared" si="535"/>
        <v>0</v>
      </c>
      <c r="F295" s="21">
        <f t="shared" si="535"/>
        <v>0</v>
      </c>
      <c r="G295" s="21">
        <f>23.4</f>
        <v>23.4</v>
      </c>
      <c r="H295" s="21">
        <f t="shared" ref="H295:N295" si="536">0</f>
        <v>0</v>
      </c>
      <c r="I295" s="21">
        <f t="shared" si="536"/>
        <v>0</v>
      </c>
      <c r="J295" s="21">
        <f t="shared" si="536"/>
        <v>0</v>
      </c>
      <c r="K295" s="21">
        <f t="shared" si="536"/>
        <v>0</v>
      </c>
      <c r="L295" s="21">
        <f t="shared" si="536"/>
        <v>0</v>
      </c>
      <c r="M295" s="21">
        <f t="shared" si="536"/>
        <v>0</v>
      </c>
      <c r="N295" s="21">
        <f t="shared" si="536"/>
        <v>0</v>
      </c>
      <c r="O295" s="21">
        <f>2.6</f>
        <v>2.6</v>
      </c>
    </row>
    <row r="296">
      <c r="B296" s="20">
        <v>46225.0</v>
      </c>
      <c r="C296" s="21">
        <f t="shared" ref="C296:E296" si="537">0</f>
        <v>0</v>
      </c>
      <c r="D296" s="21">
        <f t="shared" si="537"/>
        <v>0</v>
      </c>
      <c r="E296" s="21">
        <f t="shared" si="537"/>
        <v>0</v>
      </c>
      <c r="F296" s="21">
        <f>26.4</f>
        <v>26.4</v>
      </c>
      <c r="G296" s="21">
        <f t="shared" ref="G296:H296" si="538">0</f>
        <v>0</v>
      </c>
      <c r="H296" s="21">
        <f t="shared" si="538"/>
        <v>0</v>
      </c>
      <c r="I296" s="21">
        <f>6.6</f>
        <v>6.6</v>
      </c>
      <c r="J296" s="21">
        <f t="shared" ref="J296:O296" si="539">0</f>
        <v>0</v>
      </c>
      <c r="K296" s="21">
        <f t="shared" si="539"/>
        <v>0</v>
      </c>
      <c r="L296" s="21">
        <f t="shared" si="539"/>
        <v>0</v>
      </c>
      <c r="M296" s="21">
        <f t="shared" si="539"/>
        <v>0</v>
      </c>
      <c r="N296" s="21">
        <f t="shared" si="539"/>
        <v>0</v>
      </c>
      <c r="O296" s="21">
        <f t="shared" si="539"/>
        <v>0</v>
      </c>
    </row>
    <row r="297">
      <c r="B297" s="20">
        <v>46225.0</v>
      </c>
      <c r="C297" s="21">
        <f>10.5</f>
        <v>10.5</v>
      </c>
      <c r="D297" s="21">
        <f t="shared" ref="D297:E297" si="540">0</f>
        <v>0</v>
      </c>
      <c r="E297" s="21">
        <f t="shared" si="540"/>
        <v>0</v>
      </c>
      <c r="F297" s="21">
        <f>14</f>
        <v>14</v>
      </c>
      <c r="G297" s="21">
        <f t="shared" ref="G297:H297" si="541">0</f>
        <v>0</v>
      </c>
      <c r="H297" s="21">
        <f t="shared" si="541"/>
        <v>0</v>
      </c>
      <c r="I297" s="21">
        <f>10.5</f>
        <v>10.5</v>
      </c>
      <c r="J297" s="21">
        <f t="shared" ref="J297:O297" si="542">0</f>
        <v>0</v>
      </c>
      <c r="K297" s="21">
        <f t="shared" si="542"/>
        <v>0</v>
      </c>
      <c r="L297" s="21">
        <f t="shared" si="542"/>
        <v>0</v>
      </c>
      <c r="M297" s="21">
        <f t="shared" si="542"/>
        <v>0</v>
      </c>
      <c r="N297" s="21">
        <f t="shared" si="542"/>
        <v>0</v>
      </c>
      <c r="O297" s="21">
        <f t="shared" si="542"/>
        <v>0</v>
      </c>
    </row>
    <row r="298">
      <c r="B298" s="20">
        <v>46225.0</v>
      </c>
      <c r="C298" s="21">
        <f>7.6</f>
        <v>7.6</v>
      </c>
      <c r="D298" s="21">
        <f t="shared" ref="D298:H298" si="543">0</f>
        <v>0</v>
      </c>
      <c r="E298" s="21">
        <f t="shared" si="543"/>
        <v>0</v>
      </c>
      <c r="F298" s="21">
        <f t="shared" si="543"/>
        <v>0</v>
      </c>
      <c r="G298" s="21">
        <f t="shared" si="543"/>
        <v>0</v>
      </c>
      <c r="H298" s="21">
        <f t="shared" si="543"/>
        <v>0</v>
      </c>
      <c r="I298" s="21">
        <f>68.4</f>
        <v>68.4</v>
      </c>
      <c r="J298" s="21">
        <f t="shared" ref="J298:O298" si="544">0</f>
        <v>0</v>
      </c>
      <c r="K298" s="21">
        <f t="shared" si="544"/>
        <v>0</v>
      </c>
      <c r="L298" s="21">
        <f t="shared" si="544"/>
        <v>0</v>
      </c>
      <c r="M298" s="21">
        <f t="shared" si="544"/>
        <v>0</v>
      </c>
      <c r="N298" s="21">
        <f t="shared" si="544"/>
        <v>0</v>
      </c>
      <c r="O298" s="21">
        <f t="shared" si="544"/>
        <v>0</v>
      </c>
    </row>
    <row r="299">
      <c r="B299" s="20">
        <v>46225.0</v>
      </c>
      <c r="C299" s="21">
        <f>24</f>
        <v>24</v>
      </c>
      <c r="D299" s="21">
        <f t="shared" ref="D299:H299" si="545">0</f>
        <v>0</v>
      </c>
      <c r="E299" s="21">
        <f t="shared" si="545"/>
        <v>0</v>
      </c>
      <c r="F299" s="21">
        <f t="shared" si="545"/>
        <v>0</v>
      </c>
      <c r="G299" s="21">
        <f t="shared" si="545"/>
        <v>0</v>
      </c>
      <c r="H299" s="21">
        <f t="shared" si="545"/>
        <v>0</v>
      </c>
      <c r="I299" s="21">
        <f>36</f>
        <v>36</v>
      </c>
      <c r="J299" s="21">
        <f t="shared" ref="J299:O299" si="546">0</f>
        <v>0</v>
      </c>
      <c r="K299" s="21">
        <f t="shared" si="546"/>
        <v>0</v>
      </c>
      <c r="L299" s="21">
        <f t="shared" si="546"/>
        <v>0</v>
      </c>
      <c r="M299" s="21">
        <f t="shared" si="546"/>
        <v>0</v>
      </c>
      <c r="N299" s="21">
        <f t="shared" si="546"/>
        <v>0</v>
      </c>
      <c r="O299" s="21">
        <f t="shared" si="546"/>
        <v>0</v>
      </c>
    </row>
    <row r="300">
      <c r="B300" s="20">
        <v>46225.0</v>
      </c>
      <c r="C300" s="21">
        <v>0.0</v>
      </c>
      <c r="D300" s="21">
        <v>0.0</v>
      </c>
      <c r="E300" s="21">
        <v>0.0</v>
      </c>
      <c r="F300" s="21">
        <v>0.0</v>
      </c>
      <c r="G300" s="21">
        <v>0.0</v>
      </c>
      <c r="H300" s="21">
        <v>0.0</v>
      </c>
      <c r="I300" s="21">
        <f>28</f>
        <v>28</v>
      </c>
      <c r="J300" s="21">
        <v>0.0</v>
      </c>
      <c r="K300" s="21">
        <v>0.0</v>
      </c>
      <c r="L300" s="21">
        <v>0.0</v>
      </c>
      <c r="M300" s="21">
        <v>0.0</v>
      </c>
      <c r="N300" s="21">
        <v>0.0</v>
      </c>
      <c r="O300" s="21">
        <v>0.0</v>
      </c>
    </row>
    <row r="301">
      <c r="B301" s="20">
        <v>46225.0</v>
      </c>
      <c r="C301" s="21">
        <f>13.6</f>
        <v>13.6</v>
      </c>
      <c r="D301" s="21">
        <f t="shared" ref="D301:H301" si="547">0</f>
        <v>0</v>
      </c>
      <c r="E301" s="21">
        <f t="shared" si="547"/>
        <v>0</v>
      </c>
      <c r="F301" s="21">
        <f t="shared" si="547"/>
        <v>0</v>
      </c>
      <c r="G301" s="21">
        <f t="shared" si="547"/>
        <v>0</v>
      </c>
      <c r="H301" s="21">
        <f t="shared" si="547"/>
        <v>0</v>
      </c>
      <c r="I301" s="21">
        <f>13.6</f>
        <v>13.6</v>
      </c>
      <c r="J301" s="21">
        <f t="shared" ref="J301:L301" si="548">0</f>
        <v>0</v>
      </c>
      <c r="K301" s="21">
        <f t="shared" si="548"/>
        <v>0</v>
      </c>
      <c r="L301" s="21">
        <f t="shared" si="548"/>
        <v>0</v>
      </c>
      <c r="M301" s="21">
        <f>6.8</f>
        <v>6.8</v>
      </c>
      <c r="N301" s="21">
        <f t="shared" ref="N301:O301" si="549">0</f>
        <v>0</v>
      </c>
      <c r="O301" s="21">
        <f t="shared" si="549"/>
        <v>0</v>
      </c>
    </row>
    <row r="302">
      <c r="B302" s="20">
        <v>46225.0</v>
      </c>
      <c r="C302" s="21">
        <f t="shared" ref="C302:C304" si="551">0</f>
        <v>0</v>
      </c>
      <c r="D302" s="21">
        <f>2.8</f>
        <v>2.8</v>
      </c>
      <c r="E302" s="21">
        <f t="shared" ref="E302:E303" si="552">0</f>
        <v>0</v>
      </c>
      <c r="F302" s="21">
        <f>16.8</f>
        <v>16.8</v>
      </c>
      <c r="G302" s="21">
        <f t="shared" ref="G302:M302" si="550">0</f>
        <v>0</v>
      </c>
      <c r="H302" s="21">
        <f t="shared" si="550"/>
        <v>0</v>
      </c>
      <c r="I302" s="21">
        <f t="shared" si="550"/>
        <v>0</v>
      </c>
      <c r="J302" s="21">
        <f t="shared" si="550"/>
        <v>0</v>
      </c>
      <c r="K302" s="21">
        <f t="shared" si="550"/>
        <v>0</v>
      </c>
      <c r="L302" s="21">
        <f t="shared" si="550"/>
        <v>0</v>
      </c>
      <c r="M302" s="21">
        <f t="shared" si="550"/>
        <v>0</v>
      </c>
      <c r="N302" s="21">
        <f>8.4</f>
        <v>8.4</v>
      </c>
      <c r="O302" s="21">
        <f>0</f>
        <v>0</v>
      </c>
    </row>
    <row r="303">
      <c r="B303" s="20">
        <v>46225.0</v>
      </c>
      <c r="C303" s="21">
        <f t="shared" si="551"/>
        <v>0</v>
      </c>
      <c r="D303" s="21">
        <f>6.6</f>
        <v>6.6</v>
      </c>
      <c r="E303" s="21">
        <f t="shared" si="552"/>
        <v>0</v>
      </c>
      <c r="F303" s="21">
        <f t="shared" ref="F303:N303" si="553">0</f>
        <v>0</v>
      </c>
      <c r="G303" s="21">
        <f t="shared" si="553"/>
        <v>0</v>
      </c>
      <c r="H303" s="21">
        <f t="shared" si="553"/>
        <v>0</v>
      </c>
      <c r="I303" s="21">
        <f t="shared" si="553"/>
        <v>0</v>
      </c>
      <c r="J303" s="21">
        <f t="shared" si="553"/>
        <v>0</v>
      </c>
      <c r="K303" s="21">
        <f t="shared" si="553"/>
        <v>0</v>
      </c>
      <c r="L303" s="21">
        <f t="shared" si="553"/>
        <v>0</v>
      </c>
      <c r="M303" s="21">
        <f t="shared" si="553"/>
        <v>0</v>
      </c>
      <c r="N303" s="21">
        <f t="shared" si="553"/>
        <v>0</v>
      </c>
      <c r="O303" s="21">
        <f>15.4</f>
        <v>15.4</v>
      </c>
    </row>
    <row r="304">
      <c r="B304" s="20">
        <v>46225.0</v>
      </c>
      <c r="C304" s="21">
        <f t="shared" si="551"/>
        <v>0</v>
      </c>
      <c r="D304" s="21">
        <f t="shared" ref="D304:E304" si="554">0</f>
        <v>0</v>
      </c>
      <c r="E304" s="21">
        <f t="shared" si="554"/>
        <v>0</v>
      </c>
      <c r="F304" s="21">
        <f>9.3</f>
        <v>9.3</v>
      </c>
      <c r="G304" s="21">
        <f t="shared" ref="G304:H304" si="555">0</f>
        <v>0</v>
      </c>
      <c r="H304" s="21">
        <f t="shared" si="555"/>
        <v>0</v>
      </c>
      <c r="I304" s="21">
        <f>9.3</f>
        <v>9.3</v>
      </c>
      <c r="J304" s="21">
        <f t="shared" ref="J304:L304" si="556">0</f>
        <v>0</v>
      </c>
      <c r="K304" s="21">
        <f t="shared" si="556"/>
        <v>0</v>
      </c>
      <c r="L304" s="21">
        <f t="shared" si="556"/>
        <v>0</v>
      </c>
      <c r="M304" s="21">
        <f>9.3</f>
        <v>9.3</v>
      </c>
      <c r="N304" s="21">
        <f>0</f>
        <v>0</v>
      </c>
      <c r="O304" s="21">
        <f>3.1</f>
        <v>3.1</v>
      </c>
    </row>
    <row r="305">
      <c r="B305" s="20">
        <v>46225.0</v>
      </c>
      <c r="C305" s="21">
        <f>13.5</f>
        <v>13.5</v>
      </c>
      <c r="D305" s="21">
        <f t="shared" ref="D305:H305" si="557">0</f>
        <v>0</v>
      </c>
      <c r="E305" s="21">
        <f t="shared" si="557"/>
        <v>0</v>
      </c>
      <c r="F305" s="21">
        <f t="shared" si="557"/>
        <v>0</v>
      </c>
      <c r="G305" s="21">
        <f t="shared" si="557"/>
        <v>0</v>
      </c>
      <c r="H305" s="21">
        <f t="shared" si="557"/>
        <v>0</v>
      </c>
      <c r="I305" s="21">
        <f>13.5</f>
        <v>13.5</v>
      </c>
      <c r="J305" s="21">
        <f t="shared" ref="J305:O305" si="558">0</f>
        <v>0</v>
      </c>
      <c r="K305" s="21">
        <f t="shared" si="558"/>
        <v>0</v>
      </c>
      <c r="L305" s="21">
        <f t="shared" si="558"/>
        <v>0</v>
      </c>
      <c r="M305" s="21">
        <f t="shared" si="558"/>
        <v>0</v>
      </c>
      <c r="N305" s="21">
        <f t="shared" si="558"/>
        <v>0</v>
      </c>
      <c r="O305" s="21">
        <f t="shared" si="558"/>
        <v>0</v>
      </c>
    </row>
    <row r="306">
      <c r="B306" s="20">
        <v>46225.0</v>
      </c>
      <c r="C306" s="21">
        <f t="shared" ref="C306:F306" si="559">0</f>
        <v>0</v>
      </c>
      <c r="D306" s="21">
        <f t="shared" si="559"/>
        <v>0</v>
      </c>
      <c r="E306" s="21">
        <f t="shared" si="559"/>
        <v>0</v>
      </c>
      <c r="F306" s="21">
        <f t="shared" si="559"/>
        <v>0</v>
      </c>
      <c r="G306" s="21">
        <f>32.9</f>
        <v>32.9</v>
      </c>
      <c r="H306" s="21">
        <f>0</f>
        <v>0</v>
      </c>
      <c r="I306" s="21">
        <f>14.1</f>
        <v>14.1</v>
      </c>
      <c r="J306" s="21">
        <f t="shared" ref="J306:O306" si="560">0</f>
        <v>0</v>
      </c>
      <c r="K306" s="21">
        <f t="shared" si="560"/>
        <v>0</v>
      </c>
      <c r="L306" s="21">
        <f t="shared" si="560"/>
        <v>0</v>
      </c>
      <c r="M306" s="21">
        <f t="shared" si="560"/>
        <v>0</v>
      </c>
      <c r="N306" s="21">
        <f t="shared" si="560"/>
        <v>0</v>
      </c>
      <c r="O306" s="21">
        <f t="shared" si="560"/>
        <v>0</v>
      </c>
    </row>
    <row r="307">
      <c r="B307" s="20">
        <v>46225.0</v>
      </c>
      <c r="C307" s="21">
        <v>0.0</v>
      </c>
      <c r="D307" s="21">
        <v>0.0</v>
      </c>
      <c r="E307" s="21">
        <v>0.0</v>
      </c>
      <c r="F307" s="21">
        <v>0.0</v>
      </c>
      <c r="G307" s="21">
        <v>0.0</v>
      </c>
      <c r="H307" s="21">
        <v>0.0</v>
      </c>
      <c r="I307" s="21">
        <v>0.0</v>
      </c>
      <c r="J307" s="21">
        <v>0.0</v>
      </c>
      <c r="K307" s="21">
        <v>0.0</v>
      </c>
      <c r="L307" s="21">
        <v>0.0</v>
      </c>
      <c r="M307" s="21">
        <v>0.0</v>
      </c>
      <c r="N307" s="21">
        <v>0.0</v>
      </c>
      <c r="O307" s="21">
        <f>72</f>
        <v>72</v>
      </c>
    </row>
    <row r="308">
      <c r="B308" s="20">
        <v>46226.0</v>
      </c>
      <c r="C308" s="21">
        <f>11.6</f>
        <v>11.6</v>
      </c>
      <c r="D308" s="21">
        <f>5.8</f>
        <v>5.8</v>
      </c>
      <c r="E308" s="21">
        <f t="shared" ref="E308:H308" si="561">0</f>
        <v>0</v>
      </c>
      <c r="F308" s="21">
        <f t="shared" si="561"/>
        <v>0</v>
      </c>
      <c r="G308" s="21">
        <f t="shared" si="561"/>
        <v>0</v>
      </c>
      <c r="H308" s="21">
        <f t="shared" si="561"/>
        <v>0</v>
      </c>
      <c r="I308" s="21">
        <f>5.8</f>
        <v>5.8</v>
      </c>
      <c r="J308" s="21">
        <f t="shared" ref="J308:M308" si="562">0</f>
        <v>0</v>
      </c>
      <c r="K308" s="21">
        <f t="shared" si="562"/>
        <v>0</v>
      </c>
      <c r="L308" s="21">
        <f t="shared" si="562"/>
        <v>0</v>
      </c>
      <c r="M308" s="21">
        <f t="shared" si="562"/>
        <v>0</v>
      </c>
      <c r="N308" s="21">
        <f>5.8</f>
        <v>5.8</v>
      </c>
      <c r="O308" s="21">
        <f>0</f>
        <v>0</v>
      </c>
    </row>
    <row r="309">
      <c r="B309" s="20">
        <v>46226.0</v>
      </c>
      <c r="C309" s="21">
        <f>55.2</f>
        <v>55.2</v>
      </c>
      <c r="D309" s="21">
        <f t="shared" ref="D309:H309" si="563">0</f>
        <v>0</v>
      </c>
      <c r="E309" s="21">
        <f t="shared" si="563"/>
        <v>0</v>
      </c>
      <c r="F309" s="21">
        <f t="shared" si="563"/>
        <v>0</v>
      </c>
      <c r="G309" s="21">
        <f t="shared" si="563"/>
        <v>0</v>
      </c>
      <c r="H309" s="21">
        <f t="shared" si="563"/>
        <v>0</v>
      </c>
      <c r="I309" s="21">
        <f>13.8</f>
        <v>13.8</v>
      </c>
      <c r="J309" s="21">
        <f t="shared" ref="J309:O309" si="564">0</f>
        <v>0</v>
      </c>
      <c r="K309" s="21">
        <f t="shared" si="564"/>
        <v>0</v>
      </c>
      <c r="L309" s="21">
        <f t="shared" si="564"/>
        <v>0</v>
      </c>
      <c r="M309" s="21">
        <f t="shared" si="564"/>
        <v>0</v>
      </c>
      <c r="N309" s="21">
        <f t="shared" si="564"/>
        <v>0</v>
      </c>
      <c r="O309" s="21">
        <f t="shared" si="564"/>
        <v>0</v>
      </c>
    </row>
    <row r="310">
      <c r="B310" s="20">
        <v>46226.0</v>
      </c>
      <c r="C310" s="21">
        <f t="shared" ref="C310:L310" si="565">0</f>
        <v>0</v>
      </c>
      <c r="D310" s="21">
        <f t="shared" si="565"/>
        <v>0</v>
      </c>
      <c r="E310" s="21">
        <f t="shared" si="565"/>
        <v>0</v>
      </c>
      <c r="F310" s="21">
        <f t="shared" si="565"/>
        <v>0</v>
      </c>
      <c r="G310" s="21">
        <f t="shared" si="565"/>
        <v>0</v>
      </c>
      <c r="H310" s="21">
        <f t="shared" si="565"/>
        <v>0</v>
      </c>
      <c r="I310" s="21">
        <f t="shared" si="565"/>
        <v>0</v>
      </c>
      <c r="J310" s="21">
        <f t="shared" si="565"/>
        <v>0</v>
      </c>
      <c r="K310" s="21">
        <f t="shared" si="565"/>
        <v>0</v>
      </c>
      <c r="L310" s="21">
        <f t="shared" si="565"/>
        <v>0</v>
      </c>
      <c r="M310" s="21">
        <f>28.8</f>
        <v>28.8</v>
      </c>
      <c r="N310" s="21">
        <f t="shared" ref="N310:O310" si="566">3.6</f>
        <v>3.6</v>
      </c>
      <c r="O310" s="21">
        <f t="shared" si="566"/>
        <v>3.6</v>
      </c>
    </row>
    <row r="311">
      <c r="B311" s="20">
        <v>46226.0</v>
      </c>
      <c r="C311" s="21">
        <f>1.9</f>
        <v>1.9</v>
      </c>
      <c r="D311" s="21">
        <f t="shared" ref="D311:L311" si="567">0</f>
        <v>0</v>
      </c>
      <c r="E311" s="21">
        <f t="shared" si="567"/>
        <v>0</v>
      </c>
      <c r="F311" s="21">
        <f t="shared" si="567"/>
        <v>0</v>
      </c>
      <c r="G311" s="21">
        <f t="shared" si="567"/>
        <v>0</v>
      </c>
      <c r="H311" s="21">
        <f t="shared" si="567"/>
        <v>0</v>
      </c>
      <c r="I311" s="21">
        <f t="shared" si="567"/>
        <v>0</v>
      </c>
      <c r="J311" s="21">
        <f t="shared" si="567"/>
        <v>0</v>
      </c>
      <c r="K311" s="21">
        <f t="shared" si="567"/>
        <v>0</v>
      </c>
      <c r="L311" s="21">
        <f t="shared" si="567"/>
        <v>0</v>
      </c>
      <c r="M311" s="21">
        <f>17.1</f>
        <v>17.1</v>
      </c>
      <c r="N311" s="21">
        <f t="shared" ref="N311:O311" si="568">0</f>
        <v>0</v>
      </c>
      <c r="O311" s="21">
        <f t="shared" si="568"/>
        <v>0</v>
      </c>
    </row>
    <row r="312">
      <c r="B312" s="20">
        <v>46226.0</v>
      </c>
      <c r="C312" s="21">
        <f>3.1</f>
        <v>3.1</v>
      </c>
      <c r="D312" s="21">
        <f t="shared" ref="D312:H312" si="569">0</f>
        <v>0</v>
      </c>
      <c r="E312" s="21">
        <f t="shared" si="569"/>
        <v>0</v>
      </c>
      <c r="F312" s="21">
        <f t="shared" si="569"/>
        <v>0</v>
      </c>
      <c r="G312" s="21">
        <f t="shared" si="569"/>
        <v>0</v>
      </c>
      <c r="H312" s="21">
        <f t="shared" si="569"/>
        <v>0</v>
      </c>
      <c r="I312" s="21">
        <f>12.4</f>
        <v>12.4</v>
      </c>
      <c r="J312" s="21">
        <f t="shared" ref="J312:L312" si="570">0</f>
        <v>0</v>
      </c>
      <c r="K312" s="21">
        <f t="shared" si="570"/>
        <v>0</v>
      </c>
      <c r="L312" s="21">
        <f t="shared" si="570"/>
        <v>0</v>
      </c>
      <c r="M312" s="21">
        <f>15.5</f>
        <v>15.5</v>
      </c>
      <c r="N312" s="21">
        <f t="shared" ref="N312:O312" si="571">0</f>
        <v>0</v>
      </c>
      <c r="O312" s="21">
        <f t="shared" si="571"/>
        <v>0</v>
      </c>
    </row>
    <row r="313">
      <c r="B313" s="20">
        <v>46226.0</v>
      </c>
      <c r="C313" s="21">
        <f t="shared" ref="C313:D313" si="572">0</f>
        <v>0</v>
      </c>
      <c r="D313" s="21">
        <f t="shared" si="572"/>
        <v>0</v>
      </c>
      <c r="E313" s="21">
        <f>17.1</f>
        <v>17.1</v>
      </c>
      <c r="F313" s="21">
        <f t="shared" ref="F313:N313" si="573">0</f>
        <v>0</v>
      </c>
      <c r="G313" s="21">
        <f t="shared" si="573"/>
        <v>0</v>
      </c>
      <c r="H313" s="21">
        <f t="shared" si="573"/>
        <v>0</v>
      </c>
      <c r="I313" s="21">
        <f t="shared" si="573"/>
        <v>0</v>
      </c>
      <c r="J313" s="21">
        <f t="shared" si="573"/>
        <v>0</v>
      </c>
      <c r="K313" s="21">
        <f t="shared" si="573"/>
        <v>0</v>
      </c>
      <c r="L313" s="21">
        <f t="shared" si="573"/>
        <v>0</v>
      </c>
      <c r="M313" s="21">
        <f t="shared" si="573"/>
        <v>0</v>
      </c>
      <c r="N313" s="21">
        <f t="shared" si="573"/>
        <v>0</v>
      </c>
      <c r="O313" s="21">
        <f>39.9</f>
        <v>39.9</v>
      </c>
    </row>
    <row r="314">
      <c r="B314" s="20">
        <v>46227.0</v>
      </c>
      <c r="C314" s="21">
        <f>66</f>
        <v>66</v>
      </c>
      <c r="D314" s="21">
        <f t="shared" ref="D314:O314" si="574">0</f>
        <v>0</v>
      </c>
      <c r="E314" s="21">
        <f t="shared" si="574"/>
        <v>0</v>
      </c>
      <c r="F314" s="21">
        <f t="shared" si="574"/>
        <v>0</v>
      </c>
      <c r="G314" s="21">
        <f t="shared" si="574"/>
        <v>0</v>
      </c>
      <c r="H314" s="21">
        <f t="shared" si="574"/>
        <v>0</v>
      </c>
      <c r="I314" s="21">
        <f t="shared" si="574"/>
        <v>0</v>
      </c>
      <c r="J314" s="21">
        <f t="shared" si="574"/>
        <v>0</v>
      </c>
      <c r="K314" s="21">
        <f t="shared" si="574"/>
        <v>0</v>
      </c>
      <c r="L314" s="21">
        <f t="shared" si="574"/>
        <v>0</v>
      </c>
      <c r="M314" s="21">
        <f t="shared" si="574"/>
        <v>0</v>
      </c>
      <c r="N314" s="21">
        <f t="shared" si="574"/>
        <v>0</v>
      </c>
      <c r="O314" s="21">
        <f t="shared" si="574"/>
        <v>0</v>
      </c>
    </row>
    <row r="315">
      <c r="B315" s="20">
        <v>46227.0</v>
      </c>
      <c r="C315" s="21">
        <f>24.5</f>
        <v>24.5</v>
      </c>
      <c r="D315" s="21">
        <f t="shared" ref="D315:H315" si="575">0</f>
        <v>0</v>
      </c>
      <c r="E315" s="21">
        <f t="shared" si="575"/>
        <v>0</v>
      </c>
      <c r="F315" s="21">
        <f t="shared" si="575"/>
        <v>0</v>
      </c>
      <c r="G315" s="21">
        <f t="shared" si="575"/>
        <v>0</v>
      </c>
      <c r="H315" s="21">
        <f t="shared" si="575"/>
        <v>0</v>
      </c>
      <c r="I315" s="21">
        <f>7</f>
        <v>7</v>
      </c>
      <c r="J315" s="21">
        <f t="shared" ref="J315:N315" si="576">0</f>
        <v>0</v>
      </c>
      <c r="K315" s="21">
        <f t="shared" si="576"/>
        <v>0</v>
      </c>
      <c r="L315" s="21">
        <f t="shared" si="576"/>
        <v>0</v>
      </c>
      <c r="M315" s="21">
        <f t="shared" si="576"/>
        <v>0</v>
      </c>
      <c r="N315" s="21">
        <f t="shared" si="576"/>
        <v>0</v>
      </c>
      <c r="O315" s="21">
        <f>3.5</f>
        <v>3.5</v>
      </c>
    </row>
    <row r="316">
      <c r="B316" s="20">
        <v>46227.0</v>
      </c>
      <c r="C316" s="21">
        <v>0.0</v>
      </c>
      <c r="D316" s="21">
        <v>0.0</v>
      </c>
      <c r="E316" s="21">
        <v>0.0</v>
      </c>
      <c r="F316" s="21">
        <v>0.0</v>
      </c>
      <c r="G316" s="21">
        <v>0.0</v>
      </c>
      <c r="H316" s="21">
        <v>0.0</v>
      </c>
      <c r="I316" s="21">
        <v>0.0</v>
      </c>
      <c r="J316" s="21">
        <v>0.0</v>
      </c>
      <c r="K316" s="21">
        <v>0.0</v>
      </c>
      <c r="L316" s="21">
        <v>0.0</v>
      </c>
      <c r="M316" s="21">
        <v>0.0</v>
      </c>
      <c r="N316" s="21">
        <v>0.0</v>
      </c>
      <c r="O316" s="21">
        <f>66</f>
        <v>66</v>
      </c>
    </row>
    <row r="317">
      <c r="B317" s="20">
        <v>46227.0</v>
      </c>
      <c r="C317" s="21">
        <f t="shared" ref="C317:F317" si="577">0</f>
        <v>0</v>
      </c>
      <c r="D317" s="21">
        <f t="shared" si="577"/>
        <v>0</v>
      </c>
      <c r="E317" s="21">
        <f t="shared" si="577"/>
        <v>0</v>
      </c>
      <c r="F317" s="21">
        <f t="shared" si="577"/>
        <v>0</v>
      </c>
      <c r="G317" s="21">
        <f>3.7</f>
        <v>3.7</v>
      </c>
      <c r="H317" s="21">
        <f t="shared" ref="H317:N317" si="578">0</f>
        <v>0</v>
      </c>
      <c r="I317" s="21">
        <f t="shared" si="578"/>
        <v>0</v>
      </c>
      <c r="J317" s="21">
        <f t="shared" si="578"/>
        <v>0</v>
      </c>
      <c r="K317" s="21">
        <f t="shared" si="578"/>
        <v>0</v>
      </c>
      <c r="L317" s="21">
        <f t="shared" si="578"/>
        <v>0</v>
      </c>
      <c r="M317" s="21">
        <f t="shared" si="578"/>
        <v>0</v>
      </c>
      <c r="N317" s="21">
        <f t="shared" si="578"/>
        <v>0</v>
      </c>
      <c r="O317" s="21">
        <f>33.3</f>
        <v>33.3</v>
      </c>
    </row>
    <row r="318">
      <c r="B318" s="20">
        <v>46227.0</v>
      </c>
      <c r="C318" s="21">
        <f t="shared" ref="C318:C320" si="580">0</f>
        <v>0</v>
      </c>
      <c r="D318" s="21">
        <f>10</f>
        <v>10</v>
      </c>
      <c r="E318" s="21">
        <f t="shared" ref="E318:O318" si="579">0</f>
        <v>0</v>
      </c>
      <c r="F318" s="21">
        <f t="shared" si="579"/>
        <v>0</v>
      </c>
      <c r="G318" s="21">
        <f t="shared" si="579"/>
        <v>0</v>
      </c>
      <c r="H318" s="21">
        <f t="shared" si="579"/>
        <v>0</v>
      </c>
      <c r="I318" s="21">
        <f t="shared" si="579"/>
        <v>0</v>
      </c>
      <c r="J318" s="21">
        <f t="shared" si="579"/>
        <v>0</v>
      </c>
      <c r="K318" s="21">
        <f t="shared" si="579"/>
        <v>0</v>
      </c>
      <c r="L318" s="21">
        <f t="shared" si="579"/>
        <v>0</v>
      </c>
      <c r="M318" s="21">
        <f t="shared" si="579"/>
        <v>0</v>
      </c>
      <c r="N318" s="21">
        <f t="shared" si="579"/>
        <v>0</v>
      </c>
      <c r="O318" s="21">
        <f t="shared" si="579"/>
        <v>0</v>
      </c>
    </row>
    <row r="319">
      <c r="B319" s="20">
        <v>46227.0</v>
      </c>
      <c r="C319" s="21">
        <f t="shared" si="580"/>
        <v>0</v>
      </c>
      <c r="D319" s="21">
        <f t="shared" ref="D319:E319" si="581">0</f>
        <v>0</v>
      </c>
      <c r="E319" s="21">
        <f t="shared" si="581"/>
        <v>0</v>
      </c>
      <c r="F319" s="21">
        <f>5.2</f>
        <v>5.2</v>
      </c>
      <c r="G319" s="21">
        <f t="shared" ref="G319:H319" si="582">0</f>
        <v>0</v>
      </c>
      <c r="H319" s="21">
        <f t="shared" si="582"/>
        <v>0</v>
      </c>
      <c r="I319" s="21">
        <f>5.2</f>
        <v>5.2</v>
      </c>
      <c r="J319" s="21">
        <f t="shared" ref="J319:L319" si="583">0</f>
        <v>0</v>
      </c>
      <c r="K319" s="21">
        <f t="shared" si="583"/>
        <v>0</v>
      </c>
      <c r="L319" s="21">
        <f t="shared" si="583"/>
        <v>0</v>
      </c>
      <c r="M319" s="21">
        <f>5.2</f>
        <v>5.2</v>
      </c>
      <c r="N319" s="21">
        <f t="shared" ref="N319:N320" si="586">0</f>
        <v>0</v>
      </c>
      <c r="O319" s="21">
        <f>10.4</f>
        <v>10.4</v>
      </c>
    </row>
    <row r="320">
      <c r="B320" s="20">
        <v>46227.0</v>
      </c>
      <c r="C320" s="21">
        <f t="shared" si="580"/>
        <v>0</v>
      </c>
      <c r="D320" s="21">
        <f t="shared" ref="D320:F320" si="584">0</f>
        <v>0</v>
      </c>
      <c r="E320" s="21">
        <f t="shared" si="584"/>
        <v>0</v>
      </c>
      <c r="F320" s="21">
        <f t="shared" si="584"/>
        <v>0</v>
      </c>
      <c r="G320" s="21">
        <f>5.9</f>
        <v>5.9</v>
      </c>
      <c r="H320" s="21">
        <f>0</f>
        <v>0</v>
      </c>
      <c r="I320" s="21">
        <f>23.6</f>
        <v>23.6</v>
      </c>
      <c r="J320" s="21">
        <f t="shared" ref="J320:L320" si="585">0</f>
        <v>0</v>
      </c>
      <c r="K320" s="21">
        <f t="shared" si="585"/>
        <v>0</v>
      </c>
      <c r="L320" s="21">
        <f t="shared" si="585"/>
        <v>0</v>
      </c>
      <c r="M320" s="21">
        <f>17.7</f>
        <v>17.7</v>
      </c>
      <c r="N320" s="21">
        <f t="shared" si="586"/>
        <v>0</v>
      </c>
      <c r="O320" s="21">
        <f>11.8</f>
        <v>11.8</v>
      </c>
    </row>
    <row r="321">
      <c r="B321" s="20">
        <v>46227.0</v>
      </c>
      <c r="C321" s="21">
        <f>110</f>
        <v>110</v>
      </c>
      <c r="D321" s="21">
        <f t="shared" ref="D321:O321" si="587">0</f>
        <v>0</v>
      </c>
      <c r="E321" s="21">
        <f t="shared" si="587"/>
        <v>0</v>
      </c>
      <c r="F321" s="21">
        <f t="shared" si="587"/>
        <v>0</v>
      </c>
      <c r="G321" s="21">
        <f t="shared" si="587"/>
        <v>0</v>
      </c>
      <c r="H321" s="21">
        <f t="shared" si="587"/>
        <v>0</v>
      </c>
      <c r="I321" s="21">
        <f t="shared" si="587"/>
        <v>0</v>
      </c>
      <c r="J321" s="21">
        <f t="shared" si="587"/>
        <v>0</v>
      </c>
      <c r="K321" s="21">
        <f t="shared" si="587"/>
        <v>0</v>
      </c>
      <c r="L321" s="21">
        <f t="shared" si="587"/>
        <v>0</v>
      </c>
      <c r="M321" s="21">
        <f t="shared" si="587"/>
        <v>0</v>
      </c>
      <c r="N321" s="21">
        <f t="shared" si="587"/>
        <v>0</v>
      </c>
      <c r="O321" s="21">
        <f t="shared" si="587"/>
        <v>0</v>
      </c>
    </row>
    <row r="322">
      <c r="B322" s="20">
        <v>46227.0</v>
      </c>
      <c r="C322" s="21">
        <f t="shared" ref="C322:G322" si="588">0</f>
        <v>0</v>
      </c>
      <c r="D322" s="21">
        <f t="shared" si="588"/>
        <v>0</v>
      </c>
      <c r="E322" s="21">
        <f t="shared" si="588"/>
        <v>0</v>
      </c>
      <c r="F322" s="21">
        <f t="shared" si="588"/>
        <v>0</v>
      </c>
      <c r="G322" s="21">
        <f t="shared" si="588"/>
        <v>0</v>
      </c>
      <c r="H322" s="21">
        <f>20</f>
        <v>20</v>
      </c>
      <c r="I322" s="21">
        <f t="shared" ref="I322:O322" si="589">0</f>
        <v>0</v>
      </c>
      <c r="J322" s="21">
        <f t="shared" si="589"/>
        <v>0</v>
      </c>
      <c r="K322" s="21">
        <f t="shared" si="589"/>
        <v>0</v>
      </c>
      <c r="L322" s="21">
        <f t="shared" si="589"/>
        <v>0</v>
      </c>
      <c r="M322" s="21">
        <f t="shared" si="589"/>
        <v>0</v>
      </c>
      <c r="N322" s="21">
        <f t="shared" si="589"/>
        <v>0</v>
      </c>
      <c r="O322" s="21">
        <f t="shared" si="589"/>
        <v>0</v>
      </c>
    </row>
    <row r="323">
      <c r="B323" s="20">
        <v>46227.0</v>
      </c>
      <c r="C323" s="21">
        <f>30.8</f>
        <v>30.8</v>
      </c>
      <c r="D323" s="21">
        <f t="shared" ref="D323:H323" si="590">0</f>
        <v>0</v>
      </c>
      <c r="E323" s="21">
        <f t="shared" si="590"/>
        <v>0</v>
      </c>
      <c r="F323" s="21">
        <f t="shared" si="590"/>
        <v>0</v>
      </c>
      <c r="G323" s="21">
        <f t="shared" si="590"/>
        <v>0</v>
      </c>
      <c r="H323" s="21">
        <f t="shared" si="590"/>
        <v>0</v>
      </c>
      <c r="I323" s="21">
        <f>46.2</f>
        <v>46.2</v>
      </c>
      <c r="J323" s="21">
        <f t="shared" ref="J323:O323" si="591">0</f>
        <v>0</v>
      </c>
      <c r="K323" s="21">
        <f t="shared" si="591"/>
        <v>0</v>
      </c>
      <c r="L323" s="21">
        <f t="shared" si="591"/>
        <v>0</v>
      </c>
      <c r="M323" s="21">
        <f t="shared" si="591"/>
        <v>0</v>
      </c>
      <c r="N323" s="21">
        <f t="shared" si="591"/>
        <v>0</v>
      </c>
      <c r="O323" s="21">
        <f t="shared" si="591"/>
        <v>0</v>
      </c>
    </row>
    <row r="324">
      <c r="B324" s="20">
        <v>46227.0</v>
      </c>
      <c r="C324" s="21">
        <f>1.8</f>
        <v>1.8</v>
      </c>
      <c r="D324" s="21">
        <f t="shared" ref="D324:H324" si="592">0</f>
        <v>0</v>
      </c>
      <c r="E324" s="21">
        <f t="shared" si="592"/>
        <v>0</v>
      </c>
      <c r="F324" s="21">
        <f t="shared" si="592"/>
        <v>0</v>
      </c>
      <c r="G324" s="21">
        <f t="shared" si="592"/>
        <v>0</v>
      </c>
      <c r="H324" s="21">
        <f t="shared" si="592"/>
        <v>0</v>
      </c>
      <c r="I324" s="21">
        <f>16.2</f>
        <v>16.2</v>
      </c>
      <c r="J324" s="21">
        <f t="shared" ref="J324:O324" si="593">0</f>
        <v>0</v>
      </c>
      <c r="K324" s="21">
        <f t="shared" si="593"/>
        <v>0</v>
      </c>
      <c r="L324" s="21">
        <f t="shared" si="593"/>
        <v>0</v>
      </c>
      <c r="M324" s="21">
        <f t="shared" si="593"/>
        <v>0</v>
      </c>
      <c r="N324" s="21">
        <f t="shared" si="593"/>
        <v>0</v>
      </c>
      <c r="O324" s="21">
        <f t="shared" si="593"/>
        <v>0</v>
      </c>
    </row>
    <row r="325">
      <c r="B325" s="20">
        <v>46227.0</v>
      </c>
      <c r="C325" s="21">
        <f t="shared" ref="C325:F325" si="594">0</f>
        <v>0</v>
      </c>
      <c r="D325" s="21">
        <f t="shared" si="594"/>
        <v>0</v>
      </c>
      <c r="E325" s="21">
        <f t="shared" si="594"/>
        <v>0</v>
      </c>
      <c r="F325" s="21">
        <f t="shared" si="594"/>
        <v>0</v>
      </c>
      <c r="G325" s="21">
        <f>7.2</f>
        <v>7.2</v>
      </c>
      <c r="H325" s="21">
        <f>0</f>
        <v>0</v>
      </c>
      <c r="I325" s="21">
        <f>3.6</f>
        <v>3.6</v>
      </c>
      <c r="J325" s="21">
        <f t="shared" ref="J325:N325" si="595">0</f>
        <v>0</v>
      </c>
      <c r="K325" s="21">
        <f t="shared" si="595"/>
        <v>0</v>
      </c>
      <c r="L325" s="21">
        <f t="shared" si="595"/>
        <v>0</v>
      </c>
      <c r="M325" s="21">
        <f t="shared" si="595"/>
        <v>0</v>
      </c>
      <c r="N325" s="21">
        <f t="shared" si="595"/>
        <v>0</v>
      </c>
      <c r="O325" s="21">
        <f>7.2</f>
        <v>7.2</v>
      </c>
    </row>
    <row r="326">
      <c r="B326" s="20">
        <v>46227.0</v>
      </c>
      <c r="C326" s="21">
        <f>52.4</f>
        <v>52.4</v>
      </c>
      <c r="D326" s="21">
        <f>13.1</f>
        <v>13.1</v>
      </c>
      <c r="E326" s="21">
        <f t="shared" ref="E326:H326" si="596">0</f>
        <v>0</v>
      </c>
      <c r="F326" s="21">
        <f t="shared" si="596"/>
        <v>0</v>
      </c>
      <c r="G326" s="21">
        <f t="shared" si="596"/>
        <v>0</v>
      </c>
      <c r="H326" s="21">
        <f t="shared" si="596"/>
        <v>0</v>
      </c>
      <c r="I326" s="21">
        <f>65.5</f>
        <v>65.5</v>
      </c>
      <c r="J326" s="21">
        <f t="shared" ref="J326:O326" si="597">0</f>
        <v>0</v>
      </c>
      <c r="K326" s="21">
        <f t="shared" si="597"/>
        <v>0</v>
      </c>
      <c r="L326" s="21">
        <f t="shared" si="597"/>
        <v>0</v>
      </c>
      <c r="M326" s="21">
        <f t="shared" si="597"/>
        <v>0</v>
      </c>
      <c r="N326" s="21">
        <f t="shared" si="597"/>
        <v>0</v>
      </c>
      <c r="O326" s="21">
        <f t="shared" si="597"/>
        <v>0</v>
      </c>
    </row>
    <row r="327">
      <c r="B327" s="20">
        <v>46227.0</v>
      </c>
      <c r="C327" s="21">
        <f>29</f>
        <v>29</v>
      </c>
      <c r="D327" s="21">
        <f t="shared" ref="D327:O327" si="598">0</f>
        <v>0</v>
      </c>
      <c r="E327" s="21">
        <f t="shared" si="598"/>
        <v>0</v>
      </c>
      <c r="F327" s="21">
        <f t="shared" si="598"/>
        <v>0</v>
      </c>
      <c r="G327" s="21">
        <f t="shared" si="598"/>
        <v>0</v>
      </c>
      <c r="H327" s="21">
        <f t="shared" si="598"/>
        <v>0</v>
      </c>
      <c r="I327" s="21">
        <f t="shared" si="598"/>
        <v>0</v>
      </c>
      <c r="J327" s="21">
        <f t="shared" si="598"/>
        <v>0</v>
      </c>
      <c r="K327" s="21">
        <f t="shared" si="598"/>
        <v>0</v>
      </c>
      <c r="L327" s="21">
        <f t="shared" si="598"/>
        <v>0</v>
      </c>
      <c r="M327" s="21">
        <f t="shared" si="598"/>
        <v>0</v>
      </c>
      <c r="N327" s="21">
        <f t="shared" si="598"/>
        <v>0</v>
      </c>
      <c r="O327" s="21">
        <f t="shared" si="598"/>
        <v>0</v>
      </c>
    </row>
    <row r="328">
      <c r="B328" s="20">
        <v>46227.0</v>
      </c>
      <c r="C328" s="21">
        <f>12.6</f>
        <v>12.6</v>
      </c>
      <c r="D328" s="21">
        <f t="shared" ref="D328:N328" si="599">0</f>
        <v>0</v>
      </c>
      <c r="E328" s="21">
        <f t="shared" si="599"/>
        <v>0</v>
      </c>
      <c r="F328" s="21">
        <f t="shared" si="599"/>
        <v>0</v>
      </c>
      <c r="G328" s="21">
        <f t="shared" si="599"/>
        <v>0</v>
      </c>
      <c r="H328" s="21">
        <f t="shared" si="599"/>
        <v>0</v>
      </c>
      <c r="I328" s="21">
        <f t="shared" si="599"/>
        <v>0</v>
      </c>
      <c r="J328" s="21">
        <f t="shared" si="599"/>
        <v>0</v>
      </c>
      <c r="K328" s="21">
        <f t="shared" si="599"/>
        <v>0</v>
      </c>
      <c r="L328" s="21">
        <f t="shared" si="599"/>
        <v>0</v>
      </c>
      <c r="M328" s="21">
        <f t="shared" si="599"/>
        <v>0</v>
      </c>
      <c r="N328" s="21">
        <f t="shared" si="599"/>
        <v>0</v>
      </c>
      <c r="O328" s="21">
        <f>5.4</f>
        <v>5.4</v>
      </c>
    </row>
    <row r="329">
      <c r="B329" s="20">
        <v>46228.0</v>
      </c>
      <c r="C329" s="21">
        <v>0.0</v>
      </c>
      <c r="D329" s="21">
        <v>0.0</v>
      </c>
      <c r="E329" s="21">
        <v>0.0</v>
      </c>
      <c r="F329" s="21">
        <v>0.0</v>
      </c>
      <c r="G329" s="21">
        <v>0.0</v>
      </c>
      <c r="H329" s="21">
        <v>0.0</v>
      </c>
      <c r="I329" s="21">
        <f>50</f>
        <v>50</v>
      </c>
      <c r="J329" s="21">
        <v>0.0</v>
      </c>
      <c r="K329" s="21">
        <v>0.0</v>
      </c>
      <c r="L329" s="21">
        <v>0.0</v>
      </c>
      <c r="M329" s="21">
        <v>0.0</v>
      </c>
      <c r="N329" s="21">
        <v>0.0</v>
      </c>
      <c r="O329" s="21">
        <v>0.0</v>
      </c>
    </row>
    <row r="330">
      <c r="B330" s="20">
        <v>46228.0</v>
      </c>
      <c r="C330" s="21">
        <f t="shared" ref="C330:H330" si="600">0</f>
        <v>0</v>
      </c>
      <c r="D330" s="21">
        <f t="shared" si="600"/>
        <v>0</v>
      </c>
      <c r="E330" s="21">
        <f t="shared" si="600"/>
        <v>0</v>
      </c>
      <c r="F330" s="21">
        <f t="shared" si="600"/>
        <v>0</v>
      </c>
      <c r="G330" s="21">
        <f t="shared" si="600"/>
        <v>0</v>
      </c>
      <c r="H330" s="21">
        <f t="shared" si="600"/>
        <v>0</v>
      </c>
      <c r="I330" s="21">
        <f>8.7</f>
        <v>8.7</v>
      </c>
      <c r="J330" s="21">
        <f t="shared" ref="J330:M330" si="601">0</f>
        <v>0</v>
      </c>
      <c r="K330" s="21">
        <f t="shared" si="601"/>
        <v>0</v>
      </c>
      <c r="L330" s="21">
        <f t="shared" si="601"/>
        <v>0</v>
      </c>
      <c r="M330" s="21">
        <f t="shared" si="601"/>
        <v>0</v>
      </c>
      <c r="N330" s="21">
        <f>2.9</f>
        <v>2.9</v>
      </c>
      <c r="O330" s="21">
        <f>17.4</f>
        <v>17.4</v>
      </c>
    </row>
    <row r="331">
      <c r="B331" s="20">
        <v>46228.0</v>
      </c>
      <c r="C331" s="21">
        <f t="shared" ref="C331:D331" si="602">0</f>
        <v>0</v>
      </c>
      <c r="D331" s="21">
        <f t="shared" si="602"/>
        <v>0</v>
      </c>
      <c r="E331" s="21">
        <f>16.5</f>
        <v>16.5</v>
      </c>
      <c r="F331" s="21">
        <f t="shared" ref="F331:M331" si="603">0</f>
        <v>0</v>
      </c>
      <c r="G331" s="21">
        <f t="shared" si="603"/>
        <v>0</v>
      </c>
      <c r="H331" s="21">
        <f t="shared" si="603"/>
        <v>0</v>
      </c>
      <c r="I331" s="21">
        <f t="shared" si="603"/>
        <v>0</v>
      </c>
      <c r="J331" s="21">
        <f t="shared" si="603"/>
        <v>0</v>
      </c>
      <c r="K331" s="21">
        <f t="shared" si="603"/>
        <v>0</v>
      </c>
      <c r="L331" s="21">
        <f t="shared" si="603"/>
        <v>0</v>
      </c>
      <c r="M331" s="21">
        <f t="shared" si="603"/>
        <v>0</v>
      </c>
      <c r="N331" s="21">
        <f>16.5</f>
        <v>16.5</v>
      </c>
      <c r="O331" s="21">
        <f>0</f>
        <v>0</v>
      </c>
    </row>
    <row r="332">
      <c r="B332" s="20">
        <v>46228.0</v>
      </c>
      <c r="C332" s="21">
        <f t="shared" ref="C332:H332" si="604">0</f>
        <v>0</v>
      </c>
      <c r="D332" s="21">
        <f t="shared" si="604"/>
        <v>0</v>
      </c>
      <c r="E332" s="21">
        <f t="shared" si="604"/>
        <v>0</v>
      </c>
      <c r="F332" s="21">
        <f t="shared" si="604"/>
        <v>0</v>
      </c>
      <c r="G332" s="21">
        <f t="shared" si="604"/>
        <v>0</v>
      </c>
      <c r="H332" s="21">
        <f t="shared" si="604"/>
        <v>0</v>
      </c>
      <c r="I332" s="21">
        <f>33</f>
        <v>33</v>
      </c>
      <c r="J332" s="21">
        <f t="shared" ref="J332:L332" si="605">0</f>
        <v>0</v>
      </c>
      <c r="K332" s="21">
        <f t="shared" si="605"/>
        <v>0</v>
      </c>
      <c r="L332" s="21">
        <f t="shared" si="605"/>
        <v>0</v>
      </c>
      <c r="M332" s="21">
        <f>33</f>
        <v>33</v>
      </c>
      <c r="N332" s="21">
        <f t="shared" ref="N332:O332" si="606">0</f>
        <v>0</v>
      </c>
      <c r="O332" s="21">
        <f t="shared" si="606"/>
        <v>0</v>
      </c>
    </row>
    <row r="333">
      <c r="B333" s="20">
        <v>46229.0</v>
      </c>
      <c r="C333" s="21">
        <f>49</f>
        <v>49</v>
      </c>
      <c r="D333" s="21">
        <f t="shared" ref="D333:O333" si="607">0</f>
        <v>0</v>
      </c>
      <c r="E333" s="21">
        <f t="shared" si="607"/>
        <v>0</v>
      </c>
      <c r="F333" s="21">
        <f t="shared" si="607"/>
        <v>0</v>
      </c>
      <c r="G333" s="21">
        <f t="shared" si="607"/>
        <v>0</v>
      </c>
      <c r="H333" s="21">
        <f t="shared" si="607"/>
        <v>0</v>
      </c>
      <c r="I333" s="21">
        <f t="shared" si="607"/>
        <v>0</v>
      </c>
      <c r="J333" s="21">
        <f t="shared" si="607"/>
        <v>0</v>
      </c>
      <c r="K333" s="21">
        <f t="shared" si="607"/>
        <v>0</v>
      </c>
      <c r="L333" s="21">
        <f t="shared" si="607"/>
        <v>0</v>
      </c>
      <c r="M333" s="21">
        <f t="shared" si="607"/>
        <v>0</v>
      </c>
      <c r="N333" s="21">
        <f t="shared" si="607"/>
        <v>0</v>
      </c>
      <c r="O333" s="21">
        <f t="shared" si="607"/>
        <v>0</v>
      </c>
    </row>
    <row r="334">
      <c r="B334" s="20">
        <v>46229.0</v>
      </c>
      <c r="C334" s="21">
        <f t="shared" ref="C334:H334" si="608">0</f>
        <v>0</v>
      </c>
      <c r="D334" s="21">
        <f t="shared" si="608"/>
        <v>0</v>
      </c>
      <c r="E334" s="21">
        <f t="shared" si="608"/>
        <v>0</v>
      </c>
      <c r="F334" s="21">
        <f t="shared" si="608"/>
        <v>0</v>
      </c>
      <c r="G334" s="21">
        <f t="shared" si="608"/>
        <v>0</v>
      </c>
      <c r="H334" s="21">
        <f t="shared" si="608"/>
        <v>0</v>
      </c>
      <c r="I334" s="21">
        <f>53.9</f>
        <v>53.9</v>
      </c>
      <c r="J334" s="21">
        <f t="shared" ref="J334:L334" si="609">0</f>
        <v>0</v>
      </c>
      <c r="K334" s="21">
        <f t="shared" si="609"/>
        <v>0</v>
      </c>
      <c r="L334" s="21">
        <f t="shared" si="609"/>
        <v>0</v>
      </c>
      <c r="M334" s="21">
        <f>23.1</f>
        <v>23.1</v>
      </c>
      <c r="N334" s="21">
        <f t="shared" ref="N334:O334" si="610">0</f>
        <v>0</v>
      </c>
      <c r="O334" s="21">
        <f t="shared" si="610"/>
        <v>0</v>
      </c>
    </row>
    <row r="335">
      <c r="B335" s="20">
        <v>46229.0</v>
      </c>
      <c r="C335" s="21">
        <f t="shared" ref="C335:F335" si="611">0</f>
        <v>0</v>
      </c>
      <c r="D335" s="21">
        <f t="shared" si="611"/>
        <v>0</v>
      </c>
      <c r="E335" s="21">
        <f t="shared" si="611"/>
        <v>0</v>
      </c>
      <c r="F335" s="21">
        <f t="shared" si="611"/>
        <v>0</v>
      </c>
      <c r="G335" s="21">
        <f>4.2</f>
        <v>4.2</v>
      </c>
      <c r="H335" s="21">
        <f>0</f>
        <v>0</v>
      </c>
      <c r="I335" s="21">
        <f>37.8</f>
        <v>37.8</v>
      </c>
      <c r="J335" s="21">
        <f t="shared" ref="J335:O335" si="612">0</f>
        <v>0</v>
      </c>
      <c r="K335" s="21">
        <f t="shared" si="612"/>
        <v>0</v>
      </c>
      <c r="L335" s="21">
        <f t="shared" si="612"/>
        <v>0</v>
      </c>
      <c r="M335" s="21">
        <f t="shared" si="612"/>
        <v>0</v>
      </c>
      <c r="N335" s="21">
        <f t="shared" si="612"/>
        <v>0</v>
      </c>
      <c r="O335" s="21">
        <f t="shared" si="612"/>
        <v>0</v>
      </c>
    </row>
    <row r="336">
      <c r="B336" s="20">
        <v>46229.0</v>
      </c>
      <c r="C336" s="21">
        <f>29.5</f>
        <v>29.5</v>
      </c>
      <c r="D336" s="21">
        <f t="shared" ref="D336:H336" si="613">0</f>
        <v>0</v>
      </c>
      <c r="E336" s="21">
        <f t="shared" si="613"/>
        <v>0</v>
      </c>
      <c r="F336" s="21">
        <f t="shared" si="613"/>
        <v>0</v>
      </c>
      <c r="G336" s="21">
        <f t="shared" si="613"/>
        <v>0</v>
      </c>
      <c r="H336" s="21">
        <f t="shared" si="613"/>
        <v>0</v>
      </c>
      <c r="I336" s="21">
        <f>11.8</f>
        <v>11.8</v>
      </c>
      <c r="J336" s="21">
        <f t="shared" ref="J336:L336" si="614">0</f>
        <v>0</v>
      </c>
      <c r="K336" s="21">
        <f t="shared" si="614"/>
        <v>0</v>
      </c>
      <c r="L336" s="21">
        <f t="shared" si="614"/>
        <v>0</v>
      </c>
      <c r="M336" s="21">
        <f>17.7</f>
        <v>17.7</v>
      </c>
      <c r="N336" s="21">
        <f t="shared" ref="N336:O336" si="615">0</f>
        <v>0</v>
      </c>
      <c r="O336" s="21">
        <f t="shared" si="615"/>
        <v>0</v>
      </c>
    </row>
    <row r="337">
      <c r="B337" s="20">
        <v>46229.0</v>
      </c>
      <c r="C337" s="21">
        <v>0.0</v>
      </c>
      <c r="D337" s="21">
        <v>0.0</v>
      </c>
      <c r="E337" s="21">
        <v>0.0</v>
      </c>
      <c r="F337" s="21">
        <v>0.0</v>
      </c>
      <c r="G337" s="21">
        <v>0.0</v>
      </c>
      <c r="H337" s="21">
        <v>0.0</v>
      </c>
      <c r="I337" s="21">
        <v>0.0</v>
      </c>
      <c r="J337" s="21">
        <v>0.0</v>
      </c>
      <c r="K337" s="21">
        <v>0.0</v>
      </c>
      <c r="L337" s="21">
        <v>0.0</v>
      </c>
      <c r="M337" s="21">
        <v>0.0</v>
      </c>
      <c r="N337" s="21">
        <v>0.0</v>
      </c>
      <c r="O337" s="21">
        <f>61</f>
        <v>61</v>
      </c>
    </row>
    <row r="338">
      <c r="B338" s="20">
        <v>46229.0</v>
      </c>
      <c r="C338" s="21">
        <f t="shared" ref="C338:F338" si="616">0</f>
        <v>0</v>
      </c>
      <c r="D338" s="21">
        <f t="shared" si="616"/>
        <v>0</v>
      </c>
      <c r="E338" s="21">
        <f t="shared" si="616"/>
        <v>0</v>
      </c>
      <c r="F338" s="21">
        <f t="shared" si="616"/>
        <v>0</v>
      </c>
      <c r="G338" s="21">
        <f>38.5</f>
        <v>38.5</v>
      </c>
      <c r="H338" s="21">
        <f t="shared" ref="H338:H339" si="619">0</f>
        <v>0</v>
      </c>
      <c r="I338" s="21">
        <f>38.5</f>
        <v>38.5</v>
      </c>
      <c r="J338" s="21">
        <f t="shared" ref="J338:O338" si="617">0</f>
        <v>0</v>
      </c>
      <c r="K338" s="21">
        <f t="shared" si="617"/>
        <v>0</v>
      </c>
      <c r="L338" s="21">
        <f t="shared" si="617"/>
        <v>0</v>
      </c>
      <c r="M338" s="21">
        <f t="shared" si="617"/>
        <v>0</v>
      </c>
      <c r="N338" s="21">
        <f t="shared" si="617"/>
        <v>0</v>
      </c>
      <c r="O338" s="21">
        <f t="shared" si="617"/>
        <v>0</v>
      </c>
    </row>
    <row r="339">
      <c r="B339" s="20">
        <v>46229.0</v>
      </c>
      <c r="C339" s="21">
        <f t="shared" ref="C339:F339" si="618">0</f>
        <v>0</v>
      </c>
      <c r="D339" s="21">
        <f t="shared" si="618"/>
        <v>0</v>
      </c>
      <c r="E339" s="21">
        <f t="shared" si="618"/>
        <v>0</v>
      </c>
      <c r="F339" s="21">
        <f t="shared" si="618"/>
        <v>0</v>
      </c>
      <c r="G339" s="21">
        <f>10.4</f>
        <v>10.4</v>
      </c>
      <c r="H339" s="21">
        <f t="shared" si="619"/>
        <v>0</v>
      </c>
      <c r="I339" s="21">
        <f t="shared" ref="I339:L339" si="620">0</f>
        <v>0</v>
      </c>
      <c r="J339" s="21">
        <f t="shared" si="620"/>
        <v>0</v>
      </c>
      <c r="K339" s="21">
        <f t="shared" si="620"/>
        <v>0</v>
      </c>
      <c r="L339" s="21">
        <f t="shared" si="620"/>
        <v>0</v>
      </c>
      <c r="M339" s="21">
        <f>41.6</f>
        <v>41.6</v>
      </c>
      <c r="N339" s="21">
        <f t="shared" ref="N339:O339" si="621">0</f>
        <v>0</v>
      </c>
      <c r="O339" s="21">
        <f t="shared" si="621"/>
        <v>0</v>
      </c>
    </row>
    <row r="340">
      <c r="B340" s="20">
        <v>46229.0</v>
      </c>
      <c r="C340" s="21">
        <f t="shared" ref="C340:G340" si="622">0</f>
        <v>0</v>
      </c>
      <c r="D340" s="21">
        <f t="shared" si="622"/>
        <v>0</v>
      </c>
      <c r="E340" s="21">
        <f t="shared" si="622"/>
        <v>0</v>
      </c>
      <c r="F340" s="21">
        <f t="shared" si="622"/>
        <v>0</v>
      </c>
      <c r="G340" s="21">
        <f t="shared" si="622"/>
        <v>0</v>
      </c>
      <c r="H340" s="21">
        <f>26</f>
        <v>26</v>
      </c>
      <c r="I340" s="21">
        <f t="shared" ref="I340:O340" si="623">0</f>
        <v>0</v>
      </c>
      <c r="J340" s="21">
        <f t="shared" si="623"/>
        <v>0</v>
      </c>
      <c r="K340" s="21">
        <f t="shared" si="623"/>
        <v>0</v>
      </c>
      <c r="L340" s="21">
        <f t="shared" si="623"/>
        <v>0</v>
      </c>
      <c r="M340" s="21">
        <f t="shared" si="623"/>
        <v>0</v>
      </c>
      <c r="N340" s="21">
        <f t="shared" si="623"/>
        <v>0</v>
      </c>
      <c r="O340" s="21">
        <f t="shared" si="623"/>
        <v>0</v>
      </c>
    </row>
    <row r="341">
      <c r="B341" s="20">
        <v>46229.0</v>
      </c>
      <c r="C341" s="21">
        <v>0.0</v>
      </c>
      <c r="D341" s="21">
        <v>0.0</v>
      </c>
      <c r="E341" s="21">
        <v>0.0</v>
      </c>
      <c r="F341" s="21">
        <v>0.0</v>
      </c>
      <c r="G341" s="21">
        <v>0.0</v>
      </c>
      <c r="H341" s="21">
        <v>0.0</v>
      </c>
      <c r="I341" s="21">
        <v>0.0</v>
      </c>
      <c r="J341" s="21">
        <v>0.0</v>
      </c>
      <c r="K341" s="21">
        <v>0.0</v>
      </c>
      <c r="L341" s="21">
        <v>0.0</v>
      </c>
      <c r="M341" s="21">
        <v>0.0</v>
      </c>
      <c r="N341" s="21">
        <v>0.0</v>
      </c>
      <c r="O341" s="21">
        <f>52</f>
        <v>52</v>
      </c>
    </row>
    <row r="342">
      <c r="B342" s="20">
        <v>46229.0</v>
      </c>
      <c r="C342" s="21">
        <f>18.36</f>
        <v>18.36</v>
      </c>
      <c r="D342" s="21">
        <f t="shared" ref="D342:F342" si="624">0</f>
        <v>0</v>
      </c>
      <c r="E342" s="21">
        <f t="shared" si="624"/>
        <v>0</v>
      </c>
      <c r="F342" s="21">
        <f t="shared" si="624"/>
        <v>0</v>
      </c>
      <c r="G342" s="21">
        <f>17.82</f>
        <v>17.82</v>
      </c>
      <c r="H342" s="21">
        <f t="shared" ref="H342:L342" si="625">0</f>
        <v>0</v>
      </c>
      <c r="I342" s="21">
        <f t="shared" si="625"/>
        <v>0</v>
      </c>
      <c r="J342" s="21">
        <f t="shared" si="625"/>
        <v>0</v>
      </c>
      <c r="K342" s="21">
        <f t="shared" si="625"/>
        <v>0</v>
      </c>
      <c r="L342" s="21">
        <f t="shared" si="625"/>
        <v>0</v>
      </c>
      <c r="M342" s="21">
        <f>17.82</f>
        <v>17.82</v>
      </c>
      <c r="N342" s="21">
        <f t="shared" ref="N342:O342" si="626">0</f>
        <v>0</v>
      </c>
      <c r="O342" s="21">
        <f t="shared" si="626"/>
        <v>0</v>
      </c>
    </row>
    <row r="343">
      <c r="B343" s="20">
        <v>46229.0</v>
      </c>
      <c r="C343" s="21">
        <f t="shared" ref="C343:H343" si="627">0</f>
        <v>0</v>
      </c>
      <c r="D343" s="21">
        <f t="shared" si="627"/>
        <v>0</v>
      </c>
      <c r="E343" s="21">
        <f t="shared" si="627"/>
        <v>0</v>
      </c>
      <c r="F343" s="21">
        <f t="shared" si="627"/>
        <v>0</v>
      </c>
      <c r="G343" s="21">
        <f t="shared" si="627"/>
        <v>0</v>
      </c>
      <c r="H343" s="21">
        <f t="shared" si="627"/>
        <v>0</v>
      </c>
      <c r="I343" s="21">
        <f>22.8</f>
        <v>22.8</v>
      </c>
      <c r="J343" s="21">
        <f t="shared" ref="J343:L343" si="628">0</f>
        <v>0</v>
      </c>
      <c r="K343" s="21">
        <f t="shared" si="628"/>
        <v>0</v>
      </c>
      <c r="L343" s="21">
        <f t="shared" si="628"/>
        <v>0</v>
      </c>
      <c r="M343" s="21">
        <f>15.2</f>
        <v>15.2</v>
      </c>
      <c r="N343" s="21">
        <f t="shared" ref="N343:O343" si="629">0</f>
        <v>0</v>
      </c>
      <c r="O343" s="21">
        <f t="shared" si="629"/>
        <v>0</v>
      </c>
    </row>
    <row r="344">
      <c r="B344" s="20">
        <v>46229.0</v>
      </c>
      <c r="C344" s="21">
        <v>0.0</v>
      </c>
      <c r="D344" s="21">
        <v>0.0</v>
      </c>
      <c r="E344" s="21">
        <v>0.0</v>
      </c>
      <c r="F344" s="21">
        <v>0.0</v>
      </c>
      <c r="G344" s="21">
        <v>0.0</v>
      </c>
      <c r="H344" s="21">
        <v>0.0</v>
      </c>
      <c r="I344" s="21">
        <f>53</f>
        <v>53</v>
      </c>
      <c r="J344" s="21">
        <v>0.0</v>
      </c>
      <c r="K344" s="21">
        <v>0.0</v>
      </c>
      <c r="L344" s="21">
        <v>0.0</v>
      </c>
      <c r="M344" s="21">
        <v>0.0</v>
      </c>
      <c r="N344" s="21">
        <v>0.0</v>
      </c>
      <c r="O344" s="21">
        <v>0.0</v>
      </c>
    </row>
    <row r="345">
      <c r="B345" s="20">
        <v>46229.0</v>
      </c>
      <c r="C345" s="21">
        <f>6</f>
        <v>6</v>
      </c>
      <c r="D345" s="21">
        <f t="shared" ref="D345:L345" si="630">0</f>
        <v>0</v>
      </c>
      <c r="E345" s="21">
        <f t="shared" si="630"/>
        <v>0</v>
      </c>
      <c r="F345" s="21">
        <f t="shared" si="630"/>
        <v>0</v>
      </c>
      <c r="G345" s="21">
        <f t="shared" si="630"/>
        <v>0</v>
      </c>
      <c r="H345" s="21">
        <f t="shared" si="630"/>
        <v>0</v>
      </c>
      <c r="I345" s="21">
        <f t="shared" si="630"/>
        <v>0</v>
      </c>
      <c r="J345" s="21">
        <f t="shared" si="630"/>
        <v>0</v>
      </c>
      <c r="K345" s="21">
        <f t="shared" si="630"/>
        <v>0</v>
      </c>
      <c r="L345" s="21">
        <f t="shared" si="630"/>
        <v>0</v>
      </c>
      <c r="M345" s="21">
        <f>6</f>
        <v>6</v>
      </c>
      <c r="N345" s="21">
        <f t="shared" ref="N345:N346" si="633">0</f>
        <v>0</v>
      </c>
      <c r="O345" s="21">
        <f>18</f>
        <v>18</v>
      </c>
    </row>
    <row r="346">
      <c r="B346" s="20">
        <v>46229.0</v>
      </c>
      <c r="C346" s="21">
        <f t="shared" ref="C346:H346" si="631">0</f>
        <v>0</v>
      </c>
      <c r="D346" s="21">
        <f t="shared" si="631"/>
        <v>0</v>
      </c>
      <c r="E346" s="21">
        <f t="shared" si="631"/>
        <v>0</v>
      </c>
      <c r="F346" s="21">
        <f t="shared" si="631"/>
        <v>0</v>
      </c>
      <c r="G346" s="21">
        <f t="shared" si="631"/>
        <v>0</v>
      </c>
      <c r="H346" s="21">
        <f t="shared" si="631"/>
        <v>0</v>
      </c>
      <c r="I346" s="21">
        <f>34.4</f>
        <v>34.4</v>
      </c>
      <c r="J346" s="21">
        <f t="shared" ref="J346:L346" si="632">0</f>
        <v>0</v>
      </c>
      <c r="K346" s="21">
        <f t="shared" si="632"/>
        <v>0</v>
      </c>
      <c r="L346" s="21">
        <f t="shared" si="632"/>
        <v>0</v>
      </c>
      <c r="M346" s="21">
        <f>8.6</f>
        <v>8.6</v>
      </c>
      <c r="N346" s="21">
        <f t="shared" si="633"/>
        <v>0</v>
      </c>
      <c r="O346" s="21">
        <f>0</f>
        <v>0</v>
      </c>
    </row>
    <row r="347">
      <c r="B347" s="20">
        <v>46229.0</v>
      </c>
      <c r="C347" s="21">
        <f>21.6</f>
        <v>21.6</v>
      </c>
      <c r="D347" s="21">
        <f t="shared" ref="D347:N347" si="634">0</f>
        <v>0</v>
      </c>
      <c r="E347" s="21">
        <f t="shared" si="634"/>
        <v>0</v>
      </c>
      <c r="F347" s="21">
        <f t="shared" si="634"/>
        <v>0</v>
      </c>
      <c r="G347" s="21">
        <f t="shared" si="634"/>
        <v>0</v>
      </c>
      <c r="H347" s="21">
        <f t="shared" si="634"/>
        <v>0</v>
      </c>
      <c r="I347" s="21">
        <f t="shared" si="634"/>
        <v>0</v>
      </c>
      <c r="J347" s="21">
        <f t="shared" si="634"/>
        <v>0</v>
      </c>
      <c r="K347" s="21">
        <f t="shared" si="634"/>
        <v>0</v>
      </c>
      <c r="L347" s="21">
        <f t="shared" si="634"/>
        <v>0</v>
      </c>
      <c r="M347" s="21">
        <f t="shared" si="634"/>
        <v>0</v>
      </c>
      <c r="N347" s="21">
        <f t="shared" si="634"/>
        <v>0</v>
      </c>
      <c r="O347" s="21">
        <f>2.4</f>
        <v>2.4</v>
      </c>
    </row>
    <row r="348">
      <c r="B348" s="20">
        <v>46230.0</v>
      </c>
      <c r="C348" s="21">
        <f>11.6</f>
        <v>11.6</v>
      </c>
      <c r="D348" s="21">
        <f t="shared" ref="D348:H348" si="635">0</f>
        <v>0</v>
      </c>
      <c r="E348" s="21">
        <f t="shared" si="635"/>
        <v>0</v>
      </c>
      <c r="F348" s="21">
        <f t="shared" si="635"/>
        <v>0</v>
      </c>
      <c r="G348" s="21">
        <f t="shared" si="635"/>
        <v>0</v>
      </c>
      <c r="H348" s="21">
        <f t="shared" si="635"/>
        <v>0</v>
      </c>
      <c r="I348" s="21">
        <f>5.8</f>
        <v>5.8</v>
      </c>
      <c r="J348" s="21">
        <f t="shared" ref="J348:L348" si="636">0</f>
        <v>0</v>
      </c>
      <c r="K348" s="21">
        <f t="shared" si="636"/>
        <v>0</v>
      </c>
      <c r="L348" s="21">
        <f t="shared" si="636"/>
        <v>0</v>
      </c>
      <c r="M348" s="21">
        <f>11.6</f>
        <v>11.6</v>
      </c>
      <c r="N348" s="21">
        <f t="shared" ref="N348:O348" si="637">0</f>
        <v>0</v>
      </c>
      <c r="O348" s="21">
        <f t="shared" si="637"/>
        <v>0</v>
      </c>
    </row>
    <row r="349">
      <c r="B349" s="20">
        <v>46230.0</v>
      </c>
      <c r="C349" s="21">
        <f>8.25</f>
        <v>8.25</v>
      </c>
      <c r="D349" s="21">
        <f t="shared" ref="D349:H349" si="638">0</f>
        <v>0</v>
      </c>
      <c r="E349" s="21">
        <f t="shared" si="638"/>
        <v>0</v>
      </c>
      <c r="F349" s="21">
        <f t="shared" si="638"/>
        <v>0</v>
      </c>
      <c r="G349" s="21">
        <f t="shared" si="638"/>
        <v>0</v>
      </c>
      <c r="H349" s="21">
        <f t="shared" si="638"/>
        <v>0</v>
      </c>
      <c r="I349" s="21">
        <f>8.25</f>
        <v>8.25</v>
      </c>
      <c r="J349" s="21">
        <f t="shared" ref="J349:N349" si="639">0</f>
        <v>0</v>
      </c>
      <c r="K349" s="21">
        <f t="shared" si="639"/>
        <v>0</v>
      </c>
      <c r="L349" s="21">
        <f t="shared" si="639"/>
        <v>0</v>
      </c>
      <c r="M349" s="21">
        <f t="shared" si="639"/>
        <v>0</v>
      </c>
      <c r="N349" s="21">
        <f t="shared" si="639"/>
        <v>0</v>
      </c>
      <c r="O349" s="21">
        <f>16.5</f>
        <v>16.5</v>
      </c>
    </row>
    <row r="350">
      <c r="B350" s="20">
        <v>46230.0</v>
      </c>
      <c r="C350" s="21">
        <f t="shared" ref="C350:H350" si="640">0</f>
        <v>0</v>
      </c>
      <c r="D350" s="21">
        <f t="shared" si="640"/>
        <v>0</v>
      </c>
      <c r="E350" s="21">
        <f t="shared" si="640"/>
        <v>0</v>
      </c>
      <c r="F350" s="21">
        <f t="shared" si="640"/>
        <v>0</v>
      </c>
      <c r="G350" s="21">
        <f t="shared" si="640"/>
        <v>0</v>
      </c>
      <c r="H350" s="21">
        <f t="shared" si="640"/>
        <v>0</v>
      </c>
      <c r="I350" s="21">
        <f>15.5</f>
        <v>15.5</v>
      </c>
      <c r="J350" s="21">
        <f t="shared" ref="J350:N350" si="641">0</f>
        <v>0</v>
      </c>
      <c r="K350" s="21">
        <f t="shared" si="641"/>
        <v>0</v>
      </c>
      <c r="L350" s="21">
        <f t="shared" si="641"/>
        <v>0</v>
      </c>
      <c r="M350" s="21">
        <f t="shared" si="641"/>
        <v>0</v>
      </c>
      <c r="N350" s="21">
        <f t="shared" si="641"/>
        <v>0</v>
      </c>
      <c r="O350" s="21">
        <f>15.5</f>
        <v>15.5</v>
      </c>
    </row>
    <row r="351">
      <c r="B351" s="20">
        <v>46230.0</v>
      </c>
      <c r="C351" s="21">
        <f t="shared" ref="C351:L351" si="642">0</f>
        <v>0</v>
      </c>
      <c r="D351" s="21">
        <f t="shared" si="642"/>
        <v>0</v>
      </c>
      <c r="E351" s="21">
        <f t="shared" si="642"/>
        <v>0</v>
      </c>
      <c r="F351" s="21">
        <f t="shared" si="642"/>
        <v>0</v>
      </c>
      <c r="G351" s="21">
        <f t="shared" si="642"/>
        <v>0</v>
      </c>
      <c r="H351" s="21">
        <f t="shared" si="642"/>
        <v>0</v>
      </c>
      <c r="I351" s="21">
        <f t="shared" si="642"/>
        <v>0</v>
      </c>
      <c r="J351" s="21">
        <f t="shared" si="642"/>
        <v>0</v>
      </c>
      <c r="K351" s="21">
        <f t="shared" si="642"/>
        <v>0</v>
      </c>
      <c r="L351" s="21">
        <f t="shared" si="642"/>
        <v>0</v>
      </c>
      <c r="M351" s="21">
        <f>5</f>
        <v>5</v>
      </c>
      <c r="N351" s="21">
        <f t="shared" ref="N351:O351" si="643">0</f>
        <v>0</v>
      </c>
      <c r="O351" s="21">
        <f t="shared" si="643"/>
        <v>0</v>
      </c>
    </row>
    <row r="352">
      <c r="B352" s="20">
        <v>46230.0</v>
      </c>
      <c r="C352" s="21">
        <f>34</f>
        <v>34</v>
      </c>
      <c r="D352" s="21">
        <f t="shared" ref="D352:O352" si="644">0</f>
        <v>0</v>
      </c>
      <c r="E352" s="21">
        <f t="shared" si="644"/>
        <v>0</v>
      </c>
      <c r="F352" s="21">
        <f t="shared" si="644"/>
        <v>0</v>
      </c>
      <c r="G352" s="21">
        <f t="shared" si="644"/>
        <v>0</v>
      </c>
      <c r="H352" s="21">
        <f t="shared" si="644"/>
        <v>0</v>
      </c>
      <c r="I352" s="21">
        <f t="shared" si="644"/>
        <v>0</v>
      </c>
      <c r="J352" s="21">
        <f t="shared" si="644"/>
        <v>0</v>
      </c>
      <c r="K352" s="21">
        <f t="shared" si="644"/>
        <v>0</v>
      </c>
      <c r="L352" s="21">
        <f t="shared" si="644"/>
        <v>0</v>
      </c>
      <c r="M352" s="21">
        <f t="shared" si="644"/>
        <v>0</v>
      </c>
      <c r="N352" s="21">
        <f t="shared" si="644"/>
        <v>0</v>
      </c>
      <c r="O352" s="21">
        <f t="shared" si="644"/>
        <v>0</v>
      </c>
    </row>
    <row r="353">
      <c r="B353" s="20">
        <v>46230.0</v>
      </c>
      <c r="C353" s="21">
        <f t="shared" ref="C353:H353" si="645">0</f>
        <v>0</v>
      </c>
      <c r="D353" s="21">
        <f t="shared" si="645"/>
        <v>0</v>
      </c>
      <c r="E353" s="21">
        <f t="shared" si="645"/>
        <v>0</v>
      </c>
      <c r="F353" s="21">
        <f t="shared" si="645"/>
        <v>0</v>
      </c>
      <c r="G353" s="21">
        <f t="shared" si="645"/>
        <v>0</v>
      </c>
      <c r="H353" s="21">
        <f t="shared" si="645"/>
        <v>0</v>
      </c>
      <c r="I353" s="21">
        <f>28</f>
        <v>28</v>
      </c>
      <c r="J353" s="21">
        <f t="shared" ref="J353:L353" si="646">0</f>
        <v>0</v>
      </c>
      <c r="K353" s="21">
        <f t="shared" si="646"/>
        <v>0</v>
      </c>
      <c r="L353" s="21">
        <f t="shared" si="646"/>
        <v>0</v>
      </c>
      <c r="M353" s="21">
        <f>28</f>
        <v>28</v>
      </c>
      <c r="N353" s="21">
        <f t="shared" ref="N353:O353" si="647">0</f>
        <v>0</v>
      </c>
      <c r="O353" s="21">
        <f t="shared" si="647"/>
        <v>0</v>
      </c>
    </row>
    <row r="354">
      <c r="B354" s="20">
        <v>46230.0</v>
      </c>
      <c r="C354" s="21">
        <f t="shared" ref="C354:L354" si="648">0</f>
        <v>0</v>
      </c>
      <c r="D354" s="21">
        <f t="shared" si="648"/>
        <v>0</v>
      </c>
      <c r="E354" s="21">
        <f t="shared" si="648"/>
        <v>0</v>
      </c>
      <c r="F354" s="21">
        <f t="shared" si="648"/>
        <v>0</v>
      </c>
      <c r="G354" s="21">
        <f t="shared" si="648"/>
        <v>0</v>
      </c>
      <c r="H354" s="21">
        <f t="shared" si="648"/>
        <v>0</v>
      </c>
      <c r="I354" s="21">
        <f t="shared" si="648"/>
        <v>0</v>
      </c>
      <c r="J354" s="21">
        <f t="shared" si="648"/>
        <v>0</v>
      </c>
      <c r="K354" s="21">
        <f t="shared" si="648"/>
        <v>0</v>
      </c>
      <c r="L354" s="21">
        <f t="shared" si="648"/>
        <v>0</v>
      </c>
      <c r="M354" s="21">
        <f>17.6</f>
        <v>17.6</v>
      </c>
      <c r="N354" s="21">
        <f>4.4</f>
        <v>4.4</v>
      </c>
      <c r="O354" s="21">
        <f>0</f>
        <v>0</v>
      </c>
    </row>
    <row r="355">
      <c r="B355" s="20">
        <v>46230.0</v>
      </c>
      <c r="C355" s="21">
        <f>15</f>
        <v>15</v>
      </c>
      <c r="D355" s="21">
        <f t="shared" ref="D355:H355" si="649">0</f>
        <v>0</v>
      </c>
      <c r="E355" s="21">
        <f t="shared" si="649"/>
        <v>0</v>
      </c>
      <c r="F355" s="21">
        <f t="shared" si="649"/>
        <v>0</v>
      </c>
      <c r="G355" s="21">
        <f t="shared" si="649"/>
        <v>0</v>
      </c>
      <c r="H355" s="21">
        <f t="shared" si="649"/>
        <v>0</v>
      </c>
      <c r="I355" s="21">
        <f>5</f>
        <v>5</v>
      </c>
      <c r="J355" s="21">
        <f t="shared" ref="J355:L355" si="650">0</f>
        <v>0</v>
      </c>
      <c r="K355" s="21">
        <f t="shared" si="650"/>
        <v>0</v>
      </c>
      <c r="L355" s="21">
        <f t="shared" si="650"/>
        <v>0</v>
      </c>
      <c r="M355" s="21">
        <f>2.5</f>
        <v>2.5</v>
      </c>
      <c r="N355" s="21">
        <f>0</f>
        <v>0</v>
      </c>
      <c r="O355" s="21">
        <f>2.5</f>
        <v>2.5</v>
      </c>
    </row>
    <row r="356">
      <c r="B356" s="20">
        <v>46230.0</v>
      </c>
      <c r="C356" s="21">
        <f>21.6</f>
        <v>21.6</v>
      </c>
      <c r="D356" s="21">
        <f t="shared" ref="D356:H356" si="651">0</f>
        <v>0</v>
      </c>
      <c r="E356" s="21">
        <f t="shared" si="651"/>
        <v>0</v>
      </c>
      <c r="F356" s="21">
        <f t="shared" si="651"/>
        <v>0</v>
      </c>
      <c r="G356" s="21">
        <f t="shared" si="651"/>
        <v>0</v>
      </c>
      <c r="H356" s="21">
        <f t="shared" si="651"/>
        <v>0</v>
      </c>
      <c r="I356" s="21">
        <f>2.7</f>
        <v>2.7</v>
      </c>
      <c r="J356" s="21">
        <f t="shared" ref="J356:N356" si="652">0</f>
        <v>0</v>
      </c>
      <c r="K356" s="21">
        <f t="shared" si="652"/>
        <v>0</v>
      </c>
      <c r="L356" s="21">
        <f t="shared" si="652"/>
        <v>0</v>
      </c>
      <c r="M356" s="21">
        <f t="shared" si="652"/>
        <v>0</v>
      </c>
      <c r="N356" s="21">
        <f t="shared" si="652"/>
        <v>0</v>
      </c>
      <c r="O356" s="21">
        <f>2.7</f>
        <v>2.7</v>
      </c>
    </row>
    <row r="357">
      <c r="B357" s="20">
        <v>46230.0</v>
      </c>
      <c r="C357" s="21">
        <v>0.0</v>
      </c>
      <c r="D357" s="21">
        <v>0.0</v>
      </c>
      <c r="E357" s="21">
        <v>0.0</v>
      </c>
      <c r="F357" s="21">
        <v>0.0</v>
      </c>
      <c r="G357" s="21">
        <v>0.0</v>
      </c>
      <c r="H357" s="21">
        <v>0.0</v>
      </c>
      <c r="I357" s="21">
        <f>32</f>
        <v>32</v>
      </c>
      <c r="J357" s="21">
        <v>0.0</v>
      </c>
      <c r="K357" s="21">
        <v>0.0</v>
      </c>
      <c r="L357" s="21">
        <v>0.0</v>
      </c>
      <c r="M357" s="21">
        <v>0.0</v>
      </c>
      <c r="N357" s="21">
        <v>0.0</v>
      </c>
      <c r="O357" s="21">
        <v>0.0</v>
      </c>
    </row>
    <row r="358">
      <c r="B358" s="20">
        <v>46230.0</v>
      </c>
      <c r="C358" s="21">
        <v>0.0</v>
      </c>
      <c r="D358" s="21">
        <v>0.0</v>
      </c>
      <c r="E358" s="21">
        <v>0.0</v>
      </c>
      <c r="F358" s="21">
        <v>0.0</v>
      </c>
      <c r="G358" s="21">
        <v>0.0</v>
      </c>
      <c r="H358" s="21">
        <v>0.0</v>
      </c>
      <c r="I358" s="21">
        <f>13</f>
        <v>13</v>
      </c>
      <c r="J358" s="21">
        <v>0.0</v>
      </c>
      <c r="K358" s="21">
        <v>0.0</v>
      </c>
      <c r="L358" s="21">
        <v>0.0</v>
      </c>
      <c r="M358" s="21">
        <v>0.0</v>
      </c>
      <c r="N358" s="21">
        <v>0.0</v>
      </c>
      <c r="O358" s="21">
        <v>0.0</v>
      </c>
    </row>
    <row r="359">
      <c r="B359" s="20">
        <v>46230.0</v>
      </c>
      <c r="C359" s="21">
        <f t="shared" ref="C359:F359" si="653">0</f>
        <v>0</v>
      </c>
      <c r="D359" s="21">
        <f t="shared" si="653"/>
        <v>0</v>
      </c>
      <c r="E359" s="21">
        <f t="shared" si="653"/>
        <v>0</v>
      </c>
      <c r="F359" s="21">
        <f t="shared" si="653"/>
        <v>0</v>
      </c>
      <c r="G359" s="21">
        <f>38.4</f>
        <v>38.4</v>
      </c>
      <c r="H359" s="21">
        <f t="shared" ref="H359:H361" si="656">0</f>
        <v>0</v>
      </c>
      <c r="I359" s="21">
        <f>57.6</f>
        <v>57.6</v>
      </c>
      <c r="J359" s="21">
        <f t="shared" ref="J359:O359" si="654">0</f>
        <v>0</v>
      </c>
      <c r="K359" s="21">
        <f t="shared" si="654"/>
        <v>0</v>
      </c>
      <c r="L359" s="21">
        <f t="shared" si="654"/>
        <v>0</v>
      </c>
      <c r="M359" s="21">
        <f t="shared" si="654"/>
        <v>0</v>
      </c>
      <c r="N359" s="21">
        <f t="shared" si="654"/>
        <v>0</v>
      </c>
      <c r="O359" s="21">
        <f t="shared" si="654"/>
        <v>0</v>
      </c>
    </row>
    <row r="360">
      <c r="B360" s="20">
        <v>46230.0</v>
      </c>
      <c r="C360" s="21">
        <f t="shared" ref="C360:F360" si="655">0</f>
        <v>0</v>
      </c>
      <c r="D360" s="21">
        <f t="shared" si="655"/>
        <v>0</v>
      </c>
      <c r="E360" s="21">
        <f t="shared" si="655"/>
        <v>0</v>
      </c>
      <c r="F360" s="21">
        <f t="shared" si="655"/>
        <v>0</v>
      </c>
      <c r="G360" s="21">
        <f>34.8</f>
        <v>34.8</v>
      </c>
      <c r="H360" s="21">
        <f t="shared" si="656"/>
        <v>0</v>
      </c>
      <c r="I360" s="21">
        <f>23.2</f>
        <v>23.2</v>
      </c>
      <c r="J360" s="21">
        <f t="shared" ref="J360:O360" si="657">0</f>
        <v>0</v>
      </c>
      <c r="K360" s="21">
        <f t="shared" si="657"/>
        <v>0</v>
      </c>
      <c r="L360" s="21">
        <f t="shared" si="657"/>
        <v>0</v>
      </c>
      <c r="M360" s="21">
        <f t="shared" si="657"/>
        <v>0</v>
      </c>
      <c r="N360" s="21">
        <f t="shared" si="657"/>
        <v>0</v>
      </c>
      <c r="O360" s="21">
        <f t="shared" si="657"/>
        <v>0</v>
      </c>
    </row>
    <row r="361">
      <c r="B361" s="20">
        <v>46230.0</v>
      </c>
      <c r="C361" s="21">
        <f>27.2</f>
        <v>27.2</v>
      </c>
      <c r="D361" s="21">
        <f t="shared" ref="D361:F361" si="658">0</f>
        <v>0</v>
      </c>
      <c r="E361" s="21">
        <f t="shared" si="658"/>
        <v>0</v>
      </c>
      <c r="F361" s="21">
        <f t="shared" si="658"/>
        <v>0</v>
      </c>
      <c r="G361" s="21">
        <f>6.8</f>
        <v>6.8</v>
      </c>
      <c r="H361" s="21">
        <f t="shared" si="656"/>
        <v>0</v>
      </c>
      <c r="I361" s="21">
        <f t="shared" ref="I361:O361" si="659">0</f>
        <v>0</v>
      </c>
      <c r="J361" s="21">
        <f t="shared" si="659"/>
        <v>0</v>
      </c>
      <c r="K361" s="21">
        <f t="shared" si="659"/>
        <v>0</v>
      </c>
      <c r="L361" s="21">
        <f t="shared" si="659"/>
        <v>0</v>
      </c>
      <c r="M361" s="21">
        <f t="shared" si="659"/>
        <v>0</v>
      </c>
      <c r="N361" s="21">
        <f t="shared" si="659"/>
        <v>0</v>
      </c>
      <c r="O361" s="21">
        <f t="shared" si="659"/>
        <v>0</v>
      </c>
    </row>
    <row r="362">
      <c r="B362" s="20">
        <v>46230.0</v>
      </c>
      <c r="C362" s="21">
        <f>29.4</f>
        <v>29.4</v>
      </c>
      <c r="D362" s="21">
        <f t="shared" ref="D362:H362" si="660">0</f>
        <v>0</v>
      </c>
      <c r="E362" s="21">
        <f t="shared" si="660"/>
        <v>0</v>
      </c>
      <c r="F362" s="21">
        <f t="shared" si="660"/>
        <v>0</v>
      </c>
      <c r="G362" s="21">
        <f t="shared" si="660"/>
        <v>0</v>
      </c>
      <c r="H362" s="21">
        <f t="shared" si="660"/>
        <v>0</v>
      </c>
      <c r="I362" s="21">
        <f>12.6</f>
        <v>12.6</v>
      </c>
      <c r="J362" s="21">
        <f t="shared" ref="J362:O362" si="661">0</f>
        <v>0</v>
      </c>
      <c r="K362" s="21">
        <f t="shared" si="661"/>
        <v>0</v>
      </c>
      <c r="L362" s="21">
        <f t="shared" si="661"/>
        <v>0</v>
      </c>
      <c r="M362" s="21">
        <f t="shared" si="661"/>
        <v>0</v>
      </c>
      <c r="N362" s="21">
        <f t="shared" si="661"/>
        <v>0</v>
      </c>
      <c r="O362" s="21">
        <f t="shared" si="661"/>
        <v>0</v>
      </c>
    </row>
    <row r="363">
      <c r="B363" s="20">
        <v>46230.0</v>
      </c>
      <c r="C363" s="21">
        <f>3.4</f>
        <v>3.4</v>
      </c>
      <c r="D363" s="21">
        <f t="shared" ref="D363:H363" si="662">0</f>
        <v>0</v>
      </c>
      <c r="E363" s="21">
        <f t="shared" si="662"/>
        <v>0</v>
      </c>
      <c r="F363" s="21">
        <f t="shared" si="662"/>
        <v>0</v>
      </c>
      <c r="G363" s="21">
        <f t="shared" si="662"/>
        <v>0</v>
      </c>
      <c r="H363" s="21">
        <f t="shared" si="662"/>
        <v>0</v>
      </c>
      <c r="I363" s="21">
        <f>17</f>
        <v>17</v>
      </c>
      <c r="J363" s="21">
        <f t="shared" ref="J363:L363" si="663">0</f>
        <v>0</v>
      </c>
      <c r="K363" s="21">
        <f t="shared" si="663"/>
        <v>0</v>
      </c>
      <c r="L363" s="21">
        <f t="shared" si="663"/>
        <v>0</v>
      </c>
      <c r="M363" s="21">
        <f>6.8</f>
        <v>6.8</v>
      </c>
      <c r="N363" s="21">
        <f>0</f>
        <v>0</v>
      </c>
      <c r="O363" s="21">
        <f>6.8</f>
        <v>6.8</v>
      </c>
    </row>
    <row r="364">
      <c r="B364" s="20">
        <v>46230.0</v>
      </c>
      <c r="C364" s="21">
        <f>23.2</f>
        <v>23.2</v>
      </c>
      <c r="D364" s="21">
        <f t="shared" ref="D364:N364" si="664">0</f>
        <v>0</v>
      </c>
      <c r="E364" s="21">
        <f t="shared" si="664"/>
        <v>0</v>
      </c>
      <c r="F364" s="21">
        <f t="shared" si="664"/>
        <v>0</v>
      </c>
      <c r="G364" s="21">
        <f t="shared" si="664"/>
        <v>0</v>
      </c>
      <c r="H364" s="21">
        <f t="shared" si="664"/>
        <v>0</v>
      </c>
      <c r="I364" s="21">
        <f t="shared" si="664"/>
        <v>0</v>
      </c>
      <c r="J364" s="21">
        <f t="shared" si="664"/>
        <v>0</v>
      </c>
      <c r="K364" s="21">
        <f t="shared" si="664"/>
        <v>0</v>
      </c>
      <c r="L364" s="21">
        <f t="shared" si="664"/>
        <v>0</v>
      </c>
      <c r="M364" s="21">
        <f t="shared" si="664"/>
        <v>0</v>
      </c>
      <c r="N364" s="21">
        <f t="shared" si="664"/>
        <v>0</v>
      </c>
      <c r="O364" s="21">
        <f>5.8</f>
        <v>5.8</v>
      </c>
    </row>
    <row r="365">
      <c r="B365" s="20">
        <v>46230.0</v>
      </c>
      <c r="C365" s="21">
        <f>8.7</f>
        <v>8.7</v>
      </c>
      <c r="D365" s="21">
        <f t="shared" ref="D365:F365" si="665">0</f>
        <v>0</v>
      </c>
      <c r="E365" s="21">
        <f t="shared" si="665"/>
        <v>0</v>
      </c>
      <c r="F365" s="21">
        <f t="shared" si="665"/>
        <v>0</v>
      </c>
      <c r="G365" s="21">
        <f>8.7</f>
        <v>8.7</v>
      </c>
      <c r="H365" s="21">
        <f t="shared" ref="H365:M365" si="666">0</f>
        <v>0</v>
      </c>
      <c r="I365" s="21">
        <f t="shared" si="666"/>
        <v>0</v>
      </c>
      <c r="J365" s="21">
        <f t="shared" si="666"/>
        <v>0</v>
      </c>
      <c r="K365" s="21">
        <f t="shared" si="666"/>
        <v>0</v>
      </c>
      <c r="L365" s="21">
        <f t="shared" si="666"/>
        <v>0</v>
      </c>
      <c r="M365" s="21">
        <f t="shared" si="666"/>
        <v>0</v>
      </c>
      <c r="N365" s="21">
        <f>8.7</f>
        <v>8.7</v>
      </c>
      <c r="O365" s="21">
        <f>2.9</f>
        <v>2.9</v>
      </c>
    </row>
    <row r="366">
      <c r="B366" s="20">
        <v>46230.0</v>
      </c>
      <c r="C366" s="21">
        <f>20.8</f>
        <v>20.8</v>
      </c>
      <c r="D366" s="21">
        <f t="shared" ref="D366:H366" si="667">0</f>
        <v>0</v>
      </c>
      <c r="E366" s="21">
        <f t="shared" si="667"/>
        <v>0</v>
      </c>
      <c r="F366" s="21">
        <f t="shared" si="667"/>
        <v>0</v>
      </c>
      <c r="G366" s="21">
        <f t="shared" si="667"/>
        <v>0</v>
      </c>
      <c r="H366" s="21">
        <f t="shared" si="667"/>
        <v>0</v>
      </c>
      <c r="I366" s="21">
        <f>31.2</f>
        <v>31.2</v>
      </c>
      <c r="J366" s="21">
        <f t="shared" ref="J366:O366" si="668">0</f>
        <v>0</v>
      </c>
      <c r="K366" s="21">
        <f t="shared" si="668"/>
        <v>0</v>
      </c>
      <c r="L366" s="21">
        <f t="shared" si="668"/>
        <v>0</v>
      </c>
      <c r="M366" s="21">
        <f t="shared" si="668"/>
        <v>0</v>
      </c>
      <c r="N366" s="21">
        <f t="shared" si="668"/>
        <v>0</v>
      </c>
      <c r="O366" s="21">
        <f t="shared" si="668"/>
        <v>0</v>
      </c>
    </row>
    <row r="367">
      <c r="B367" s="20">
        <v>46231.0</v>
      </c>
      <c r="C367" s="21">
        <f>8.5</f>
        <v>8.5</v>
      </c>
      <c r="D367" s="21">
        <f t="shared" ref="D367:N367" si="669">0</f>
        <v>0</v>
      </c>
      <c r="E367" s="21">
        <f t="shared" si="669"/>
        <v>0</v>
      </c>
      <c r="F367" s="21">
        <f t="shared" si="669"/>
        <v>0</v>
      </c>
      <c r="G367" s="21">
        <f t="shared" si="669"/>
        <v>0</v>
      </c>
      <c r="H367" s="21">
        <f t="shared" si="669"/>
        <v>0</v>
      </c>
      <c r="I367" s="21">
        <f t="shared" si="669"/>
        <v>0</v>
      </c>
      <c r="J367" s="21">
        <f t="shared" si="669"/>
        <v>0</v>
      </c>
      <c r="K367" s="21">
        <f t="shared" si="669"/>
        <v>0</v>
      </c>
      <c r="L367" s="21">
        <f t="shared" si="669"/>
        <v>0</v>
      </c>
      <c r="M367" s="21">
        <f t="shared" si="669"/>
        <v>0</v>
      </c>
      <c r="N367" s="21">
        <f t="shared" si="669"/>
        <v>0</v>
      </c>
      <c r="O367" s="21">
        <f>8.5</f>
        <v>8.5</v>
      </c>
    </row>
    <row r="368">
      <c r="B368" s="20">
        <v>46231.0</v>
      </c>
      <c r="C368" s="21">
        <f t="shared" ref="C368:L368" si="670">0</f>
        <v>0</v>
      </c>
      <c r="D368" s="21">
        <f t="shared" si="670"/>
        <v>0</v>
      </c>
      <c r="E368" s="21">
        <f t="shared" si="670"/>
        <v>0</v>
      </c>
      <c r="F368" s="21">
        <f t="shared" si="670"/>
        <v>0</v>
      </c>
      <c r="G368" s="21">
        <f t="shared" si="670"/>
        <v>0</v>
      </c>
      <c r="H368" s="21">
        <f t="shared" si="670"/>
        <v>0</v>
      </c>
      <c r="I368" s="21">
        <f t="shared" si="670"/>
        <v>0</v>
      </c>
      <c r="J368" s="21">
        <f t="shared" si="670"/>
        <v>0</v>
      </c>
      <c r="K368" s="21">
        <f t="shared" si="670"/>
        <v>0</v>
      </c>
      <c r="L368" s="21">
        <f t="shared" si="670"/>
        <v>0</v>
      </c>
      <c r="M368" s="21">
        <f>13.5</f>
        <v>13.5</v>
      </c>
      <c r="N368" s="21">
        <f>0</f>
        <v>0</v>
      </c>
      <c r="O368" s="21">
        <f>13.5</f>
        <v>13.5</v>
      </c>
    </row>
    <row r="369">
      <c r="B369" s="20">
        <v>46231.0</v>
      </c>
      <c r="C369" s="21">
        <f t="shared" ref="C369:H369" si="671">0</f>
        <v>0</v>
      </c>
      <c r="D369" s="21">
        <f t="shared" si="671"/>
        <v>0</v>
      </c>
      <c r="E369" s="21">
        <f t="shared" si="671"/>
        <v>0</v>
      </c>
      <c r="F369" s="21">
        <f t="shared" si="671"/>
        <v>0</v>
      </c>
      <c r="G369" s="21">
        <f t="shared" si="671"/>
        <v>0</v>
      </c>
      <c r="H369" s="21">
        <f t="shared" si="671"/>
        <v>0</v>
      </c>
      <c r="I369" s="21">
        <f t="shared" ref="I369:J369" si="672">15.5</f>
        <v>15.5</v>
      </c>
      <c r="J369" s="21">
        <f t="shared" si="672"/>
        <v>15.5</v>
      </c>
      <c r="K369" s="21">
        <f>0</f>
        <v>0</v>
      </c>
      <c r="L369" s="21"/>
      <c r="M369" s="21"/>
      <c r="N369" s="21"/>
      <c r="O369" s="21"/>
    </row>
    <row r="370">
      <c r="B370" s="20">
        <v>46231.0</v>
      </c>
      <c r="C370" s="21">
        <f>0</f>
        <v>0</v>
      </c>
      <c r="D370" s="21">
        <f>74</f>
        <v>74</v>
      </c>
      <c r="E370" s="21">
        <f t="shared" ref="E370:O370" si="673">0</f>
        <v>0</v>
      </c>
      <c r="F370" s="21">
        <f t="shared" si="673"/>
        <v>0</v>
      </c>
      <c r="G370" s="21">
        <f t="shared" si="673"/>
        <v>0</v>
      </c>
      <c r="H370" s="21">
        <f t="shared" si="673"/>
        <v>0</v>
      </c>
      <c r="I370" s="21">
        <f t="shared" si="673"/>
        <v>0</v>
      </c>
      <c r="J370" s="21">
        <f t="shared" si="673"/>
        <v>0</v>
      </c>
      <c r="K370" s="21">
        <f t="shared" si="673"/>
        <v>0</v>
      </c>
      <c r="L370" s="21">
        <f t="shared" si="673"/>
        <v>0</v>
      </c>
      <c r="M370" s="21">
        <f t="shared" si="673"/>
        <v>0</v>
      </c>
      <c r="N370" s="21">
        <f t="shared" si="673"/>
        <v>0</v>
      </c>
      <c r="O370" s="21">
        <f t="shared" si="673"/>
        <v>0</v>
      </c>
    </row>
    <row r="371">
      <c r="B371" s="20">
        <v>46231.0</v>
      </c>
      <c r="C371" s="21">
        <v>0.0</v>
      </c>
      <c r="D371" s="21">
        <v>0.0</v>
      </c>
      <c r="E371" s="21">
        <v>0.0</v>
      </c>
      <c r="F371" s="21">
        <v>0.0</v>
      </c>
      <c r="G371" s="21">
        <v>0.0</v>
      </c>
      <c r="H371" s="21">
        <v>0.0</v>
      </c>
      <c r="I371" s="21">
        <v>0.0</v>
      </c>
      <c r="J371" s="21">
        <v>0.0</v>
      </c>
      <c r="K371" s="21">
        <v>0.0</v>
      </c>
      <c r="L371" s="21">
        <v>0.0</v>
      </c>
      <c r="M371" s="21">
        <v>0.0</v>
      </c>
      <c r="N371" s="21">
        <v>0.0</v>
      </c>
      <c r="O371" s="21">
        <f>39</f>
        <v>39</v>
      </c>
    </row>
    <row r="372">
      <c r="B372" s="20">
        <v>46231.0</v>
      </c>
      <c r="C372" s="21">
        <v>0.0</v>
      </c>
      <c r="D372" s="21">
        <v>0.0</v>
      </c>
      <c r="E372" s="21">
        <v>0.0</v>
      </c>
      <c r="F372" s="21">
        <v>0.0</v>
      </c>
      <c r="G372" s="21">
        <v>0.0</v>
      </c>
      <c r="H372" s="21">
        <v>0.0</v>
      </c>
      <c r="I372" s="21">
        <v>0.0</v>
      </c>
      <c r="J372" s="21">
        <v>0.0</v>
      </c>
      <c r="K372" s="21">
        <v>0.0</v>
      </c>
      <c r="L372" s="21">
        <v>0.0</v>
      </c>
      <c r="M372" s="21">
        <v>0.0</v>
      </c>
      <c r="N372" s="21">
        <v>0.0</v>
      </c>
      <c r="O372" s="21">
        <f>28</f>
        <v>28</v>
      </c>
    </row>
    <row r="373">
      <c r="B373" s="20">
        <v>46231.0</v>
      </c>
      <c r="C373" s="21">
        <f>32.4</f>
        <v>32.4</v>
      </c>
      <c r="D373" s="21">
        <f t="shared" ref="D373:L373" si="674">0</f>
        <v>0</v>
      </c>
      <c r="E373" s="21">
        <f t="shared" si="674"/>
        <v>0</v>
      </c>
      <c r="F373" s="21">
        <f t="shared" si="674"/>
        <v>0</v>
      </c>
      <c r="G373" s="21">
        <f t="shared" si="674"/>
        <v>0</v>
      </c>
      <c r="H373" s="21">
        <f t="shared" si="674"/>
        <v>0</v>
      </c>
      <c r="I373" s="21">
        <f t="shared" si="674"/>
        <v>0</v>
      </c>
      <c r="J373" s="21">
        <f t="shared" si="674"/>
        <v>0</v>
      </c>
      <c r="K373" s="21">
        <f t="shared" si="674"/>
        <v>0</v>
      </c>
      <c r="L373" s="21">
        <f t="shared" si="674"/>
        <v>0</v>
      </c>
      <c r="M373" s="21">
        <f>3.6</f>
        <v>3.6</v>
      </c>
      <c r="N373" s="21">
        <f t="shared" ref="N373:O373" si="675">0</f>
        <v>0</v>
      </c>
      <c r="O373" s="21">
        <f t="shared" si="675"/>
        <v>0</v>
      </c>
    </row>
    <row r="374">
      <c r="B374" s="20">
        <v>46232.0</v>
      </c>
      <c r="C374" s="21">
        <v>0.0</v>
      </c>
      <c r="D374" s="21">
        <v>0.0</v>
      </c>
      <c r="E374" s="21">
        <v>0.0</v>
      </c>
      <c r="F374" s="21">
        <v>0.0</v>
      </c>
      <c r="G374" s="21">
        <v>0.0</v>
      </c>
      <c r="H374" s="21">
        <v>0.0</v>
      </c>
      <c r="I374" s="21">
        <f>29</f>
        <v>29</v>
      </c>
      <c r="J374" s="21">
        <v>0.0</v>
      </c>
      <c r="K374" s="21">
        <v>0.0</v>
      </c>
      <c r="L374" s="21">
        <v>0.0</v>
      </c>
      <c r="M374" s="21">
        <v>0.0</v>
      </c>
      <c r="N374" s="21">
        <v>0.0</v>
      </c>
      <c r="O374" s="21">
        <v>0.0</v>
      </c>
    </row>
    <row r="375">
      <c r="B375" s="20">
        <v>46232.0</v>
      </c>
      <c r="C375" s="21">
        <v>0.0</v>
      </c>
      <c r="D375" s="21">
        <v>0.0</v>
      </c>
      <c r="E375" s="21">
        <v>0.0</v>
      </c>
      <c r="F375" s="21">
        <v>0.0</v>
      </c>
      <c r="G375" s="21">
        <v>0.0</v>
      </c>
      <c r="H375" s="21">
        <v>0.0</v>
      </c>
      <c r="I375" s="21">
        <f>32</f>
        <v>32</v>
      </c>
      <c r="J375" s="21">
        <v>0.0</v>
      </c>
      <c r="K375" s="21">
        <v>0.0</v>
      </c>
      <c r="L375" s="21">
        <v>0.0</v>
      </c>
      <c r="M375" s="21">
        <v>0.0</v>
      </c>
      <c r="N375" s="21">
        <v>0.0</v>
      </c>
      <c r="O375" s="21">
        <v>0.0</v>
      </c>
    </row>
    <row r="376">
      <c r="B376" s="20">
        <v>46232.0</v>
      </c>
      <c r="C376" s="21">
        <f>2.3</f>
        <v>2.3</v>
      </c>
      <c r="D376" s="21">
        <f t="shared" ref="D376:H376" si="676">0</f>
        <v>0</v>
      </c>
      <c r="E376" s="21">
        <f t="shared" si="676"/>
        <v>0</v>
      </c>
      <c r="F376" s="21">
        <f t="shared" si="676"/>
        <v>0</v>
      </c>
      <c r="G376" s="21">
        <f t="shared" si="676"/>
        <v>0</v>
      </c>
      <c r="H376" s="21">
        <f t="shared" si="676"/>
        <v>0</v>
      </c>
      <c r="I376" s="21">
        <f>20.7</f>
        <v>20.7</v>
      </c>
      <c r="J376" s="21">
        <f t="shared" ref="J376:O376" si="677">0</f>
        <v>0</v>
      </c>
      <c r="K376" s="21">
        <f t="shared" si="677"/>
        <v>0</v>
      </c>
      <c r="L376" s="21">
        <f t="shared" si="677"/>
        <v>0</v>
      </c>
      <c r="M376" s="21">
        <f t="shared" si="677"/>
        <v>0</v>
      </c>
      <c r="N376" s="21">
        <f t="shared" si="677"/>
        <v>0</v>
      </c>
      <c r="O376" s="21">
        <f t="shared" si="677"/>
        <v>0</v>
      </c>
    </row>
    <row r="377">
      <c r="B377" s="20">
        <v>46232.0</v>
      </c>
      <c r="C377" s="21">
        <f t="shared" ref="C377:E377" si="678">0</f>
        <v>0</v>
      </c>
      <c r="D377" s="21">
        <f t="shared" si="678"/>
        <v>0</v>
      </c>
      <c r="E377" s="21">
        <f t="shared" si="678"/>
        <v>0</v>
      </c>
      <c r="F377" s="21">
        <f>34</f>
        <v>34</v>
      </c>
      <c r="G377" s="21">
        <f t="shared" ref="G377:O377" si="679">0</f>
        <v>0</v>
      </c>
      <c r="H377" s="21">
        <f t="shared" si="679"/>
        <v>0</v>
      </c>
      <c r="I377" s="21">
        <f t="shared" si="679"/>
        <v>0</v>
      </c>
      <c r="J377" s="21">
        <f t="shared" si="679"/>
        <v>0</v>
      </c>
      <c r="K377" s="21">
        <f t="shared" si="679"/>
        <v>0</v>
      </c>
      <c r="L377" s="21">
        <f t="shared" si="679"/>
        <v>0</v>
      </c>
      <c r="M377" s="21">
        <f t="shared" si="679"/>
        <v>0</v>
      </c>
      <c r="N377" s="21">
        <f t="shared" si="679"/>
        <v>0</v>
      </c>
      <c r="O377" s="21">
        <f t="shared" si="679"/>
        <v>0</v>
      </c>
    </row>
    <row r="378">
      <c r="B378" s="20">
        <v>46232.0</v>
      </c>
      <c r="C378" s="21">
        <f t="shared" ref="C378:H378" si="680">0</f>
        <v>0</v>
      </c>
      <c r="D378" s="21">
        <f t="shared" si="680"/>
        <v>0</v>
      </c>
      <c r="E378" s="21">
        <f t="shared" si="680"/>
        <v>0</v>
      </c>
      <c r="F378" s="21">
        <f t="shared" si="680"/>
        <v>0</v>
      </c>
      <c r="G378" s="21">
        <f t="shared" si="680"/>
        <v>0</v>
      </c>
      <c r="H378" s="21">
        <f t="shared" si="680"/>
        <v>0</v>
      </c>
      <c r="I378" s="21">
        <f>19.6</f>
        <v>19.6</v>
      </c>
      <c r="J378" s="21">
        <f t="shared" ref="J378:L378" si="681">0</f>
        <v>0</v>
      </c>
      <c r="K378" s="21">
        <f t="shared" si="681"/>
        <v>0</v>
      </c>
      <c r="L378" s="21">
        <f t="shared" si="681"/>
        <v>0</v>
      </c>
      <c r="M378" s="21">
        <f>14.7</f>
        <v>14.7</v>
      </c>
      <c r="N378" s="21">
        <f>0</f>
        <v>0</v>
      </c>
      <c r="O378" s="21">
        <f>14.7</f>
        <v>14.7</v>
      </c>
    </row>
    <row r="379">
      <c r="B379" s="20">
        <v>46232.0</v>
      </c>
      <c r="C379" s="21">
        <f t="shared" ref="C379:H379" si="682">0</f>
        <v>0</v>
      </c>
      <c r="D379" s="21">
        <f t="shared" si="682"/>
        <v>0</v>
      </c>
      <c r="E379" s="21">
        <f t="shared" si="682"/>
        <v>0</v>
      </c>
      <c r="F379" s="21">
        <f t="shared" si="682"/>
        <v>0</v>
      </c>
      <c r="G379" s="21">
        <f t="shared" si="682"/>
        <v>0</v>
      </c>
      <c r="H379" s="21">
        <f t="shared" si="682"/>
        <v>0</v>
      </c>
      <c r="I379" s="21">
        <f>29.5</f>
        <v>29.5</v>
      </c>
      <c r="J379" s="21">
        <f t="shared" ref="J379:M379" si="683">0</f>
        <v>0</v>
      </c>
      <c r="K379" s="21">
        <f t="shared" si="683"/>
        <v>0</v>
      </c>
      <c r="L379" s="21">
        <f t="shared" si="683"/>
        <v>0</v>
      </c>
      <c r="M379" s="21">
        <f t="shared" si="683"/>
        <v>0</v>
      </c>
      <c r="N379" s="21">
        <f>29.5</f>
        <v>29.5</v>
      </c>
      <c r="O379" s="21">
        <f>0</f>
        <v>0</v>
      </c>
    </row>
    <row r="380">
      <c r="B380" s="20">
        <v>46233.0</v>
      </c>
      <c r="C380" s="21">
        <v>0.0</v>
      </c>
      <c r="D380" s="21">
        <v>0.0</v>
      </c>
      <c r="E380" s="21">
        <v>0.0</v>
      </c>
      <c r="F380" s="21">
        <v>0.0</v>
      </c>
      <c r="G380" s="21">
        <v>0.0</v>
      </c>
      <c r="H380" s="21">
        <v>0.0</v>
      </c>
      <c r="I380" s="21">
        <v>0.0</v>
      </c>
      <c r="J380" s="21">
        <v>0.0</v>
      </c>
      <c r="K380" s="21">
        <v>0.0</v>
      </c>
      <c r="L380" s="21">
        <v>0.0</v>
      </c>
      <c r="M380" s="21">
        <v>0.0</v>
      </c>
      <c r="N380" s="21">
        <v>0.0</v>
      </c>
      <c r="O380" s="21">
        <f>88</f>
        <v>88</v>
      </c>
    </row>
    <row r="381">
      <c r="B381" s="20">
        <v>46233.0</v>
      </c>
      <c r="C381" s="21">
        <v>0.0</v>
      </c>
      <c r="D381" s="21">
        <v>0.0</v>
      </c>
      <c r="E381" s="21">
        <v>0.0</v>
      </c>
      <c r="F381" s="21">
        <v>0.0</v>
      </c>
      <c r="G381" s="21">
        <v>0.0</v>
      </c>
      <c r="H381" s="21">
        <v>0.0</v>
      </c>
      <c r="I381" s="21">
        <v>0.0</v>
      </c>
      <c r="J381" s="21">
        <v>0.0</v>
      </c>
      <c r="K381" s="21">
        <v>0.0</v>
      </c>
      <c r="L381" s="21">
        <v>0.0</v>
      </c>
      <c r="M381" s="21">
        <v>0.0</v>
      </c>
      <c r="N381" s="21">
        <v>0.0</v>
      </c>
      <c r="O381" s="21">
        <f>41</f>
        <v>41</v>
      </c>
    </row>
    <row r="382">
      <c r="B382" s="20">
        <v>46233.0</v>
      </c>
      <c r="C382" s="21">
        <f t="shared" ref="C382:E382" si="684">0</f>
        <v>0</v>
      </c>
      <c r="D382" s="21">
        <f t="shared" si="684"/>
        <v>0</v>
      </c>
      <c r="E382" s="21">
        <f t="shared" si="684"/>
        <v>0</v>
      </c>
      <c r="F382" s="21">
        <f>10.5</f>
        <v>10.5</v>
      </c>
      <c r="G382" s="21">
        <f t="shared" ref="G382:H382" si="685">0</f>
        <v>0</v>
      </c>
      <c r="H382" s="21">
        <f t="shared" si="685"/>
        <v>0</v>
      </c>
      <c r="I382" s="21">
        <f>10.5</f>
        <v>10.5</v>
      </c>
      <c r="J382" s="21">
        <f t="shared" ref="J382:O382" si="686">0</f>
        <v>0</v>
      </c>
      <c r="K382" s="21">
        <f t="shared" si="686"/>
        <v>0</v>
      </c>
      <c r="L382" s="21">
        <f t="shared" si="686"/>
        <v>0</v>
      </c>
      <c r="M382" s="21">
        <f t="shared" si="686"/>
        <v>0</v>
      </c>
      <c r="N382" s="21">
        <f t="shared" si="686"/>
        <v>0</v>
      </c>
      <c r="O382" s="21">
        <f t="shared" si="686"/>
        <v>0</v>
      </c>
    </row>
    <row r="383">
      <c r="B383" s="20">
        <v>46233.0</v>
      </c>
      <c r="C383" s="21">
        <f t="shared" ref="C383:H383" si="687">0</f>
        <v>0</v>
      </c>
      <c r="D383" s="21">
        <f t="shared" si="687"/>
        <v>0</v>
      </c>
      <c r="E383" s="21">
        <f t="shared" si="687"/>
        <v>0</v>
      </c>
      <c r="F383" s="21">
        <f t="shared" si="687"/>
        <v>0</v>
      </c>
      <c r="G383" s="21">
        <f t="shared" si="687"/>
        <v>0</v>
      </c>
      <c r="H383" s="21">
        <f t="shared" si="687"/>
        <v>0</v>
      </c>
      <c r="I383" s="21">
        <f>18.5</f>
        <v>18.5</v>
      </c>
      <c r="J383" s="21">
        <f t="shared" ref="J383:N383" si="688">0</f>
        <v>0</v>
      </c>
      <c r="K383" s="21">
        <f t="shared" si="688"/>
        <v>0</v>
      </c>
      <c r="L383" s="21">
        <f t="shared" si="688"/>
        <v>0</v>
      </c>
      <c r="M383" s="21">
        <f t="shared" si="688"/>
        <v>0</v>
      </c>
      <c r="N383" s="21">
        <f t="shared" si="688"/>
        <v>0</v>
      </c>
      <c r="O383" s="21">
        <f>18.5</f>
        <v>18.5</v>
      </c>
    </row>
    <row r="384">
      <c r="B384" s="20">
        <v>46233.0</v>
      </c>
      <c r="C384" s="21">
        <f t="shared" ref="C384:H384" si="689">0</f>
        <v>0</v>
      </c>
      <c r="D384" s="21">
        <f t="shared" si="689"/>
        <v>0</v>
      </c>
      <c r="E384" s="21">
        <f t="shared" si="689"/>
        <v>0</v>
      </c>
      <c r="F384" s="21">
        <f t="shared" si="689"/>
        <v>0</v>
      </c>
      <c r="G384" s="21">
        <f t="shared" si="689"/>
        <v>0</v>
      </c>
      <c r="H384" s="21">
        <f t="shared" si="689"/>
        <v>0</v>
      </c>
      <c r="I384" s="21">
        <f>68</f>
        <v>68</v>
      </c>
      <c r="J384" s="21">
        <f t="shared" ref="J384:N384" si="690">0</f>
        <v>0</v>
      </c>
      <c r="K384" s="21">
        <f t="shared" si="690"/>
        <v>0</v>
      </c>
      <c r="L384" s="21">
        <f t="shared" si="690"/>
        <v>0</v>
      </c>
      <c r="M384" s="21">
        <f t="shared" si="690"/>
        <v>0</v>
      </c>
      <c r="N384" s="21">
        <f t="shared" si="690"/>
        <v>0</v>
      </c>
      <c r="O384" s="21">
        <f>17</f>
        <v>17</v>
      </c>
    </row>
    <row r="385">
      <c r="B385" s="20">
        <v>46233.0</v>
      </c>
      <c r="C385" s="21">
        <f t="shared" ref="C385:E385" si="691">0</f>
        <v>0</v>
      </c>
      <c r="D385" s="21">
        <f t="shared" si="691"/>
        <v>0</v>
      </c>
      <c r="E385" s="21">
        <f t="shared" si="691"/>
        <v>0</v>
      </c>
      <c r="F385" s="21">
        <f>80</f>
        <v>80</v>
      </c>
      <c r="G385" s="21">
        <f t="shared" ref="G385:O385" si="692">0</f>
        <v>0</v>
      </c>
      <c r="H385" s="21">
        <f t="shared" si="692"/>
        <v>0</v>
      </c>
      <c r="I385" s="21">
        <f t="shared" si="692"/>
        <v>0</v>
      </c>
      <c r="J385" s="21">
        <f t="shared" si="692"/>
        <v>0</v>
      </c>
      <c r="K385" s="21">
        <f t="shared" si="692"/>
        <v>0</v>
      </c>
      <c r="L385" s="21">
        <f t="shared" si="692"/>
        <v>0</v>
      </c>
      <c r="M385" s="21">
        <f t="shared" si="692"/>
        <v>0</v>
      </c>
      <c r="N385" s="21">
        <f t="shared" si="692"/>
        <v>0</v>
      </c>
      <c r="O385" s="21">
        <f t="shared" si="692"/>
        <v>0</v>
      </c>
    </row>
    <row r="386">
      <c r="B386" s="20">
        <v>46233.0</v>
      </c>
      <c r="C386" s="21">
        <f t="shared" ref="C386:E386" si="693">0</f>
        <v>0</v>
      </c>
      <c r="D386" s="21">
        <f t="shared" si="693"/>
        <v>0</v>
      </c>
      <c r="E386" s="21">
        <f t="shared" si="693"/>
        <v>0</v>
      </c>
      <c r="F386" s="21">
        <f>24</f>
        <v>24</v>
      </c>
      <c r="G386" s="21">
        <f t="shared" ref="G386:O386" si="694">0</f>
        <v>0</v>
      </c>
      <c r="H386" s="21">
        <f t="shared" si="694"/>
        <v>0</v>
      </c>
      <c r="I386" s="21">
        <f t="shared" si="694"/>
        <v>0</v>
      </c>
      <c r="J386" s="21">
        <f t="shared" si="694"/>
        <v>0</v>
      </c>
      <c r="K386" s="21">
        <f t="shared" si="694"/>
        <v>0</v>
      </c>
      <c r="L386" s="21">
        <f t="shared" si="694"/>
        <v>0</v>
      </c>
      <c r="M386" s="21">
        <f t="shared" si="694"/>
        <v>0</v>
      </c>
      <c r="N386" s="21">
        <f t="shared" si="694"/>
        <v>0</v>
      </c>
      <c r="O386" s="21">
        <f t="shared" si="694"/>
        <v>0</v>
      </c>
    </row>
    <row r="387">
      <c r="B387" s="20">
        <v>46233.0</v>
      </c>
      <c r="C387" s="21">
        <f>104</f>
        <v>104</v>
      </c>
      <c r="D387" s="21">
        <f t="shared" ref="D387:O387" si="695">0</f>
        <v>0</v>
      </c>
      <c r="E387" s="21">
        <f t="shared" si="695"/>
        <v>0</v>
      </c>
      <c r="F387" s="21">
        <f t="shared" si="695"/>
        <v>0</v>
      </c>
      <c r="G387" s="21">
        <f t="shared" si="695"/>
        <v>0</v>
      </c>
      <c r="H387" s="21">
        <f t="shared" si="695"/>
        <v>0</v>
      </c>
      <c r="I387" s="21">
        <f t="shared" si="695"/>
        <v>0</v>
      </c>
      <c r="J387" s="21">
        <f t="shared" si="695"/>
        <v>0</v>
      </c>
      <c r="K387" s="21">
        <f t="shared" si="695"/>
        <v>0</v>
      </c>
      <c r="L387" s="21">
        <f t="shared" si="695"/>
        <v>0</v>
      </c>
      <c r="M387" s="21">
        <f t="shared" si="695"/>
        <v>0</v>
      </c>
      <c r="N387" s="21">
        <f t="shared" si="695"/>
        <v>0</v>
      </c>
      <c r="O387" s="21">
        <f t="shared" si="695"/>
        <v>0</v>
      </c>
    </row>
    <row r="388">
      <c r="B388" s="20">
        <v>46234.0</v>
      </c>
      <c r="C388" s="21">
        <f>23.5</f>
        <v>23.5</v>
      </c>
      <c r="D388" s="21">
        <f t="shared" ref="D388:H388" si="696">0</f>
        <v>0</v>
      </c>
      <c r="E388" s="21">
        <f t="shared" si="696"/>
        <v>0</v>
      </c>
      <c r="F388" s="21">
        <f t="shared" si="696"/>
        <v>0</v>
      </c>
      <c r="G388" s="21">
        <f t="shared" si="696"/>
        <v>0</v>
      </c>
      <c r="H388" s="21">
        <f t="shared" si="696"/>
        <v>0</v>
      </c>
      <c r="I388" s="21">
        <f>23.5</f>
        <v>23.5</v>
      </c>
      <c r="J388" s="21">
        <f t="shared" ref="J388:O388" si="697">0</f>
        <v>0</v>
      </c>
      <c r="K388" s="21">
        <f t="shared" si="697"/>
        <v>0</v>
      </c>
      <c r="L388" s="21">
        <f t="shared" si="697"/>
        <v>0</v>
      </c>
      <c r="M388" s="21">
        <f t="shared" si="697"/>
        <v>0</v>
      </c>
      <c r="N388" s="21">
        <f t="shared" si="697"/>
        <v>0</v>
      </c>
      <c r="O388" s="21">
        <f t="shared" si="697"/>
        <v>0</v>
      </c>
    </row>
    <row r="389">
      <c r="B389" s="20">
        <v>46234.0</v>
      </c>
      <c r="C389" s="21">
        <f>1.8</f>
        <v>1.8</v>
      </c>
      <c r="D389" s="21">
        <f>5.4</f>
        <v>5.4</v>
      </c>
      <c r="E389" s="21">
        <f t="shared" ref="E389:F389" si="698">0</f>
        <v>0</v>
      </c>
      <c r="F389" s="21">
        <f t="shared" si="698"/>
        <v>0</v>
      </c>
      <c r="G389" s="21">
        <f>1.8</f>
        <v>1.8</v>
      </c>
      <c r="H389" s="21">
        <f t="shared" ref="H389:O389" si="699">0</f>
        <v>0</v>
      </c>
      <c r="I389" s="21">
        <f t="shared" si="699"/>
        <v>0</v>
      </c>
      <c r="J389" s="21">
        <f t="shared" si="699"/>
        <v>0</v>
      </c>
      <c r="K389" s="21">
        <f t="shared" si="699"/>
        <v>0</v>
      </c>
      <c r="L389" s="21">
        <f t="shared" si="699"/>
        <v>0</v>
      </c>
      <c r="M389" s="21">
        <f t="shared" si="699"/>
        <v>0</v>
      </c>
      <c r="N389" s="21">
        <f t="shared" si="699"/>
        <v>0</v>
      </c>
      <c r="O389" s="21">
        <f t="shared" si="699"/>
        <v>0</v>
      </c>
    </row>
    <row r="390">
      <c r="B390" s="20">
        <v>46234.0</v>
      </c>
      <c r="C390" s="21">
        <f>18</f>
        <v>18</v>
      </c>
      <c r="D390" s="21">
        <f t="shared" ref="D390:O390" si="700">0</f>
        <v>0</v>
      </c>
      <c r="E390" s="21">
        <f t="shared" si="700"/>
        <v>0</v>
      </c>
      <c r="F390" s="21">
        <f t="shared" si="700"/>
        <v>0</v>
      </c>
      <c r="G390" s="21">
        <f t="shared" si="700"/>
        <v>0</v>
      </c>
      <c r="H390" s="21">
        <f t="shared" si="700"/>
        <v>0</v>
      </c>
      <c r="I390" s="21">
        <f t="shared" si="700"/>
        <v>0</v>
      </c>
      <c r="J390" s="21">
        <f t="shared" si="700"/>
        <v>0</v>
      </c>
      <c r="K390" s="21">
        <f t="shared" si="700"/>
        <v>0</v>
      </c>
      <c r="L390" s="21">
        <f t="shared" si="700"/>
        <v>0</v>
      </c>
      <c r="M390" s="21">
        <f t="shared" si="700"/>
        <v>0</v>
      </c>
      <c r="N390" s="21">
        <f t="shared" si="700"/>
        <v>0</v>
      </c>
      <c r="O390" s="21">
        <f t="shared" si="700"/>
        <v>0</v>
      </c>
    </row>
    <row r="391">
      <c r="B391" s="20">
        <v>46234.0</v>
      </c>
      <c r="C391" s="21">
        <f t="shared" ref="C391:H391" si="701">0</f>
        <v>0</v>
      </c>
      <c r="D391" s="21">
        <f t="shared" si="701"/>
        <v>0</v>
      </c>
      <c r="E391" s="21">
        <f t="shared" si="701"/>
        <v>0</v>
      </c>
      <c r="F391" s="21">
        <f t="shared" si="701"/>
        <v>0</v>
      </c>
      <c r="G391" s="21">
        <f t="shared" si="701"/>
        <v>0</v>
      </c>
      <c r="H391" s="21">
        <f t="shared" si="701"/>
        <v>0</v>
      </c>
      <c r="I391" s="21">
        <f>13.8</f>
        <v>13.8</v>
      </c>
      <c r="J391" s="21">
        <f t="shared" ref="J391:L391" si="702">0</f>
        <v>0</v>
      </c>
      <c r="K391" s="21">
        <f t="shared" si="702"/>
        <v>0</v>
      </c>
      <c r="L391" s="21">
        <f t="shared" si="702"/>
        <v>0</v>
      </c>
      <c r="M391" s="21">
        <f t="shared" ref="M391:N391" si="703">4.6</f>
        <v>4.6</v>
      </c>
      <c r="N391" s="21">
        <f t="shared" si="703"/>
        <v>4.6</v>
      </c>
      <c r="O391" s="21">
        <f t="shared" ref="O391:O392" si="705">0</f>
        <v>0</v>
      </c>
    </row>
    <row r="392">
      <c r="B392" s="20">
        <v>46234.0</v>
      </c>
      <c r="C392" s="21">
        <f>48.8</f>
        <v>48.8</v>
      </c>
      <c r="D392" s="21">
        <f t="shared" ref="D392:M392" si="704">0</f>
        <v>0</v>
      </c>
      <c r="E392" s="21">
        <f t="shared" si="704"/>
        <v>0</v>
      </c>
      <c r="F392" s="21">
        <f t="shared" si="704"/>
        <v>0</v>
      </c>
      <c r="G392" s="21">
        <f t="shared" si="704"/>
        <v>0</v>
      </c>
      <c r="H392" s="21">
        <f t="shared" si="704"/>
        <v>0</v>
      </c>
      <c r="I392" s="21">
        <f t="shared" si="704"/>
        <v>0</v>
      </c>
      <c r="J392" s="21">
        <f t="shared" si="704"/>
        <v>0</v>
      </c>
      <c r="K392" s="21">
        <f t="shared" si="704"/>
        <v>0</v>
      </c>
      <c r="L392" s="21">
        <f t="shared" si="704"/>
        <v>0</v>
      </c>
      <c r="M392" s="21">
        <f t="shared" si="704"/>
        <v>0</v>
      </c>
      <c r="N392" s="21">
        <f>73.2</f>
        <v>73.2</v>
      </c>
      <c r="O392" s="21">
        <f t="shared" si="705"/>
        <v>0</v>
      </c>
    </row>
    <row r="393">
      <c r="B393" s="20">
        <v>46234.0</v>
      </c>
      <c r="C393" s="21">
        <f>102.6</f>
        <v>102.6</v>
      </c>
      <c r="D393" s="21">
        <f t="shared" ref="D393:L393" si="706">0</f>
        <v>0</v>
      </c>
      <c r="E393" s="21">
        <f t="shared" si="706"/>
        <v>0</v>
      </c>
      <c r="F393" s="21">
        <f t="shared" si="706"/>
        <v>0</v>
      </c>
      <c r="G393" s="21">
        <f t="shared" si="706"/>
        <v>0</v>
      </c>
      <c r="H393" s="21">
        <f t="shared" si="706"/>
        <v>0</v>
      </c>
      <c r="I393" s="21">
        <f t="shared" si="706"/>
        <v>0</v>
      </c>
      <c r="J393" s="21">
        <f t="shared" si="706"/>
        <v>0</v>
      </c>
      <c r="K393" s="21">
        <f t="shared" si="706"/>
        <v>0</v>
      </c>
      <c r="L393" s="21">
        <f t="shared" si="706"/>
        <v>0</v>
      </c>
      <c r="M393" s="21">
        <f>11.4</f>
        <v>11.4</v>
      </c>
      <c r="N393" s="21">
        <f t="shared" ref="N393:O393" si="707">0</f>
        <v>0</v>
      </c>
      <c r="O393" s="21">
        <f t="shared" si="707"/>
        <v>0</v>
      </c>
    </row>
    <row r="394">
      <c r="B394" s="20">
        <v>46234.0</v>
      </c>
      <c r="C394" s="21">
        <v>0.0</v>
      </c>
      <c r="D394" s="21">
        <v>0.0</v>
      </c>
      <c r="E394" s="21">
        <v>0.0</v>
      </c>
      <c r="F394" s="21">
        <v>0.0</v>
      </c>
      <c r="G394" s="21">
        <v>0.0</v>
      </c>
      <c r="H394" s="21">
        <v>0.0</v>
      </c>
      <c r="I394" s="21">
        <f>42</f>
        <v>42</v>
      </c>
      <c r="J394" s="21">
        <v>0.0</v>
      </c>
      <c r="K394" s="21">
        <v>0.0</v>
      </c>
      <c r="L394" s="21">
        <v>0.0</v>
      </c>
      <c r="M394" s="21">
        <v>0.0</v>
      </c>
      <c r="N394" s="21">
        <v>0.0</v>
      </c>
      <c r="O394" s="21">
        <v>0.0</v>
      </c>
    </row>
    <row r="395">
      <c r="B395" s="20">
        <v>46234.0</v>
      </c>
      <c r="C395" s="21">
        <f t="shared" ref="C395:I395" si="708">0</f>
        <v>0</v>
      </c>
      <c r="D395" s="21">
        <f t="shared" si="708"/>
        <v>0</v>
      </c>
      <c r="E395" s="21">
        <f t="shared" si="708"/>
        <v>0</v>
      </c>
      <c r="F395" s="21">
        <f t="shared" si="708"/>
        <v>0</v>
      </c>
      <c r="G395" s="21">
        <f t="shared" si="708"/>
        <v>0</v>
      </c>
      <c r="H395" s="21">
        <f t="shared" si="708"/>
        <v>0</v>
      </c>
      <c r="I395" s="21">
        <f t="shared" si="708"/>
        <v>0</v>
      </c>
      <c r="J395" s="21">
        <f>274</f>
        <v>274</v>
      </c>
      <c r="K395" s="21">
        <f t="shared" ref="K395:O395" si="709">0</f>
        <v>0</v>
      </c>
      <c r="L395" s="21">
        <f t="shared" si="709"/>
        <v>0</v>
      </c>
      <c r="M395" s="21">
        <f t="shared" si="709"/>
        <v>0</v>
      </c>
      <c r="N395" s="21">
        <f t="shared" si="709"/>
        <v>0</v>
      </c>
      <c r="O395" s="21">
        <f t="shared" si="709"/>
        <v>0</v>
      </c>
    </row>
    <row r="396">
      <c r="B396" s="20">
        <v>46234.0</v>
      </c>
      <c r="C396" s="21">
        <f t="shared" ref="C396:G396" si="710">0</f>
        <v>0</v>
      </c>
      <c r="D396" s="21">
        <f t="shared" si="710"/>
        <v>0</v>
      </c>
      <c r="E396" s="21">
        <f t="shared" si="710"/>
        <v>0</v>
      </c>
      <c r="F396" s="21">
        <f t="shared" si="710"/>
        <v>0</v>
      </c>
      <c r="G396" s="21">
        <f t="shared" si="710"/>
        <v>0</v>
      </c>
      <c r="H396" s="21">
        <f>29</f>
        <v>29</v>
      </c>
      <c r="I396" s="21">
        <f t="shared" ref="I396:O396" si="711">0</f>
        <v>0</v>
      </c>
      <c r="J396" s="21">
        <f t="shared" si="711"/>
        <v>0</v>
      </c>
      <c r="K396" s="21">
        <f t="shared" si="711"/>
        <v>0</v>
      </c>
      <c r="L396" s="21">
        <f t="shared" si="711"/>
        <v>0</v>
      </c>
      <c r="M396" s="21">
        <f t="shared" si="711"/>
        <v>0</v>
      </c>
      <c r="N396" s="21">
        <f t="shared" si="711"/>
        <v>0</v>
      </c>
      <c r="O396" s="21">
        <f t="shared" si="711"/>
        <v>0</v>
      </c>
    </row>
    <row r="397">
      <c r="B397" s="20">
        <v>46234.0</v>
      </c>
      <c r="C397" s="21">
        <f>0</f>
        <v>0</v>
      </c>
      <c r="D397" s="21">
        <f>14.7</f>
        <v>14.7</v>
      </c>
      <c r="E397" s="21">
        <f t="shared" ref="E397:H397" si="712">0</f>
        <v>0</v>
      </c>
      <c r="F397" s="21">
        <f t="shared" si="712"/>
        <v>0</v>
      </c>
      <c r="G397" s="21">
        <f t="shared" si="712"/>
        <v>0</v>
      </c>
      <c r="H397" s="21">
        <f t="shared" si="712"/>
        <v>0</v>
      </c>
      <c r="I397" s="21">
        <f>14.7</f>
        <v>14.7</v>
      </c>
      <c r="J397" s="21">
        <f t="shared" ref="J397:L397" si="713">0</f>
        <v>0</v>
      </c>
      <c r="K397" s="21">
        <f t="shared" si="713"/>
        <v>0</v>
      </c>
      <c r="L397" s="21">
        <f t="shared" si="713"/>
        <v>0</v>
      </c>
      <c r="M397" s="21">
        <f>9.8</f>
        <v>9.8</v>
      </c>
      <c r="N397" s="21">
        <f>0</f>
        <v>0</v>
      </c>
      <c r="O397" s="21">
        <f>9.8</f>
        <v>9.8</v>
      </c>
    </row>
    <row r="398">
      <c r="B398" s="20">
        <v>46234.0</v>
      </c>
      <c r="C398" s="21">
        <v>0.0</v>
      </c>
      <c r="D398" s="21">
        <v>0.0</v>
      </c>
      <c r="E398" s="21">
        <v>0.0</v>
      </c>
      <c r="F398" s="21">
        <v>0.0</v>
      </c>
      <c r="G398" s="21">
        <v>0.0</v>
      </c>
      <c r="H398" s="21">
        <v>0.0</v>
      </c>
      <c r="I398" s="21">
        <f>20</f>
        <v>20</v>
      </c>
      <c r="J398" s="21">
        <v>0.0</v>
      </c>
      <c r="K398" s="21">
        <v>0.0</v>
      </c>
      <c r="L398" s="21">
        <v>0.0</v>
      </c>
      <c r="M398" s="21">
        <v>0.0</v>
      </c>
      <c r="N398" s="21">
        <v>0.0</v>
      </c>
      <c r="O398" s="21">
        <v>0.0</v>
      </c>
    </row>
    <row r="399">
      <c r="B399" s="20">
        <v>46234.0</v>
      </c>
      <c r="C399" s="21">
        <f t="shared" ref="C399:F399" si="714">0</f>
        <v>0</v>
      </c>
      <c r="D399" s="21">
        <f t="shared" si="714"/>
        <v>0</v>
      </c>
      <c r="E399" s="21">
        <f t="shared" si="714"/>
        <v>0</v>
      </c>
      <c r="F399" s="21">
        <f t="shared" si="714"/>
        <v>0</v>
      </c>
      <c r="G399" s="21">
        <f>16</f>
        <v>16</v>
      </c>
      <c r="H399" s="21">
        <f>0</f>
        <v>0</v>
      </c>
      <c r="I399" s="21">
        <f>16</f>
        <v>16</v>
      </c>
      <c r="J399" s="21">
        <f t="shared" ref="J399:O399" si="715">0</f>
        <v>0</v>
      </c>
      <c r="K399" s="21">
        <f t="shared" si="715"/>
        <v>0</v>
      </c>
      <c r="L399" s="21">
        <f t="shared" si="715"/>
        <v>0</v>
      </c>
      <c r="M399" s="21">
        <f t="shared" si="715"/>
        <v>0</v>
      </c>
      <c r="N399" s="21">
        <f t="shared" si="715"/>
        <v>0</v>
      </c>
      <c r="O399" s="21">
        <f t="shared" si="715"/>
        <v>0</v>
      </c>
    </row>
    <row r="400">
      <c r="B400" s="20">
        <v>46234.0</v>
      </c>
      <c r="C400" s="21">
        <f t="shared" ref="C400:I400" si="716">0</f>
        <v>0</v>
      </c>
      <c r="D400" s="21">
        <f t="shared" si="716"/>
        <v>0</v>
      </c>
      <c r="E400" s="21">
        <f t="shared" si="716"/>
        <v>0</v>
      </c>
      <c r="F400" s="21">
        <f t="shared" si="716"/>
        <v>0</v>
      </c>
      <c r="G400" s="21">
        <f t="shared" si="716"/>
        <v>0</v>
      </c>
      <c r="H400" s="21">
        <f t="shared" si="716"/>
        <v>0</v>
      </c>
      <c r="I400" s="21">
        <f t="shared" si="716"/>
        <v>0</v>
      </c>
      <c r="J400" s="21">
        <f t="shared" ref="J400:K400" si="717">58.5</f>
        <v>58.5</v>
      </c>
      <c r="K400" s="21">
        <f t="shared" si="717"/>
        <v>58.5</v>
      </c>
      <c r="L400" s="21">
        <f t="shared" ref="L400:O400" si="718">0</f>
        <v>0</v>
      </c>
      <c r="M400" s="21">
        <f t="shared" si="718"/>
        <v>0</v>
      </c>
      <c r="N400" s="21">
        <f t="shared" si="718"/>
        <v>0</v>
      </c>
      <c r="O400" s="21">
        <f t="shared" si="718"/>
        <v>0</v>
      </c>
    </row>
    <row r="401">
      <c r="B401" s="20">
        <v>46234.0</v>
      </c>
      <c r="C401" s="21">
        <f t="shared" ref="C401:E401" si="719">0</f>
        <v>0</v>
      </c>
      <c r="D401" s="21">
        <f t="shared" si="719"/>
        <v>0</v>
      </c>
      <c r="E401" s="21">
        <f t="shared" si="719"/>
        <v>0</v>
      </c>
      <c r="F401" s="21">
        <f>26</f>
        <v>26</v>
      </c>
      <c r="G401" s="21">
        <f t="shared" ref="G401:O401" si="720">0</f>
        <v>0</v>
      </c>
      <c r="H401" s="21">
        <f t="shared" si="720"/>
        <v>0</v>
      </c>
      <c r="I401" s="21">
        <f t="shared" si="720"/>
        <v>0</v>
      </c>
      <c r="J401" s="21">
        <f t="shared" si="720"/>
        <v>0</v>
      </c>
      <c r="K401" s="21">
        <f t="shared" si="720"/>
        <v>0</v>
      </c>
      <c r="L401" s="21">
        <f t="shared" si="720"/>
        <v>0</v>
      </c>
      <c r="M401" s="21">
        <f t="shared" si="720"/>
        <v>0</v>
      </c>
      <c r="N401" s="21">
        <f t="shared" si="720"/>
        <v>0</v>
      </c>
      <c r="O401" s="21">
        <f t="shared" si="720"/>
        <v>0</v>
      </c>
    </row>
    <row r="402">
      <c r="B402" s="20">
        <v>46234.0</v>
      </c>
      <c r="C402" s="21">
        <f t="shared" ref="C402:E402" si="721">0</f>
        <v>0</v>
      </c>
      <c r="D402" s="21">
        <f t="shared" si="721"/>
        <v>0</v>
      </c>
      <c r="E402" s="21">
        <f t="shared" si="721"/>
        <v>0</v>
      </c>
      <c r="F402" s="21">
        <f>16</f>
        <v>16</v>
      </c>
      <c r="G402" s="21">
        <f t="shared" ref="G402:O402" si="722">0</f>
        <v>0</v>
      </c>
      <c r="H402" s="21">
        <f t="shared" si="722"/>
        <v>0</v>
      </c>
      <c r="I402" s="21">
        <f t="shared" si="722"/>
        <v>0</v>
      </c>
      <c r="J402" s="21">
        <f t="shared" si="722"/>
        <v>0</v>
      </c>
      <c r="K402" s="21">
        <f t="shared" si="722"/>
        <v>0</v>
      </c>
      <c r="L402" s="21">
        <f t="shared" si="722"/>
        <v>0</v>
      </c>
      <c r="M402" s="21">
        <f t="shared" si="722"/>
        <v>0</v>
      </c>
      <c r="N402" s="21">
        <f t="shared" si="722"/>
        <v>0</v>
      </c>
      <c r="O402" s="21">
        <f t="shared" si="722"/>
        <v>0</v>
      </c>
    </row>
    <row r="403">
      <c r="B403" s="20">
        <v>46234.0</v>
      </c>
      <c r="C403" s="21">
        <f t="shared" ref="C403:C404" si="726">0</f>
        <v>0</v>
      </c>
      <c r="D403" s="21">
        <f>1.75</f>
        <v>1.75</v>
      </c>
      <c r="E403" s="21">
        <f t="shared" ref="E403:H403" si="723">0</f>
        <v>0</v>
      </c>
      <c r="F403" s="21">
        <f t="shared" si="723"/>
        <v>0</v>
      </c>
      <c r="G403" s="21">
        <f t="shared" si="723"/>
        <v>0</v>
      </c>
      <c r="H403" s="21">
        <f t="shared" si="723"/>
        <v>0</v>
      </c>
      <c r="I403" s="21">
        <f>31.5</f>
        <v>31.5</v>
      </c>
      <c r="J403" s="21">
        <f t="shared" ref="J403:L403" si="724">0</f>
        <v>0</v>
      </c>
      <c r="K403" s="21">
        <f t="shared" si="724"/>
        <v>0</v>
      </c>
      <c r="L403" s="21">
        <f t="shared" si="724"/>
        <v>0</v>
      </c>
      <c r="M403" s="21">
        <f>1.75</f>
        <v>1.75</v>
      </c>
      <c r="N403" s="21">
        <f t="shared" ref="N403:O403" si="725">0</f>
        <v>0</v>
      </c>
      <c r="O403" s="21">
        <f t="shared" si="725"/>
        <v>0</v>
      </c>
    </row>
    <row r="404">
      <c r="B404" s="20">
        <v>46235.0</v>
      </c>
      <c r="C404" s="21">
        <f t="shared" si="726"/>
        <v>0</v>
      </c>
      <c r="D404" s="21">
        <f t="shared" ref="D404:H404" si="727">0</f>
        <v>0</v>
      </c>
      <c r="E404" s="21">
        <f t="shared" si="727"/>
        <v>0</v>
      </c>
      <c r="F404" s="21">
        <f t="shared" si="727"/>
        <v>0</v>
      </c>
      <c r="G404" s="21">
        <f t="shared" si="727"/>
        <v>0</v>
      </c>
      <c r="H404" s="21">
        <f t="shared" si="727"/>
        <v>0</v>
      </c>
      <c r="I404" s="21">
        <f>4.3</f>
        <v>4.3</v>
      </c>
      <c r="J404" s="21">
        <f t="shared" ref="J404:L404" si="728">0</f>
        <v>0</v>
      </c>
      <c r="K404" s="21">
        <f t="shared" si="728"/>
        <v>0</v>
      </c>
      <c r="L404" s="21">
        <f t="shared" si="728"/>
        <v>0</v>
      </c>
      <c r="M404" s="21">
        <f>38.7</f>
        <v>38.7</v>
      </c>
      <c r="N404" s="21">
        <f t="shared" ref="N404:O404" si="729">0</f>
        <v>0</v>
      </c>
      <c r="O404" s="21">
        <f t="shared" si="729"/>
        <v>0</v>
      </c>
    </row>
    <row r="405">
      <c r="B405" s="20">
        <v>46235.0</v>
      </c>
      <c r="C405" s="21">
        <f t="shared" ref="C405:C406" si="733">16</f>
        <v>16</v>
      </c>
      <c r="D405" s="21">
        <f t="shared" ref="D405:H405" si="730">0</f>
        <v>0</v>
      </c>
      <c r="E405" s="21">
        <f t="shared" si="730"/>
        <v>0</v>
      </c>
      <c r="F405" s="21">
        <f t="shared" si="730"/>
        <v>0</v>
      </c>
      <c r="G405" s="21">
        <f t="shared" si="730"/>
        <v>0</v>
      </c>
      <c r="H405" s="21">
        <f t="shared" si="730"/>
        <v>0</v>
      </c>
      <c r="I405" s="21">
        <f>3.2</f>
        <v>3.2</v>
      </c>
      <c r="J405" s="21">
        <f t="shared" ref="J405:L405" si="731">0</f>
        <v>0</v>
      </c>
      <c r="K405" s="21">
        <f t="shared" si="731"/>
        <v>0</v>
      </c>
      <c r="L405" s="21">
        <f t="shared" si="731"/>
        <v>0</v>
      </c>
      <c r="M405" s="21">
        <f>12.8</f>
        <v>12.8</v>
      </c>
      <c r="N405" s="21">
        <f t="shared" ref="N405:O405" si="732">0</f>
        <v>0</v>
      </c>
      <c r="O405" s="21">
        <f t="shared" si="732"/>
        <v>0</v>
      </c>
    </row>
    <row r="406">
      <c r="B406" s="20">
        <v>46235.0</v>
      </c>
      <c r="C406" s="21">
        <f t="shared" si="733"/>
        <v>16</v>
      </c>
      <c r="D406" s="21">
        <f t="shared" ref="D406:L406" si="734">0</f>
        <v>0</v>
      </c>
      <c r="E406" s="21">
        <f t="shared" si="734"/>
        <v>0</v>
      </c>
      <c r="F406" s="21">
        <f t="shared" si="734"/>
        <v>0</v>
      </c>
      <c r="G406" s="21">
        <f t="shared" si="734"/>
        <v>0</v>
      </c>
      <c r="H406" s="21">
        <f t="shared" si="734"/>
        <v>0</v>
      </c>
      <c r="I406" s="21">
        <f t="shared" si="734"/>
        <v>0</v>
      </c>
      <c r="J406" s="21">
        <f t="shared" si="734"/>
        <v>0</v>
      </c>
      <c r="K406" s="21">
        <f t="shared" si="734"/>
        <v>0</v>
      </c>
      <c r="L406" s="21">
        <f t="shared" si="734"/>
        <v>0</v>
      </c>
      <c r="M406" s="21">
        <f>4</f>
        <v>4</v>
      </c>
      <c r="N406" s="21">
        <f t="shared" ref="N406:O406" si="735">0</f>
        <v>0</v>
      </c>
      <c r="O406" s="21">
        <f t="shared" si="735"/>
        <v>0</v>
      </c>
    </row>
    <row r="407">
      <c r="B407" s="20">
        <v>46235.0</v>
      </c>
      <c r="C407" s="21">
        <f t="shared" ref="C407:F407" si="736">0</f>
        <v>0</v>
      </c>
      <c r="D407" s="21">
        <f t="shared" si="736"/>
        <v>0</v>
      </c>
      <c r="E407" s="21">
        <f t="shared" si="736"/>
        <v>0</v>
      </c>
      <c r="F407" s="21">
        <f t="shared" si="736"/>
        <v>0</v>
      </c>
      <c r="G407" s="21">
        <f>26</f>
        <v>26</v>
      </c>
      <c r="H407" s="21">
        <f>0</f>
        <v>0</v>
      </c>
      <c r="I407" s="21">
        <f>26</f>
        <v>26</v>
      </c>
      <c r="J407" s="21">
        <f t="shared" ref="J407:O407" si="737">0</f>
        <v>0</v>
      </c>
      <c r="K407" s="21">
        <f t="shared" si="737"/>
        <v>0</v>
      </c>
      <c r="L407" s="21">
        <f t="shared" si="737"/>
        <v>0</v>
      </c>
      <c r="M407" s="21">
        <f t="shared" si="737"/>
        <v>0</v>
      </c>
      <c r="N407" s="21">
        <f t="shared" si="737"/>
        <v>0</v>
      </c>
      <c r="O407" s="21">
        <f t="shared" si="737"/>
        <v>0</v>
      </c>
    </row>
    <row r="408">
      <c r="B408" s="20">
        <v>46235.0</v>
      </c>
      <c r="C408" s="21">
        <f>18.4</f>
        <v>18.4</v>
      </c>
      <c r="D408" s="21">
        <f t="shared" ref="D408:L408" si="738">0</f>
        <v>0</v>
      </c>
      <c r="E408" s="21">
        <f t="shared" si="738"/>
        <v>0</v>
      </c>
      <c r="F408" s="21">
        <f t="shared" si="738"/>
        <v>0</v>
      </c>
      <c r="G408" s="21">
        <f t="shared" si="738"/>
        <v>0</v>
      </c>
      <c r="H408" s="21">
        <f t="shared" si="738"/>
        <v>0</v>
      </c>
      <c r="I408" s="21">
        <f t="shared" si="738"/>
        <v>0</v>
      </c>
      <c r="J408" s="21">
        <f t="shared" si="738"/>
        <v>0</v>
      </c>
      <c r="K408" s="21">
        <f t="shared" si="738"/>
        <v>0</v>
      </c>
      <c r="L408" s="21">
        <f t="shared" si="738"/>
        <v>0</v>
      </c>
      <c r="M408" s="21">
        <f>4.6</f>
        <v>4.6</v>
      </c>
      <c r="N408" s="21">
        <f t="shared" ref="N408:O408" si="739">0</f>
        <v>0</v>
      </c>
      <c r="O408" s="21">
        <f t="shared" si="739"/>
        <v>0</v>
      </c>
    </row>
    <row r="409">
      <c r="B409" s="20">
        <v>46235.0</v>
      </c>
      <c r="C409" s="21">
        <f t="shared" ref="C409:H409" si="740">0</f>
        <v>0</v>
      </c>
      <c r="D409" s="21">
        <f t="shared" si="740"/>
        <v>0</v>
      </c>
      <c r="E409" s="21">
        <f t="shared" si="740"/>
        <v>0</v>
      </c>
      <c r="F409" s="21">
        <f t="shared" si="740"/>
        <v>0</v>
      </c>
      <c r="G409" s="21">
        <f t="shared" si="740"/>
        <v>0</v>
      </c>
      <c r="H409" s="21">
        <f t="shared" si="740"/>
        <v>0</v>
      </c>
      <c r="I409" s="21">
        <f>77</f>
        <v>77</v>
      </c>
      <c r="J409" s="21">
        <f t="shared" ref="J409:O409" si="741">0</f>
        <v>0</v>
      </c>
      <c r="K409" s="21">
        <f t="shared" si="741"/>
        <v>0</v>
      </c>
      <c r="L409" s="21">
        <f t="shared" si="741"/>
        <v>0</v>
      </c>
      <c r="M409" s="21">
        <f t="shared" si="741"/>
        <v>0</v>
      </c>
      <c r="N409" s="21">
        <f t="shared" si="741"/>
        <v>0</v>
      </c>
      <c r="O409" s="21">
        <f t="shared" si="741"/>
        <v>0</v>
      </c>
    </row>
    <row r="410">
      <c r="B410" s="20">
        <v>46235.0</v>
      </c>
      <c r="C410" s="21">
        <f>16</f>
        <v>16</v>
      </c>
      <c r="D410" s="21">
        <f t="shared" ref="D410:L410" si="742">0</f>
        <v>0</v>
      </c>
      <c r="E410" s="21">
        <f t="shared" si="742"/>
        <v>0</v>
      </c>
      <c r="F410" s="21">
        <f t="shared" si="742"/>
        <v>0</v>
      </c>
      <c r="G410" s="21">
        <f t="shared" si="742"/>
        <v>0</v>
      </c>
      <c r="H410" s="21">
        <f t="shared" si="742"/>
        <v>0</v>
      </c>
      <c r="I410" s="21">
        <f t="shared" si="742"/>
        <v>0</v>
      </c>
      <c r="J410" s="21">
        <f t="shared" si="742"/>
        <v>0</v>
      </c>
      <c r="K410" s="21">
        <f t="shared" si="742"/>
        <v>0</v>
      </c>
      <c r="L410" s="21">
        <f t="shared" si="742"/>
        <v>0</v>
      </c>
      <c r="M410" s="21">
        <f>4</f>
        <v>4</v>
      </c>
      <c r="N410" s="21">
        <f t="shared" ref="N410:O410" si="743">0</f>
        <v>0</v>
      </c>
      <c r="O410" s="21">
        <f t="shared" si="743"/>
        <v>0</v>
      </c>
    </row>
    <row r="411">
      <c r="B411" s="20">
        <v>46235.0</v>
      </c>
      <c r="C411" s="21">
        <f t="shared" ref="C411:H411" si="744">0</f>
        <v>0</v>
      </c>
      <c r="D411" s="21">
        <f t="shared" si="744"/>
        <v>0</v>
      </c>
      <c r="E411" s="21">
        <f t="shared" si="744"/>
        <v>0</v>
      </c>
      <c r="F411" s="21">
        <f t="shared" si="744"/>
        <v>0</v>
      </c>
      <c r="G411" s="21">
        <f t="shared" si="744"/>
        <v>0</v>
      </c>
      <c r="H411" s="21">
        <f t="shared" si="744"/>
        <v>0</v>
      </c>
      <c r="I411" s="21">
        <f>82</f>
        <v>82</v>
      </c>
      <c r="J411" s="21">
        <f t="shared" ref="J411:O411" si="745">0</f>
        <v>0</v>
      </c>
      <c r="K411" s="21">
        <f t="shared" si="745"/>
        <v>0</v>
      </c>
      <c r="L411" s="21">
        <f t="shared" si="745"/>
        <v>0</v>
      </c>
      <c r="M411" s="21">
        <f t="shared" si="745"/>
        <v>0</v>
      </c>
      <c r="N411" s="21">
        <f t="shared" si="745"/>
        <v>0</v>
      </c>
      <c r="O411" s="21">
        <f t="shared" si="745"/>
        <v>0</v>
      </c>
    </row>
    <row r="412">
      <c r="B412" s="20">
        <v>46235.0</v>
      </c>
      <c r="C412" s="21">
        <f t="shared" ref="C412:H412" si="746">0</f>
        <v>0</v>
      </c>
      <c r="D412" s="21">
        <f t="shared" si="746"/>
        <v>0</v>
      </c>
      <c r="E412" s="21">
        <f t="shared" si="746"/>
        <v>0</v>
      </c>
      <c r="F412" s="21">
        <f t="shared" si="746"/>
        <v>0</v>
      </c>
      <c r="G412" s="21">
        <f t="shared" si="746"/>
        <v>0</v>
      </c>
      <c r="H412" s="21">
        <f t="shared" si="746"/>
        <v>0</v>
      </c>
      <c r="I412" s="21">
        <f>54.9</f>
        <v>54.9</v>
      </c>
      <c r="J412" s="21">
        <f>6.1</f>
        <v>6.1</v>
      </c>
      <c r="K412" s="21">
        <f t="shared" ref="K412:O412" si="747">0</f>
        <v>0</v>
      </c>
      <c r="L412" s="21">
        <f t="shared" si="747"/>
        <v>0</v>
      </c>
      <c r="M412" s="21">
        <f t="shared" si="747"/>
        <v>0</v>
      </c>
      <c r="N412" s="21">
        <f t="shared" si="747"/>
        <v>0</v>
      </c>
      <c r="O412" s="21">
        <f t="shared" si="747"/>
        <v>0</v>
      </c>
    </row>
    <row r="413">
      <c r="B413" s="20">
        <v>46235.0</v>
      </c>
      <c r="C413" s="21">
        <v>0.0</v>
      </c>
      <c r="D413" s="21">
        <v>0.0</v>
      </c>
      <c r="E413" s="21">
        <v>0.0</v>
      </c>
      <c r="F413" s="21">
        <v>0.0</v>
      </c>
      <c r="G413" s="21">
        <v>0.0</v>
      </c>
      <c r="H413" s="21">
        <v>0.0</v>
      </c>
      <c r="I413" s="21">
        <f>43</f>
        <v>43</v>
      </c>
      <c r="J413" s="21">
        <v>0.0</v>
      </c>
      <c r="K413" s="21">
        <v>0.0</v>
      </c>
      <c r="L413" s="21">
        <v>0.0</v>
      </c>
      <c r="M413" s="21">
        <v>0.0</v>
      </c>
      <c r="N413" s="21">
        <v>0.0</v>
      </c>
      <c r="O413" s="21">
        <v>0.0</v>
      </c>
    </row>
    <row r="414">
      <c r="B414" s="20">
        <v>46235.0</v>
      </c>
      <c r="C414" s="21">
        <v>0.0</v>
      </c>
      <c r="D414" s="21">
        <v>0.0</v>
      </c>
      <c r="E414" s="21">
        <v>0.0</v>
      </c>
      <c r="F414" s="21">
        <v>0.0</v>
      </c>
      <c r="G414" s="21">
        <v>0.0</v>
      </c>
      <c r="H414" s="21">
        <v>0.0</v>
      </c>
      <c r="I414" s="21">
        <f>49</f>
        <v>49</v>
      </c>
      <c r="J414" s="21">
        <v>0.0</v>
      </c>
      <c r="K414" s="21">
        <v>0.0</v>
      </c>
      <c r="L414" s="21">
        <v>0.0</v>
      </c>
      <c r="M414" s="21">
        <v>0.0</v>
      </c>
      <c r="N414" s="21">
        <v>0.0</v>
      </c>
      <c r="O414" s="21">
        <v>0.0</v>
      </c>
    </row>
    <row r="415">
      <c r="B415" s="20">
        <v>46235.0</v>
      </c>
      <c r="C415" s="21">
        <f t="shared" ref="C415:H415" si="748">0</f>
        <v>0</v>
      </c>
      <c r="D415" s="21">
        <f t="shared" si="748"/>
        <v>0</v>
      </c>
      <c r="E415" s="21">
        <f t="shared" si="748"/>
        <v>0</v>
      </c>
      <c r="F415" s="21">
        <f t="shared" si="748"/>
        <v>0</v>
      </c>
      <c r="G415" s="21">
        <f t="shared" si="748"/>
        <v>0</v>
      </c>
      <c r="H415" s="21">
        <f t="shared" si="748"/>
        <v>0</v>
      </c>
      <c r="I415" s="21">
        <f>25</f>
        <v>25</v>
      </c>
      <c r="J415" s="21">
        <f t="shared" ref="J415:L415" si="749">0</f>
        <v>0</v>
      </c>
      <c r="K415" s="21">
        <f t="shared" si="749"/>
        <v>0</v>
      </c>
      <c r="L415" s="21">
        <f t="shared" si="749"/>
        <v>0</v>
      </c>
      <c r="M415" s="21">
        <f>25</f>
        <v>25</v>
      </c>
      <c r="N415" s="21">
        <f t="shared" ref="N415:O415" si="750">0</f>
        <v>0</v>
      </c>
      <c r="O415" s="21">
        <f t="shared" si="750"/>
        <v>0</v>
      </c>
    </row>
    <row r="416">
      <c r="B416" s="20">
        <v>46235.0</v>
      </c>
      <c r="C416" s="21">
        <f>20.4</f>
        <v>20.4</v>
      </c>
      <c r="D416" s="21">
        <f t="shared" ref="D416:L416" si="751">0</f>
        <v>0</v>
      </c>
      <c r="E416" s="21">
        <f t="shared" si="751"/>
        <v>0</v>
      </c>
      <c r="F416" s="21">
        <f t="shared" si="751"/>
        <v>0</v>
      </c>
      <c r="G416" s="21">
        <f t="shared" si="751"/>
        <v>0</v>
      </c>
      <c r="H416" s="21">
        <f t="shared" si="751"/>
        <v>0</v>
      </c>
      <c r="I416" s="21">
        <f t="shared" si="751"/>
        <v>0</v>
      </c>
      <c r="J416" s="21">
        <f t="shared" si="751"/>
        <v>0</v>
      </c>
      <c r="K416" s="21">
        <f t="shared" si="751"/>
        <v>0</v>
      </c>
      <c r="L416" s="21">
        <f t="shared" si="751"/>
        <v>0</v>
      </c>
      <c r="M416" s="21">
        <f>13.6</f>
        <v>13.6</v>
      </c>
      <c r="N416" s="21">
        <f t="shared" ref="N416:O416" si="752">0</f>
        <v>0</v>
      </c>
      <c r="O416" s="21">
        <f t="shared" si="752"/>
        <v>0</v>
      </c>
    </row>
    <row r="417">
      <c r="B417" s="20">
        <v>46235.0</v>
      </c>
      <c r="C417" s="21">
        <f>16.5</f>
        <v>16.5</v>
      </c>
      <c r="D417" s="21">
        <f t="shared" ref="D417:H417" si="753">0</f>
        <v>0</v>
      </c>
      <c r="E417" s="21">
        <f t="shared" si="753"/>
        <v>0</v>
      </c>
      <c r="F417" s="21">
        <f t="shared" si="753"/>
        <v>0</v>
      </c>
      <c r="G417" s="21">
        <f t="shared" si="753"/>
        <v>0</v>
      </c>
      <c r="H417" s="21">
        <f t="shared" si="753"/>
        <v>0</v>
      </c>
      <c r="I417" s="21">
        <f>16.5</f>
        <v>16.5</v>
      </c>
      <c r="J417" s="21">
        <f t="shared" ref="J417:O417" si="754">0</f>
        <v>0</v>
      </c>
      <c r="K417" s="21">
        <f t="shared" si="754"/>
        <v>0</v>
      </c>
      <c r="L417" s="21">
        <f t="shared" si="754"/>
        <v>0</v>
      </c>
      <c r="M417" s="21">
        <f t="shared" si="754"/>
        <v>0</v>
      </c>
      <c r="N417" s="21">
        <f t="shared" si="754"/>
        <v>0</v>
      </c>
      <c r="O417" s="21">
        <f t="shared" si="754"/>
        <v>0</v>
      </c>
    </row>
    <row r="418">
      <c r="B418" s="20">
        <v>46235.0</v>
      </c>
      <c r="C418" s="21">
        <f t="shared" ref="C418:H418" si="755">0</f>
        <v>0</v>
      </c>
      <c r="D418" s="21">
        <f t="shared" si="755"/>
        <v>0</v>
      </c>
      <c r="E418" s="21">
        <f t="shared" si="755"/>
        <v>0</v>
      </c>
      <c r="F418" s="21">
        <f t="shared" si="755"/>
        <v>0</v>
      </c>
      <c r="G418" s="21">
        <f t="shared" si="755"/>
        <v>0</v>
      </c>
      <c r="H418" s="21">
        <f t="shared" si="755"/>
        <v>0</v>
      </c>
      <c r="I418" s="21">
        <f>35.1</f>
        <v>35.1</v>
      </c>
      <c r="J418" s="21">
        <f t="shared" ref="J418:L418" si="756">0</f>
        <v>0</v>
      </c>
      <c r="K418" s="21">
        <f t="shared" si="756"/>
        <v>0</v>
      </c>
      <c r="L418" s="21">
        <f t="shared" si="756"/>
        <v>0</v>
      </c>
      <c r="M418" s="21">
        <f>3.9</f>
        <v>3.9</v>
      </c>
      <c r="N418" s="21">
        <f t="shared" ref="N418:O418" si="757">0</f>
        <v>0</v>
      </c>
      <c r="O418" s="21">
        <f t="shared" si="757"/>
        <v>0</v>
      </c>
    </row>
    <row r="419">
      <c r="B419" s="20">
        <v>46235.0</v>
      </c>
      <c r="C419" s="21">
        <f>24.5</f>
        <v>24.5</v>
      </c>
      <c r="D419" s="21">
        <f t="shared" ref="D419:L419" si="758">0</f>
        <v>0</v>
      </c>
      <c r="E419" s="21">
        <f t="shared" si="758"/>
        <v>0</v>
      </c>
      <c r="F419" s="21">
        <f t="shared" si="758"/>
        <v>0</v>
      </c>
      <c r="G419" s="21">
        <f t="shared" si="758"/>
        <v>0</v>
      </c>
      <c r="H419" s="21">
        <f t="shared" si="758"/>
        <v>0</v>
      </c>
      <c r="I419" s="21">
        <f t="shared" si="758"/>
        <v>0</v>
      </c>
      <c r="J419" s="21">
        <f t="shared" si="758"/>
        <v>0</v>
      </c>
      <c r="K419" s="21">
        <f t="shared" si="758"/>
        <v>0</v>
      </c>
      <c r="L419" s="21">
        <f t="shared" si="758"/>
        <v>0</v>
      </c>
      <c r="M419" s="21">
        <f>7</f>
        <v>7</v>
      </c>
      <c r="N419" s="21">
        <f t="shared" ref="N419:N420" si="761">0</f>
        <v>0</v>
      </c>
      <c r="O419" s="21">
        <f>3.5</f>
        <v>3.5</v>
      </c>
    </row>
    <row r="420">
      <c r="B420" s="20">
        <v>46236.0</v>
      </c>
      <c r="C420" s="21">
        <f t="shared" ref="C420:E420" si="759">0</f>
        <v>0</v>
      </c>
      <c r="D420" s="21">
        <f t="shared" si="759"/>
        <v>0</v>
      </c>
      <c r="E420" s="21">
        <f t="shared" si="759"/>
        <v>0</v>
      </c>
      <c r="F420" s="21">
        <f>9.8</f>
        <v>9.8</v>
      </c>
      <c r="G420" s="21">
        <f t="shared" ref="G420:L420" si="760">0</f>
        <v>0</v>
      </c>
      <c r="H420" s="21">
        <f t="shared" si="760"/>
        <v>0</v>
      </c>
      <c r="I420" s="21">
        <f t="shared" si="760"/>
        <v>0</v>
      </c>
      <c r="J420" s="21">
        <f t="shared" si="760"/>
        <v>0</v>
      </c>
      <c r="K420" s="21">
        <f t="shared" si="760"/>
        <v>0</v>
      </c>
      <c r="L420" s="21">
        <f t="shared" si="760"/>
        <v>0</v>
      </c>
      <c r="M420" s="21">
        <f>4.9</f>
        <v>4.9</v>
      </c>
      <c r="N420" s="21">
        <f t="shared" si="761"/>
        <v>0</v>
      </c>
      <c r="O420" s="21">
        <f>34.3</f>
        <v>34.3</v>
      </c>
    </row>
    <row r="421">
      <c r="B421" s="20">
        <v>46236.0</v>
      </c>
      <c r="C421" s="21">
        <f t="shared" ref="C421:E421" si="762">0</f>
        <v>0</v>
      </c>
      <c r="D421" s="21">
        <f t="shared" si="762"/>
        <v>0</v>
      </c>
      <c r="E421" s="21">
        <f t="shared" si="762"/>
        <v>0</v>
      </c>
      <c r="F421" s="21">
        <f>15.8</f>
        <v>15.8</v>
      </c>
      <c r="G421" s="21">
        <f t="shared" ref="G421:H421" si="763">0</f>
        <v>0</v>
      </c>
      <c r="H421" s="21">
        <f t="shared" si="763"/>
        <v>0</v>
      </c>
      <c r="I421" s="21">
        <f>7.9</f>
        <v>7.9</v>
      </c>
      <c r="J421" s="21">
        <f>55.3</f>
        <v>55.3</v>
      </c>
      <c r="K421" s="21">
        <f t="shared" ref="K421:O421" si="764">0</f>
        <v>0</v>
      </c>
      <c r="L421" s="21">
        <f t="shared" si="764"/>
        <v>0</v>
      </c>
      <c r="M421" s="21">
        <f t="shared" si="764"/>
        <v>0</v>
      </c>
      <c r="N421" s="21">
        <f t="shared" si="764"/>
        <v>0</v>
      </c>
      <c r="O421" s="21">
        <f t="shared" si="764"/>
        <v>0</v>
      </c>
    </row>
    <row r="422">
      <c r="B422" s="20">
        <v>46236.0</v>
      </c>
      <c r="C422" s="21">
        <f t="shared" ref="C422:E422" si="765">0</f>
        <v>0</v>
      </c>
      <c r="D422" s="21">
        <f t="shared" si="765"/>
        <v>0</v>
      </c>
      <c r="E422" s="21">
        <f t="shared" si="765"/>
        <v>0</v>
      </c>
      <c r="F422" s="21">
        <f>22</f>
        <v>22</v>
      </c>
      <c r="G422" s="21">
        <f t="shared" ref="G422:O422" si="766">0</f>
        <v>0</v>
      </c>
      <c r="H422" s="21">
        <f t="shared" si="766"/>
        <v>0</v>
      </c>
      <c r="I422" s="21">
        <f t="shared" si="766"/>
        <v>0</v>
      </c>
      <c r="J422" s="21">
        <f t="shared" si="766"/>
        <v>0</v>
      </c>
      <c r="K422" s="21">
        <f t="shared" si="766"/>
        <v>0</v>
      </c>
      <c r="L422" s="21">
        <f t="shared" si="766"/>
        <v>0</v>
      </c>
      <c r="M422" s="21">
        <f t="shared" si="766"/>
        <v>0</v>
      </c>
      <c r="N422" s="21">
        <f t="shared" si="766"/>
        <v>0</v>
      </c>
      <c r="O422" s="21">
        <f t="shared" si="766"/>
        <v>0</v>
      </c>
    </row>
    <row r="423">
      <c r="B423" s="20">
        <v>46236.0</v>
      </c>
      <c r="C423" s="21">
        <f t="shared" ref="C423:H423" si="767">0</f>
        <v>0</v>
      </c>
      <c r="D423" s="21">
        <f t="shared" si="767"/>
        <v>0</v>
      </c>
      <c r="E423" s="21">
        <f t="shared" si="767"/>
        <v>0</v>
      </c>
      <c r="F423" s="21">
        <f t="shared" si="767"/>
        <v>0</v>
      </c>
      <c r="G423" s="21">
        <f t="shared" si="767"/>
        <v>0</v>
      </c>
      <c r="H423" s="21">
        <f t="shared" si="767"/>
        <v>0</v>
      </c>
      <c r="I423" s="21">
        <f>62</f>
        <v>62</v>
      </c>
      <c r="J423" s="21">
        <f t="shared" ref="J423:O423" si="768">0</f>
        <v>0</v>
      </c>
      <c r="K423" s="21">
        <f t="shared" si="768"/>
        <v>0</v>
      </c>
      <c r="L423" s="21">
        <f t="shared" si="768"/>
        <v>0</v>
      </c>
      <c r="M423" s="21">
        <f t="shared" si="768"/>
        <v>0</v>
      </c>
      <c r="N423" s="21">
        <f t="shared" si="768"/>
        <v>0</v>
      </c>
      <c r="O423" s="21">
        <f t="shared" si="768"/>
        <v>0</v>
      </c>
    </row>
    <row r="424">
      <c r="B424" s="20">
        <v>46236.0</v>
      </c>
      <c r="C424" s="21">
        <f t="shared" ref="C424:L424" si="769">0</f>
        <v>0</v>
      </c>
      <c r="D424" s="21">
        <f t="shared" si="769"/>
        <v>0</v>
      </c>
      <c r="E424" s="21">
        <f t="shared" si="769"/>
        <v>0</v>
      </c>
      <c r="F424" s="21">
        <f t="shared" si="769"/>
        <v>0</v>
      </c>
      <c r="G424" s="21">
        <f t="shared" si="769"/>
        <v>0</v>
      </c>
      <c r="H424" s="21">
        <f t="shared" si="769"/>
        <v>0</v>
      </c>
      <c r="I424" s="21">
        <f t="shared" si="769"/>
        <v>0</v>
      </c>
      <c r="J424" s="21">
        <f t="shared" si="769"/>
        <v>0</v>
      </c>
      <c r="K424" s="21">
        <f t="shared" si="769"/>
        <v>0</v>
      </c>
      <c r="L424" s="21">
        <f t="shared" si="769"/>
        <v>0</v>
      </c>
      <c r="M424" s="21">
        <f>26</f>
        <v>26</v>
      </c>
      <c r="N424" s="21">
        <f>0</f>
        <v>0</v>
      </c>
      <c r="O424" s="21">
        <f>26</f>
        <v>26</v>
      </c>
    </row>
    <row r="425">
      <c r="B425" s="20">
        <v>46236.0</v>
      </c>
      <c r="C425" s="21">
        <f t="shared" ref="C425:E425" si="770">0</f>
        <v>0</v>
      </c>
      <c r="D425" s="21">
        <f t="shared" si="770"/>
        <v>0</v>
      </c>
      <c r="E425" s="21">
        <f t="shared" si="770"/>
        <v>0</v>
      </c>
      <c r="F425" s="21">
        <f t="shared" ref="F425:G425" si="771">9.5</f>
        <v>9.5</v>
      </c>
      <c r="G425" s="21">
        <f t="shared" si="771"/>
        <v>9.5</v>
      </c>
      <c r="H425" s="21">
        <f t="shared" ref="H425:O425" si="772">0</f>
        <v>0</v>
      </c>
      <c r="I425" s="21">
        <f t="shared" si="772"/>
        <v>0</v>
      </c>
      <c r="J425" s="21">
        <f t="shared" si="772"/>
        <v>0</v>
      </c>
      <c r="K425" s="21">
        <f t="shared" si="772"/>
        <v>0</v>
      </c>
      <c r="L425" s="21">
        <f t="shared" si="772"/>
        <v>0</v>
      </c>
      <c r="M425" s="21">
        <f t="shared" si="772"/>
        <v>0</v>
      </c>
      <c r="N425" s="21">
        <f t="shared" si="772"/>
        <v>0</v>
      </c>
      <c r="O425" s="21">
        <f t="shared" si="772"/>
        <v>0</v>
      </c>
    </row>
    <row r="426">
      <c r="B426" s="20">
        <v>46236.0</v>
      </c>
      <c r="C426" s="21">
        <f t="shared" ref="C426:M426" si="773">0</f>
        <v>0</v>
      </c>
      <c r="D426" s="21">
        <f t="shared" si="773"/>
        <v>0</v>
      </c>
      <c r="E426" s="21">
        <f t="shared" si="773"/>
        <v>0</v>
      </c>
      <c r="F426" s="21">
        <f t="shared" si="773"/>
        <v>0</v>
      </c>
      <c r="G426" s="21">
        <f t="shared" si="773"/>
        <v>0</v>
      </c>
      <c r="H426" s="21">
        <f t="shared" si="773"/>
        <v>0</v>
      </c>
      <c r="I426" s="21">
        <f t="shared" si="773"/>
        <v>0</v>
      </c>
      <c r="J426" s="21">
        <f t="shared" si="773"/>
        <v>0</v>
      </c>
      <c r="K426" s="21">
        <f t="shared" si="773"/>
        <v>0</v>
      </c>
      <c r="L426" s="21">
        <f t="shared" si="773"/>
        <v>0</v>
      </c>
      <c r="M426" s="21">
        <f t="shared" si="773"/>
        <v>0</v>
      </c>
      <c r="N426" s="21">
        <f>24.3</f>
        <v>24.3</v>
      </c>
      <c r="O426" s="21">
        <f>2.7</f>
        <v>2.7</v>
      </c>
    </row>
    <row r="427">
      <c r="B427" s="20">
        <v>46236.0</v>
      </c>
      <c r="C427" s="21">
        <f t="shared" ref="C427:E427" si="774">0</f>
        <v>0</v>
      </c>
      <c r="D427" s="21">
        <f t="shared" si="774"/>
        <v>0</v>
      </c>
      <c r="E427" s="21">
        <f t="shared" si="774"/>
        <v>0</v>
      </c>
      <c r="F427" s="21">
        <f>10.8</f>
        <v>10.8</v>
      </c>
      <c r="G427" s="21">
        <f t="shared" ref="G427:H427" si="775">0</f>
        <v>0</v>
      </c>
      <c r="H427" s="21">
        <f t="shared" si="775"/>
        <v>0</v>
      </c>
      <c r="I427" s="21">
        <f>3.6</f>
        <v>3.6</v>
      </c>
      <c r="J427" s="21">
        <f t="shared" ref="J427:L427" si="776">0</f>
        <v>0</v>
      </c>
      <c r="K427" s="21">
        <f t="shared" si="776"/>
        <v>0</v>
      </c>
      <c r="L427" s="21">
        <f t="shared" si="776"/>
        <v>0</v>
      </c>
      <c r="M427" s="21">
        <f>3.6</f>
        <v>3.6</v>
      </c>
      <c r="N427" s="21">
        <f>0</f>
        <v>0</v>
      </c>
      <c r="O427" s="21">
        <f>18</f>
        <v>18</v>
      </c>
    </row>
    <row r="428">
      <c r="B428" s="20">
        <v>46237.0</v>
      </c>
      <c r="C428" s="21">
        <f t="shared" ref="C428:N428" si="777">0</f>
        <v>0</v>
      </c>
      <c r="D428" s="21">
        <f t="shared" si="777"/>
        <v>0</v>
      </c>
      <c r="E428" s="21">
        <f t="shared" si="777"/>
        <v>0</v>
      </c>
      <c r="F428" s="21">
        <f t="shared" si="777"/>
        <v>0</v>
      </c>
      <c r="G428" s="21">
        <f t="shared" si="777"/>
        <v>0</v>
      </c>
      <c r="H428" s="21">
        <f t="shared" si="777"/>
        <v>0</v>
      </c>
      <c r="I428" s="21">
        <f t="shared" si="777"/>
        <v>0</v>
      </c>
      <c r="J428" s="21">
        <f t="shared" si="777"/>
        <v>0</v>
      </c>
      <c r="K428" s="21">
        <f t="shared" si="777"/>
        <v>0</v>
      </c>
      <c r="L428" s="21">
        <f t="shared" si="777"/>
        <v>0</v>
      </c>
      <c r="M428" s="21">
        <f t="shared" si="777"/>
        <v>0</v>
      </c>
      <c r="N428" s="21">
        <f t="shared" si="777"/>
        <v>0</v>
      </c>
      <c r="O428" s="21">
        <f>38</f>
        <v>38</v>
      </c>
    </row>
    <row r="429">
      <c r="B429" s="20">
        <v>46237.0</v>
      </c>
      <c r="C429" s="21">
        <f t="shared" ref="C429:F429" si="778">0</f>
        <v>0</v>
      </c>
      <c r="D429" s="21">
        <f t="shared" si="778"/>
        <v>0</v>
      </c>
      <c r="E429" s="21">
        <f t="shared" si="778"/>
        <v>0</v>
      </c>
      <c r="F429" s="21">
        <f t="shared" si="778"/>
        <v>0</v>
      </c>
      <c r="G429" s="21">
        <f>1.08</f>
        <v>1.08</v>
      </c>
      <c r="H429" s="21">
        <f>0</f>
        <v>0</v>
      </c>
      <c r="I429" s="21">
        <f>52.92</f>
        <v>52.92</v>
      </c>
      <c r="J429" s="21">
        <f t="shared" ref="J429:O429" si="779">0</f>
        <v>0</v>
      </c>
      <c r="K429" s="21">
        <f t="shared" si="779"/>
        <v>0</v>
      </c>
      <c r="L429" s="21">
        <f t="shared" si="779"/>
        <v>0</v>
      </c>
      <c r="M429" s="21">
        <f t="shared" si="779"/>
        <v>0</v>
      </c>
      <c r="N429" s="21">
        <f t="shared" si="779"/>
        <v>0</v>
      </c>
      <c r="O429" s="21">
        <f t="shared" si="779"/>
        <v>0</v>
      </c>
    </row>
    <row r="430">
      <c r="B430" s="20">
        <v>46237.0</v>
      </c>
      <c r="C430" s="21">
        <f t="shared" ref="C430:H430" si="780">0</f>
        <v>0</v>
      </c>
      <c r="D430" s="21">
        <f t="shared" si="780"/>
        <v>0</v>
      </c>
      <c r="E430" s="21">
        <f t="shared" si="780"/>
        <v>0</v>
      </c>
      <c r="F430" s="21">
        <f t="shared" si="780"/>
        <v>0</v>
      </c>
      <c r="G430" s="21">
        <f t="shared" si="780"/>
        <v>0</v>
      </c>
      <c r="H430" s="21">
        <f t="shared" si="780"/>
        <v>0</v>
      </c>
      <c r="I430" s="21">
        <f>4.2</f>
        <v>4.2</v>
      </c>
      <c r="J430" s="21">
        <f t="shared" ref="J430:M430" si="781">0</f>
        <v>0</v>
      </c>
      <c r="K430" s="21">
        <f t="shared" si="781"/>
        <v>0</v>
      </c>
      <c r="L430" s="21">
        <f t="shared" si="781"/>
        <v>0</v>
      </c>
      <c r="M430" s="21">
        <f t="shared" si="781"/>
        <v>0</v>
      </c>
      <c r="N430" s="21">
        <f>9.8</f>
        <v>9.8</v>
      </c>
      <c r="O430" s="21">
        <f>0</f>
        <v>0</v>
      </c>
    </row>
    <row r="431">
      <c r="B431" s="20">
        <v>46237.0</v>
      </c>
      <c r="C431" s="21">
        <f>10.8</f>
        <v>10.8</v>
      </c>
      <c r="D431" s="21">
        <f t="shared" ref="D431:F431" si="782">0</f>
        <v>0</v>
      </c>
      <c r="E431" s="21">
        <f t="shared" si="782"/>
        <v>0</v>
      </c>
      <c r="F431" s="21">
        <f t="shared" si="782"/>
        <v>0</v>
      </c>
      <c r="G431" s="21">
        <f>10.8</f>
        <v>10.8</v>
      </c>
      <c r="H431" s="21">
        <f t="shared" ref="H431:L431" si="783">0</f>
        <v>0</v>
      </c>
      <c r="I431" s="21">
        <f t="shared" si="783"/>
        <v>0</v>
      </c>
      <c r="J431" s="21">
        <f t="shared" si="783"/>
        <v>0</v>
      </c>
      <c r="K431" s="21">
        <f t="shared" si="783"/>
        <v>0</v>
      </c>
      <c r="L431" s="21">
        <f t="shared" si="783"/>
        <v>0</v>
      </c>
      <c r="M431" s="21">
        <f>10.8</f>
        <v>10.8</v>
      </c>
      <c r="N431" s="21">
        <f>0</f>
        <v>0</v>
      </c>
      <c r="O431" s="21">
        <f>3.6</f>
        <v>3.6</v>
      </c>
    </row>
    <row r="432">
      <c r="B432" s="20">
        <v>46237.0</v>
      </c>
      <c r="C432" s="21">
        <f t="shared" ref="C432:N432" si="784">0</f>
        <v>0</v>
      </c>
      <c r="D432" s="21">
        <f t="shared" si="784"/>
        <v>0</v>
      </c>
      <c r="E432" s="21">
        <f t="shared" si="784"/>
        <v>0</v>
      </c>
      <c r="F432" s="21">
        <f t="shared" si="784"/>
        <v>0</v>
      </c>
      <c r="G432" s="21">
        <f t="shared" si="784"/>
        <v>0</v>
      </c>
      <c r="H432" s="21">
        <f t="shared" si="784"/>
        <v>0</v>
      </c>
      <c r="I432" s="21">
        <f t="shared" si="784"/>
        <v>0</v>
      </c>
      <c r="J432" s="21">
        <f t="shared" si="784"/>
        <v>0</v>
      </c>
      <c r="K432" s="21">
        <f t="shared" si="784"/>
        <v>0</v>
      </c>
      <c r="L432" s="21">
        <f t="shared" si="784"/>
        <v>0</v>
      </c>
      <c r="M432" s="21">
        <f t="shared" si="784"/>
        <v>0</v>
      </c>
      <c r="N432" s="21">
        <f t="shared" si="784"/>
        <v>0</v>
      </c>
      <c r="O432" s="21">
        <f>37</f>
        <v>37</v>
      </c>
    </row>
    <row r="433">
      <c r="B433" s="20">
        <v>46237.0</v>
      </c>
      <c r="C433" s="21">
        <f>13.6</f>
        <v>13.6</v>
      </c>
      <c r="D433" s="21">
        <f t="shared" ref="D433:N433" si="785">0</f>
        <v>0</v>
      </c>
      <c r="E433" s="21">
        <f t="shared" si="785"/>
        <v>0</v>
      </c>
      <c r="F433" s="21">
        <f t="shared" si="785"/>
        <v>0</v>
      </c>
      <c r="G433" s="21">
        <f t="shared" si="785"/>
        <v>0</v>
      </c>
      <c r="H433" s="21">
        <f t="shared" si="785"/>
        <v>0</v>
      </c>
      <c r="I433" s="21">
        <f t="shared" si="785"/>
        <v>0</v>
      </c>
      <c r="J433" s="21">
        <f t="shared" si="785"/>
        <v>0</v>
      </c>
      <c r="K433" s="21">
        <f t="shared" si="785"/>
        <v>0</v>
      </c>
      <c r="L433" s="21">
        <f t="shared" si="785"/>
        <v>0</v>
      </c>
      <c r="M433" s="21">
        <f t="shared" si="785"/>
        <v>0</v>
      </c>
      <c r="N433" s="21">
        <f t="shared" si="785"/>
        <v>0</v>
      </c>
      <c r="O433" s="21">
        <f>20.4</f>
        <v>20.4</v>
      </c>
    </row>
    <row r="434">
      <c r="B434" s="20">
        <v>46237.0</v>
      </c>
      <c r="C434" s="21">
        <f>4.7</f>
        <v>4.7</v>
      </c>
      <c r="D434" s="21">
        <f t="shared" ref="D434:F434" si="786">0</f>
        <v>0</v>
      </c>
      <c r="E434" s="21">
        <f t="shared" si="786"/>
        <v>0</v>
      </c>
      <c r="F434" s="21">
        <f t="shared" si="786"/>
        <v>0</v>
      </c>
      <c r="G434" s="21">
        <f>14.1</f>
        <v>14.1</v>
      </c>
      <c r="H434" s="21">
        <f t="shared" ref="H434:I434" si="787">0</f>
        <v>0</v>
      </c>
      <c r="I434" s="21">
        <f t="shared" si="787"/>
        <v>0</v>
      </c>
      <c r="J434" s="21">
        <f>11.75</f>
        <v>11.75</v>
      </c>
      <c r="K434" s="21">
        <f t="shared" ref="K434:L434" si="788">0</f>
        <v>0</v>
      </c>
      <c r="L434" s="21">
        <f t="shared" si="788"/>
        <v>0</v>
      </c>
      <c r="M434" s="21">
        <f>2.35</f>
        <v>2.35</v>
      </c>
      <c r="N434" s="21">
        <f>0</f>
        <v>0</v>
      </c>
      <c r="O434" s="21">
        <f>14.1</f>
        <v>14.1</v>
      </c>
    </row>
    <row r="435">
      <c r="B435" s="20">
        <v>46237.0</v>
      </c>
      <c r="C435" s="21">
        <f>15.96</f>
        <v>15.96</v>
      </c>
      <c r="D435" s="21">
        <f t="shared" ref="D435:F435" si="789">0</f>
        <v>0</v>
      </c>
      <c r="E435" s="21">
        <f t="shared" si="789"/>
        <v>0</v>
      </c>
      <c r="F435" s="21">
        <f t="shared" si="789"/>
        <v>0</v>
      </c>
      <c r="G435" s="21">
        <f>1.14</f>
        <v>1.14</v>
      </c>
      <c r="H435" s="21">
        <f>0</f>
        <v>0</v>
      </c>
      <c r="I435" s="21">
        <f>39.9</f>
        <v>39.9</v>
      </c>
      <c r="J435" s="21">
        <f t="shared" ref="J435:O435" si="790">0</f>
        <v>0</v>
      </c>
      <c r="K435" s="21">
        <f t="shared" si="790"/>
        <v>0</v>
      </c>
      <c r="L435" s="21">
        <f t="shared" si="790"/>
        <v>0</v>
      </c>
      <c r="M435" s="21">
        <f t="shared" si="790"/>
        <v>0</v>
      </c>
      <c r="N435" s="21">
        <f t="shared" si="790"/>
        <v>0</v>
      </c>
      <c r="O435" s="21">
        <f t="shared" si="790"/>
        <v>0</v>
      </c>
    </row>
    <row r="436">
      <c r="B436" s="20">
        <v>46237.0</v>
      </c>
      <c r="C436" s="21">
        <f>7.8</f>
        <v>7.8</v>
      </c>
      <c r="D436" s="21">
        <f t="shared" ref="D436:M436" si="791">0</f>
        <v>0</v>
      </c>
      <c r="E436" s="21">
        <f t="shared" si="791"/>
        <v>0</v>
      </c>
      <c r="F436" s="21">
        <f t="shared" si="791"/>
        <v>0</v>
      </c>
      <c r="G436" s="21">
        <f t="shared" si="791"/>
        <v>0</v>
      </c>
      <c r="H436" s="21">
        <f t="shared" si="791"/>
        <v>0</v>
      </c>
      <c r="I436" s="21">
        <f t="shared" si="791"/>
        <v>0</v>
      </c>
      <c r="J436" s="21">
        <f t="shared" si="791"/>
        <v>0</v>
      </c>
      <c r="K436" s="21">
        <f t="shared" si="791"/>
        <v>0</v>
      </c>
      <c r="L436" s="21">
        <f t="shared" si="791"/>
        <v>0</v>
      </c>
      <c r="M436" s="21">
        <f t="shared" si="791"/>
        <v>0</v>
      </c>
      <c r="N436" s="21">
        <f>70.2</f>
        <v>70.2</v>
      </c>
      <c r="O436" s="21">
        <f>0</f>
        <v>0</v>
      </c>
    </row>
    <row r="437">
      <c r="B437" s="20">
        <v>46237.0</v>
      </c>
      <c r="C437" s="21">
        <f t="shared" ref="C437:H437" si="792">0</f>
        <v>0</v>
      </c>
      <c r="D437" s="21">
        <f t="shared" si="792"/>
        <v>0</v>
      </c>
      <c r="E437" s="21">
        <f t="shared" si="792"/>
        <v>0</v>
      </c>
      <c r="F437" s="21">
        <f t="shared" si="792"/>
        <v>0</v>
      </c>
      <c r="G437" s="21">
        <f t="shared" si="792"/>
        <v>0</v>
      </c>
      <c r="H437" s="21">
        <f t="shared" si="792"/>
        <v>0</v>
      </c>
      <c r="I437" s="21">
        <f>29</f>
        <v>29</v>
      </c>
      <c r="J437" s="21">
        <f t="shared" ref="J437:O437" si="793">0</f>
        <v>0</v>
      </c>
      <c r="K437" s="21">
        <f t="shared" si="793"/>
        <v>0</v>
      </c>
      <c r="L437" s="21">
        <f t="shared" si="793"/>
        <v>0</v>
      </c>
      <c r="M437" s="21">
        <f t="shared" si="793"/>
        <v>0</v>
      </c>
      <c r="N437" s="21">
        <f t="shared" si="793"/>
        <v>0</v>
      </c>
      <c r="O437" s="21">
        <f t="shared" si="793"/>
        <v>0</v>
      </c>
    </row>
    <row r="438">
      <c r="B438" s="20">
        <v>46237.0</v>
      </c>
      <c r="C438" s="21">
        <f t="shared" ref="C438:D438" si="794">0</f>
        <v>0</v>
      </c>
      <c r="D438" s="21">
        <f t="shared" si="794"/>
        <v>0</v>
      </c>
      <c r="E438" s="21">
        <f>6.6</f>
        <v>6.6</v>
      </c>
      <c r="F438" s="21">
        <f t="shared" ref="F438:I438" si="795">0</f>
        <v>0</v>
      </c>
      <c r="G438" s="21">
        <f t="shared" si="795"/>
        <v>0</v>
      </c>
      <c r="H438" s="21">
        <f t="shared" si="795"/>
        <v>0</v>
      </c>
      <c r="I438" s="21">
        <f t="shared" si="795"/>
        <v>0</v>
      </c>
      <c r="J438" s="21">
        <f>59.4</f>
        <v>59.4</v>
      </c>
      <c r="K438" s="21">
        <f t="shared" ref="K438:O438" si="796">0</f>
        <v>0</v>
      </c>
      <c r="L438" s="21">
        <f t="shared" si="796"/>
        <v>0</v>
      </c>
      <c r="M438" s="21">
        <f t="shared" si="796"/>
        <v>0</v>
      </c>
      <c r="N438" s="21">
        <f t="shared" si="796"/>
        <v>0</v>
      </c>
      <c r="O438" s="21">
        <f t="shared" si="796"/>
        <v>0</v>
      </c>
    </row>
    <row r="439">
      <c r="B439" s="20">
        <v>46237.0</v>
      </c>
      <c r="C439" s="21">
        <f t="shared" ref="C439:H439" si="797">0</f>
        <v>0</v>
      </c>
      <c r="D439" s="21">
        <f t="shared" si="797"/>
        <v>0</v>
      </c>
      <c r="E439" s="21">
        <f t="shared" si="797"/>
        <v>0</v>
      </c>
      <c r="F439" s="21">
        <f t="shared" si="797"/>
        <v>0</v>
      </c>
      <c r="G439" s="21">
        <f t="shared" si="797"/>
        <v>0</v>
      </c>
      <c r="H439" s="21">
        <f t="shared" si="797"/>
        <v>0</v>
      </c>
      <c r="I439" s="21">
        <f>12.8</f>
        <v>12.8</v>
      </c>
      <c r="J439" s="21">
        <f t="shared" ref="J439:L439" si="798">0</f>
        <v>0</v>
      </c>
      <c r="K439" s="21">
        <f t="shared" si="798"/>
        <v>0</v>
      </c>
      <c r="L439" s="21">
        <f t="shared" si="798"/>
        <v>0</v>
      </c>
      <c r="M439" s="21">
        <f>6.4</f>
        <v>6.4</v>
      </c>
      <c r="N439" s="21">
        <f>0</f>
        <v>0</v>
      </c>
      <c r="O439" s="21">
        <f>12.8</f>
        <v>12.8</v>
      </c>
    </row>
    <row r="440">
      <c r="B440" s="20">
        <v>46237.0</v>
      </c>
      <c r="C440" s="21">
        <f t="shared" ref="C440:D440" si="799">5.8</f>
        <v>5.8</v>
      </c>
      <c r="D440" s="21">
        <f t="shared" si="799"/>
        <v>5.8</v>
      </c>
      <c r="E440" s="21">
        <f t="shared" ref="E440:E441" si="801">0</f>
        <v>0</v>
      </c>
      <c r="F440" s="21">
        <f>11.6</f>
        <v>11.6</v>
      </c>
      <c r="G440" s="21">
        <f t="shared" ref="G440:M440" si="800">0</f>
        <v>0</v>
      </c>
      <c r="H440" s="21">
        <f t="shared" si="800"/>
        <v>0</v>
      </c>
      <c r="I440" s="21">
        <f t="shared" si="800"/>
        <v>0</v>
      </c>
      <c r="J440" s="21">
        <f t="shared" si="800"/>
        <v>0</v>
      </c>
      <c r="K440" s="21">
        <f t="shared" si="800"/>
        <v>0</v>
      </c>
      <c r="L440" s="21">
        <f t="shared" si="800"/>
        <v>0</v>
      </c>
      <c r="M440" s="21">
        <f t="shared" si="800"/>
        <v>0</v>
      </c>
      <c r="N440" s="21">
        <f>5.8</f>
        <v>5.8</v>
      </c>
      <c r="O440" s="21">
        <f>0</f>
        <v>0</v>
      </c>
    </row>
    <row r="441">
      <c r="B441" s="20">
        <v>46237.0</v>
      </c>
      <c r="C441" s="21">
        <f>0</f>
        <v>0</v>
      </c>
      <c r="D441" s="21">
        <f>10.5</f>
        <v>10.5</v>
      </c>
      <c r="E441" s="21">
        <f t="shared" si="801"/>
        <v>0</v>
      </c>
      <c r="F441" s="21">
        <f t="shared" ref="F441:L441" si="802">0</f>
        <v>0</v>
      </c>
      <c r="G441" s="21">
        <f t="shared" si="802"/>
        <v>0</v>
      </c>
      <c r="H441" s="21">
        <f t="shared" si="802"/>
        <v>0</v>
      </c>
      <c r="I441" s="21">
        <f t="shared" si="802"/>
        <v>0</v>
      </c>
      <c r="J441" s="21">
        <f t="shared" si="802"/>
        <v>0</v>
      </c>
      <c r="K441" s="21">
        <f t="shared" si="802"/>
        <v>0</v>
      </c>
      <c r="L441" s="21">
        <f t="shared" si="802"/>
        <v>0</v>
      </c>
      <c r="M441" s="21">
        <f>24.5</f>
        <v>24.5</v>
      </c>
      <c r="N441" s="21">
        <f t="shared" ref="N441:O441" si="803">0</f>
        <v>0</v>
      </c>
      <c r="O441" s="21">
        <f t="shared" si="803"/>
        <v>0</v>
      </c>
    </row>
    <row r="442">
      <c r="B442" s="20">
        <v>46237.0</v>
      </c>
      <c r="C442" s="21">
        <f>7</f>
        <v>7</v>
      </c>
      <c r="D442" s="21">
        <f t="shared" ref="D442:H442" si="804">0</f>
        <v>0</v>
      </c>
      <c r="E442" s="21">
        <f t="shared" si="804"/>
        <v>0</v>
      </c>
      <c r="F442" s="21">
        <f t="shared" si="804"/>
        <v>0</v>
      </c>
      <c r="G442" s="21">
        <f t="shared" si="804"/>
        <v>0</v>
      </c>
      <c r="H442" s="21">
        <f t="shared" si="804"/>
        <v>0</v>
      </c>
      <c r="I442" s="21">
        <f>7</f>
        <v>7</v>
      </c>
      <c r="J442" s="21">
        <f t="shared" ref="J442:L442" si="805">0</f>
        <v>0</v>
      </c>
      <c r="K442" s="21">
        <f t="shared" si="805"/>
        <v>0</v>
      </c>
      <c r="L442" s="21">
        <f t="shared" si="805"/>
        <v>0</v>
      </c>
      <c r="M442" s="21">
        <f>21</f>
        <v>21</v>
      </c>
      <c r="N442" s="21">
        <f t="shared" ref="N442:O442" si="806">0</f>
        <v>0</v>
      </c>
      <c r="O442" s="21">
        <f t="shared" si="806"/>
        <v>0</v>
      </c>
    </row>
    <row r="443">
      <c r="B443" s="20">
        <v>46237.0</v>
      </c>
      <c r="C443" s="21">
        <f>14.4</f>
        <v>14.4</v>
      </c>
      <c r="D443" s="21">
        <f t="shared" ref="D443:L443" si="807">0</f>
        <v>0</v>
      </c>
      <c r="E443" s="21">
        <f t="shared" si="807"/>
        <v>0</v>
      </c>
      <c r="F443" s="21">
        <f t="shared" si="807"/>
        <v>0</v>
      </c>
      <c r="G443" s="21">
        <f t="shared" si="807"/>
        <v>0</v>
      </c>
      <c r="H443" s="21">
        <f t="shared" si="807"/>
        <v>0</v>
      </c>
      <c r="I443" s="21">
        <f t="shared" si="807"/>
        <v>0</v>
      </c>
      <c r="J443" s="21">
        <f t="shared" si="807"/>
        <v>0</v>
      </c>
      <c r="K443" s="21">
        <f t="shared" si="807"/>
        <v>0</v>
      </c>
      <c r="L443" s="21">
        <f t="shared" si="807"/>
        <v>0</v>
      </c>
      <c r="M443" s="21">
        <f>7.2</f>
        <v>7.2</v>
      </c>
      <c r="N443" s="21">
        <f>0</f>
        <v>0</v>
      </c>
      <c r="O443" s="21">
        <f>14.4</f>
        <v>14.4</v>
      </c>
    </row>
    <row r="444">
      <c r="B444" s="20">
        <v>46237.0</v>
      </c>
      <c r="C444" s="21">
        <f>22</f>
        <v>22</v>
      </c>
      <c r="D444" s="21">
        <f t="shared" ref="D444:E444" si="808">0</f>
        <v>0</v>
      </c>
      <c r="E444" s="21">
        <f t="shared" si="808"/>
        <v>0</v>
      </c>
      <c r="F444" s="21">
        <f>22</f>
        <v>22</v>
      </c>
      <c r="G444" s="21">
        <f t="shared" ref="G444:O444" si="809">0</f>
        <v>0</v>
      </c>
      <c r="H444" s="21">
        <f t="shared" si="809"/>
        <v>0</v>
      </c>
      <c r="I444" s="21">
        <f t="shared" si="809"/>
        <v>0</v>
      </c>
      <c r="J444" s="21">
        <f t="shared" si="809"/>
        <v>0</v>
      </c>
      <c r="K444" s="21">
        <f t="shared" si="809"/>
        <v>0</v>
      </c>
      <c r="L444" s="21">
        <f t="shared" si="809"/>
        <v>0</v>
      </c>
      <c r="M444" s="21">
        <f t="shared" si="809"/>
        <v>0</v>
      </c>
      <c r="N444" s="21">
        <f t="shared" si="809"/>
        <v>0</v>
      </c>
      <c r="O444" s="21">
        <f t="shared" si="809"/>
        <v>0</v>
      </c>
    </row>
    <row r="445">
      <c r="B445" s="20">
        <v>46238.0</v>
      </c>
      <c r="C445" s="21">
        <f t="shared" ref="C445:H445" si="810">0</f>
        <v>0</v>
      </c>
      <c r="D445" s="21">
        <f t="shared" si="810"/>
        <v>0</v>
      </c>
      <c r="E445" s="21">
        <f t="shared" si="810"/>
        <v>0</v>
      </c>
      <c r="F445" s="21">
        <f t="shared" si="810"/>
        <v>0</v>
      </c>
      <c r="G445" s="21">
        <f t="shared" si="810"/>
        <v>0</v>
      </c>
      <c r="H445" s="21">
        <f t="shared" si="810"/>
        <v>0</v>
      </c>
      <c r="I445" s="21">
        <f>19</f>
        <v>19</v>
      </c>
      <c r="J445" s="21">
        <f t="shared" ref="J445:O445" si="811">0</f>
        <v>0</v>
      </c>
      <c r="K445" s="21">
        <f t="shared" si="811"/>
        <v>0</v>
      </c>
      <c r="L445" s="21">
        <f t="shared" si="811"/>
        <v>0</v>
      </c>
      <c r="M445" s="21">
        <f t="shared" si="811"/>
        <v>0</v>
      </c>
      <c r="N445" s="21">
        <f t="shared" si="811"/>
        <v>0</v>
      </c>
      <c r="O445" s="21">
        <f t="shared" si="811"/>
        <v>0</v>
      </c>
    </row>
    <row r="446">
      <c r="B446" s="20">
        <v>46238.0</v>
      </c>
      <c r="C446" s="21">
        <f>8.2</f>
        <v>8.2</v>
      </c>
      <c r="D446" s="21">
        <f t="shared" ref="D446:H446" si="812">0</f>
        <v>0</v>
      </c>
      <c r="E446" s="21">
        <f t="shared" si="812"/>
        <v>0</v>
      </c>
      <c r="F446" s="21">
        <f t="shared" si="812"/>
        <v>0</v>
      </c>
      <c r="G446" s="21">
        <f t="shared" si="812"/>
        <v>0</v>
      </c>
      <c r="H446" s="21">
        <f t="shared" si="812"/>
        <v>0</v>
      </c>
      <c r="I446" s="21">
        <f>73.8</f>
        <v>73.8</v>
      </c>
      <c r="J446" s="21">
        <f t="shared" ref="J446:O446" si="813">0</f>
        <v>0</v>
      </c>
      <c r="K446" s="21">
        <f t="shared" si="813"/>
        <v>0</v>
      </c>
      <c r="L446" s="21">
        <f t="shared" si="813"/>
        <v>0</v>
      </c>
      <c r="M446" s="21">
        <f t="shared" si="813"/>
        <v>0</v>
      </c>
      <c r="N446" s="21">
        <f t="shared" si="813"/>
        <v>0</v>
      </c>
      <c r="O446" s="21">
        <f t="shared" si="813"/>
        <v>0</v>
      </c>
    </row>
    <row r="447">
      <c r="B447" s="20">
        <v>46238.0</v>
      </c>
      <c r="C447" s="21">
        <f t="shared" ref="C447:L447" si="814">0</f>
        <v>0</v>
      </c>
      <c r="D447" s="21">
        <f t="shared" si="814"/>
        <v>0</v>
      </c>
      <c r="E447" s="21">
        <f t="shared" si="814"/>
        <v>0</v>
      </c>
      <c r="F447" s="21">
        <f t="shared" si="814"/>
        <v>0</v>
      </c>
      <c r="G447" s="21">
        <f t="shared" si="814"/>
        <v>0</v>
      </c>
      <c r="H447" s="21">
        <f t="shared" si="814"/>
        <v>0</v>
      </c>
      <c r="I447" s="21">
        <f t="shared" si="814"/>
        <v>0</v>
      </c>
      <c r="J447" s="21">
        <f t="shared" si="814"/>
        <v>0</v>
      </c>
      <c r="K447" s="21">
        <f t="shared" si="814"/>
        <v>0</v>
      </c>
      <c r="L447" s="21">
        <f t="shared" si="814"/>
        <v>0</v>
      </c>
      <c r="M447" s="21">
        <f>21.7</f>
        <v>21.7</v>
      </c>
      <c r="N447" s="21">
        <f>0</f>
        <v>0</v>
      </c>
      <c r="O447" s="21">
        <f>9.3</f>
        <v>9.3</v>
      </c>
    </row>
    <row r="448">
      <c r="B448" s="20">
        <v>46238.0</v>
      </c>
      <c r="C448" s="21">
        <f t="shared" ref="C448:H448" si="815">0</f>
        <v>0</v>
      </c>
      <c r="D448" s="21">
        <f t="shared" si="815"/>
        <v>0</v>
      </c>
      <c r="E448" s="21">
        <f t="shared" si="815"/>
        <v>0</v>
      </c>
      <c r="F448" s="21">
        <f t="shared" si="815"/>
        <v>0</v>
      </c>
      <c r="G448" s="21">
        <f t="shared" si="815"/>
        <v>0</v>
      </c>
      <c r="H448" s="21">
        <f t="shared" si="815"/>
        <v>0</v>
      </c>
      <c r="I448" s="21">
        <f>4</f>
        <v>4</v>
      </c>
      <c r="J448" s="21">
        <f t="shared" ref="J448:O448" si="816">0</f>
        <v>0</v>
      </c>
      <c r="K448" s="21">
        <f t="shared" si="816"/>
        <v>0</v>
      </c>
      <c r="L448" s="21">
        <f t="shared" si="816"/>
        <v>0</v>
      </c>
      <c r="M448" s="21">
        <f t="shared" si="816"/>
        <v>0</v>
      </c>
      <c r="N448" s="21">
        <f t="shared" si="816"/>
        <v>0</v>
      </c>
      <c r="O448" s="21">
        <f t="shared" si="816"/>
        <v>0</v>
      </c>
    </row>
    <row r="449">
      <c r="B449" s="20">
        <v>46238.0</v>
      </c>
      <c r="C449" s="21">
        <f t="shared" ref="C449:N449" si="817">0</f>
        <v>0</v>
      </c>
      <c r="D449" s="21">
        <f t="shared" si="817"/>
        <v>0</v>
      </c>
      <c r="E449" s="21">
        <f t="shared" si="817"/>
        <v>0</v>
      </c>
      <c r="F449" s="21">
        <f t="shared" si="817"/>
        <v>0</v>
      </c>
      <c r="G449" s="21">
        <f t="shared" si="817"/>
        <v>0</v>
      </c>
      <c r="H449" s="21">
        <f t="shared" si="817"/>
        <v>0</v>
      </c>
      <c r="I449" s="21">
        <f t="shared" si="817"/>
        <v>0</v>
      </c>
      <c r="J449" s="21">
        <f t="shared" si="817"/>
        <v>0</v>
      </c>
      <c r="K449" s="21">
        <f t="shared" si="817"/>
        <v>0</v>
      </c>
      <c r="L449" s="21">
        <f t="shared" si="817"/>
        <v>0</v>
      </c>
      <c r="M449" s="21">
        <f t="shared" si="817"/>
        <v>0</v>
      </c>
      <c r="N449" s="21">
        <f t="shared" si="817"/>
        <v>0</v>
      </c>
      <c r="O449" s="21">
        <f>29</f>
        <v>29</v>
      </c>
    </row>
    <row r="450">
      <c r="B450" s="20">
        <v>46239.0</v>
      </c>
      <c r="C450" s="21">
        <f t="shared" ref="C450:H450" si="818">0</f>
        <v>0</v>
      </c>
      <c r="D450" s="21">
        <f t="shared" si="818"/>
        <v>0</v>
      </c>
      <c r="E450" s="21">
        <f t="shared" si="818"/>
        <v>0</v>
      </c>
      <c r="F450" s="21">
        <f t="shared" si="818"/>
        <v>0</v>
      </c>
      <c r="G450" s="21">
        <f t="shared" si="818"/>
        <v>0</v>
      </c>
      <c r="H450" s="21">
        <f t="shared" si="818"/>
        <v>0</v>
      </c>
      <c r="I450" s="21">
        <f>53</f>
        <v>53</v>
      </c>
      <c r="J450" s="21">
        <f t="shared" ref="J450:O450" si="819">0</f>
        <v>0</v>
      </c>
      <c r="K450" s="21">
        <f t="shared" si="819"/>
        <v>0</v>
      </c>
      <c r="L450" s="21">
        <f t="shared" si="819"/>
        <v>0</v>
      </c>
      <c r="M450" s="21">
        <f t="shared" si="819"/>
        <v>0</v>
      </c>
      <c r="N450" s="21">
        <f t="shared" si="819"/>
        <v>0</v>
      </c>
      <c r="O450" s="21">
        <f t="shared" si="819"/>
        <v>0</v>
      </c>
    </row>
    <row r="451">
      <c r="B451" s="20">
        <v>46239.0</v>
      </c>
      <c r="C451" s="21">
        <f t="shared" ref="C451:H451" si="820">0</f>
        <v>0</v>
      </c>
      <c r="D451" s="21">
        <f t="shared" si="820"/>
        <v>0</v>
      </c>
      <c r="E451" s="21">
        <f t="shared" si="820"/>
        <v>0</v>
      </c>
      <c r="F451" s="21">
        <f t="shared" si="820"/>
        <v>0</v>
      </c>
      <c r="G451" s="21">
        <f t="shared" si="820"/>
        <v>0</v>
      </c>
      <c r="H451" s="21">
        <f t="shared" si="820"/>
        <v>0</v>
      </c>
      <c r="I451" s="21">
        <f>28</f>
        <v>28</v>
      </c>
      <c r="J451" s="21">
        <f t="shared" ref="J451:L451" si="821">0</f>
        <v>0</v>
      </c>
      <c r="K451" s="21">
        <f t="shared" si="821"/>
        <v>0</v>
      </c>
      <c r="L451" s="21">
        <f t="shared" si="821"/>
        <v>0</v>
      </c>
      <c r="M451" s="21">
        <f>28</f>
        <v>28</v>
      </c>
      <c r="N451" s="21">
        <f t="shared" ref="N451:O451" si="822">0</f>
        <v>0</v>
      </c>
      <c r="O451" s="21">
        <f t="shared" si="822"/>
        <v>0</v>
      </c>
    </row>
    <row r="452">
      <c r="B452" s="20">
        <v>46239.0</v>
      </c>
      <c r="C452" s="21">
        <f t="shared" ref="C452:N452" si="823">0</f>
        <v>0</v>
      </c>
      <c r="D452" s="21">
        <f t="shared" si="823"/>
        <v>0</v>
      </c>
      <c r="E452" s="21">
        <f t="shared" si="823"/>
        <v>0</v>
      </c>
      <c r="F452" s="21">
        <f t="shared" si="823"/>
        <v>0</v>
      </c>
      <c r="G452" s="21">
        <f t="shared" si="823"/>
        <v>0</v>
      </c>
      <c r="H452" s="21">
        <f t="shared" si="823"/>
        <v>0</v>
      </c>
      <c r="I452" s="21">
        <f t="shared" si="823"/>
        <v>0</v>
      </c>
      <c r="J452" s="21">
        <f t="shared" si="823"/>
        <v>0</v>
      </c>
      <c r="K452" s="21">
        <f t="shared" si="823"/>
        <v>0</v>
      </c>
      <c r="L452" s="21">
        <f t="shared" si="823"/>
        <v>0</v>
      </c>
      <c r="M452" s="21">
        <f t="shared" si="823"/>
        <v>0</v>
      </c>
      <c r="N452" s="21">
        <f t="shared" si="823"/>
        <v>0</v>
      </c>
      <c r="O452" s="21">
        <f>33</f>
        <v>33</v>
      </c>
    </row>
    <row r="453">
      <c r="B453" s="20">
        <v>46239.0</v>
      </c>
      <c r="C453" s="21">
        <f>4.4</f>
        <v>4.4</v>
      </c>
      <c r="D453" s="21">
        <f t="shared" ref="D453:H453" si="824">0</f>
        <v>0</v>
      </c>
      <c r="E453" s="21">
        <f t="shared" si="824"/>
        <v>0</v>
      </c>
      <c r="F453" s="21">
        <f t="shared" si="824"/>
        <v>0</v>
      </c>
      <c r="G453" s="21">
        <f t="shared" si="824"/>
        <v>0</v>
      </c>
      <c r="H453" s="21">
        <f t="shared" si="824"/>
        <v>0</v>
      </c>
      <c r="I453" s="21">
        <f>39.6</f>
        <v>39.6</v>
      </c>
      <c r="J453" s="21">
        <f t="shared" ref="J453:O453" si="825">0</f>
        <v>0</v>
      </c>
      <c r="K453" s="21">
        <f t="shared" si="825"/>
        <v>0</v>
      </c>
      <c r="L453" s="21">
        <f t="shared" si="825"/>
        <v>0</v>
      </c>
      <c r="M453" s="21">
        <f t="shared" si="825"/>
        <v>0</v>
      </c>
      <c r="N453" s="21">
        <f t="shared" si="825"/>
        <v>0</v>
      </c>
      <c r="O453" s="21">
        <f t="shared" si="825"/>
        <v>0</v>
      </c>
    </row>
    <row r="454">
      <c r="B454" s="20">
        <v>46239.0</v>
      </c>
      <c r="C454" s="21">
        <f t="shared" ref="C454:E454" si="826">0</f>
        <v>0</v>
      </c>
      <c r="D454" s="21">
        <f t="shared" si="826"/>
        <v>0</v>
      </c>
      <c r="E454" s="21">
        <f t="shared" si="826"/>
        <v>0</v>
      </c>
      <c r="F454" s="21">
        <f>9.6</f>
        <v>9.6</v>
      </c>
      <c r="G454" s="21">
        <f t="shared" ref="G454:L454" si="827">0</f>
        <v>0</v>
      </c>
      <c r="H454" s="21">
        <f t="shared" si="827"/>
        <v>0</v>
      </c>
      <c r="I454" s="21">
        <f t="shared" si="827"/>
        <v>0</v>
      </c>
      <c r="J454" s="21">
        <f t="shared" si="827"/>
        <v>0</v>
      </c>
      <c r="K454" s="21">
        <f t="shared" si="827"/>
        <v>0</v>
      </c>
      <c r="L454" s="21">
        <f t="shared" si="827"/>
        <v>0</v>
      </c>
      <c r="M454" s="21">
        <f>6.4</f>
        <v>6.4</v>
      </c>
      <c r="N454" s="21">
        <f t="shared" ref="N454:O454" si="828">0</f>
        <v>0</v>
      </c>
      <c r="O454" s="21">
        <f t="shared" si="828"/>
        <v>0</v>
      </c>
    </row>
    <row r="455">
      <c r="B455" s="20">
        <v>46239.0</v>
      </c>
      <c r="C455" s="21">
        <f t="shared" ref="C455:E455" si="829">0</f>
        <v>0</v>
      </c>
      <c r="D455" s="21">
        <f t="shared" si="829"/>
        <v>0</v>
      </c>
      <c r="E455" s="21">
        <f t="shared" si="829"/>
        <v>0</v>
      </c>
      <c r="F455" s="21">
        <f>2.5</f>
        <v>2.5</v>
      </c>
      <c r="G455" s="21">
        <f t="shared" ref="G455:H455" si="830">0</f>
        <v>0</v>
      </c>
      <c r="H455" s="21">
        <f t="shared" si="830"/>
        <v>0</v>
      </c>
      <c r="I455" s="21">
        <f>2.5</f>
        <v>2.5</v>
      </c>
      <c r="J455" s="21">
        <f t="shared" ref="J455:O455" si="831">0</f>
        <v>0</v>
      </c>
      <c r="K455" s="21">
        <f t="shared" si="831"/>
        <v>0</v>
      </c>
      <c r="L455" s="21">
        <f t="shared" si="831"/>
        <v>0</v>
      </c>
      <c r="M455" s="21">
        <f t="shared" si="831"/>
        <v>0</v>
      </c>
      <c r="N455" s="21">
        <f t="shared" si="831"/>
        <v>0</v>
      </c>
      <c r="O455" s="21">
        <f t="shared" si="831"/>
        <v>0</v>
      </c>
    </row>
    <row r="456">
      <c r="B456" s="20">
        <v>46239.0</v>
      </c>
      <c r="C456" s="21">
        <f t="shared" ref="C456:E456" si="832">0</f>
        <v>0</v>
      </c>
      <c r="D456" s="21">
        <f t="shared" si="832"/>
        <v>0</v>
      </c>
      <c r="E456" s="21">
        <f t="shared" si="832"/>
        <v>0</v>
      </c>
      <c r="F456" s="21">
        <f>4.2</f>
        <v>4.2</v>
      </c>
      <c r="G456" s="21">
        <f t="shared" ref="G456:H456" si="833">0</f>
        <v>0</v>
      </c>
      <c r="H456" s="21">
        <f t="shared" si="833"/>
        <v>0</v>
      </c>
      <c r="I456" s="21">
        <f>33.6</f>
        <v>33.6</v>
      </c>
      <c r="J456" s="21">
        <f t="shared" ref="J456:N456" si="834">0</f>
        <v>0</v>
      </c>
      <c r="K456" s="21">
        <f t="shared" si="834"/>
        <v>0</v>
      </c>
      <c r="L456" s="21">
        <f t="shared" si="834"/>
        <v>0</v>
      </c>
      <c r="M456" s="21">
        <f t="shared" si="834"/>
        <v>0</v>
      </c>
      <c r="N456" s="21">
        <f t="shared" si="834"/>
        <v>0</v>
      </c>
      <c r="O456" s="21">
        <f>4.2</f>
        <v>4.2</v>
      </c>
    </row>
    <row r="457">
      <c r="B457" s="20">
        <v>46239.0</v>
      </c>
      <c r="C457" s="21">
        <f t="shared" ref="C457:E457" si="835">0</f>
        <v>0</v>
      </c>
      <c r="D457" s="21">
        <f t="shared" si="835"/>
        <v>0</v>
      </c>
      <c r="E457" s="21">
        <f t="shared" si="835"/>
        <v>0</v>
      </c>
      <c r="F457" s="21">
        <f>23.5</f>
        <v>23.5</v>
      </c>
      <c r="G457" s="21">
        <f t="shared" ref="G457:L457" si="836">0</f>
        <v>0</v>
      </c>
      <c r="H457" s="21">
        <f t="shared" si="836"/>
        <v>0</v>
      </c>
      <c r="I457" s="21">
        <f t="shared" si="836"/>
        <v>0</v>
      </c>
      <c r="J457" s="21">
        <f t="shared" si="836"/>
        <v>0</v>
      </c>
      <c r="K457" s="21">
        <f t="shared" si="836"/>
        <v>0</v>
      </c>
      <c r="L457" s="21">
        <f t="shared" si="836"/>
        <v>0</v>
      </c>
      <c r="M457" s="21">
        <f>14.1</f>
        <v>14.1</v>
      </c>
      <c r="N457" s="21">
        <f>0</f>
        <v>0</v>
      </c>
      <c r="O457" s="21">
        <f>9.4</f>
        <v>9.4</v>
      </c>
    </row>
    <row r="458">
      <c r="B458" s="20">
        <v>46239.0</v>
      </c>
      <c r="C458" s="21">
        <f t="shared" ref="C458:E458" si="837">0</f>
        <v>0</v>
      </c>
      <c r="D458" s="21">
        <f t="shared" si="837"/>
        <v>0</v>
      </c>
      <c r="E458" s="21">
        <f t="shared" si="837"/>
        <v>0</v>
      </c>
      <c r="F458" s="21">
        <f t="shared" ref="F458:F459" si="841">19.5</f>
        <v>19.5</v>
      </c>
      <c r="G458" s="21">
        <f t="shared" ref="G458:H458" si="838">0</f>
        <v>0</v>
      </c>
      <c r="H458" s="21">
        <f t="shared" si="838"/>
        <v>0</v>
      </c>
      <c r="I458" s="21">
        <f t="shared" ref="I458:I459" si="843">19.5</f>
        <v>19.5</v>
      </c>
      <c r="J458" s="21">
        <f t="shared" ref="J458:O458" si="839">0</f>
        <v>0</v>
      </c>
      <c r="K458" s="21">
        <f t="shared" si="839"/>
        <v>0</v>
      </c>
      <c r="L458" s="21">
        <f t="shared" si="839"/>
        <v>0</v>
      </c>
      <c r="M458" s="21">
        <f t="shared" si="839"/>
        <v>0</v>
      </c>
      <c r="N458" s="21">
        <f t="shared" si="839"/>
        <v>0</v>
      </c>
      <c r="O458" s="21">
        <f t="shared" si="839"/>
        <v>0</v>
      </c>
    </row>
    <row r="459">
      <c r="B459" s="20">
        <v>46239.0</v>
      </c>
      <c r="C459" s="21">
        <f t="shared" ref="C459:E459" si="840">0</f>
        <v>0</v>
      </c>
      <c r="D459" s="21">
        <f t="shared" si="840"/>
        <v>0</v>
      </c>
      <c r="E459" s="21">
        <f t="shared" si="840"/>
        <v>0</v>
      </c>
      <c r="F459" s="21">
        <f t="shared" si="841"/>
        <v>19.5</v>
      </c>
      <c r="G459" s="21">
        <f t="shared" ref="G459:H459" si="842">0</f>
        <v>0</v>
      </c>
      <c r="H459" s="21">
        <f t="shared" si="842"/>
        <v>0</v>
      </c>
      <c r="I459" s="21">
        <f t="shared" si="843"/>
        <v>19.5</v>
      </c>
      <c r="J459" s="21">
        <f t="shared" ref="J459:O459" si="844">0</f>
        <v>0</v>
      </c>
      <c r="K459" s="21">
        <f t="shared" si="844"/>
        <v>0</v>
      </c>
      <c r="L459" s="21">
        <f t="shared" si="844"/>
        <v>0</v>
      </c>
      <c r="M459" s="21">
        <f t="shared" si="844"/>
        <v>0</v>
      </c>
      <c r="N459" s="21">
        <f t="shared" si="844"/>
        <v>0</v>
      </c>
      <c r="O459" s="21">
        <f t="shared" si="844"/>
        <v>0</v>
      </c>
    </row>
    <row r="460">
      <c r="B460" s="20">
        <v>46239.0</v>
      </c>
      <c r="C460" s="21">
        <v>0.0</v>
      </c>
      <c r="D460" s="21">
        <v>0.0</v>
      </c>
      <c r="E460" s="21">
        <v>0.0</v>
      </c>
      <c r="F460" s="21">
        <v>0.0</v>
      </c>
      <c r="G460" s="21">
        <v>0.0</v>
      </c>
      <c r="H460" s="21">
        <v>0.0</v>
      </c>
      <c r="I460" s="21">
        <v>0.0</v>
      </c>
      <c r="J460" s="21">
        <v>0.0</v>
      </c>
      <c r="K460" s="21">
        <v>0.0</v>
      </c>
      <c r="L460" s="21">
        <v>0.0</v>
      </c>
      <c r="M460" s="21">
        <v>0.0</v>
      </c>
      <c r="N460" s="21">
        <v>0.0</v>
      </c>
      <c r="O460" s="21">
        <f>280</f>
        <v>280</v>
      </c>
    </row>
    <row r="461">
      <c r="B461" s="20">
        <v>46239.0</v>
      </c>
      <c r="C461" s="21">
        <f t="shared" ref="C461:F461" si="845">0</f>
        <v>0</v>
      </c>
      <c r="D461" s="21">
        <f t="shared" si="845"/>
        <v>0</v>
      </c>
      <c r="E461" s="21">
        <f t="shared" si="845"/>
        <v>0</v>
      </c>
      <c r="F461" s="21">
        <f t="shared" si="845"/>
        <v>0</v>
      </c>
      <c r="G461" s="21">
        <f>19.6</f>
        <v>19.6</v>
      </c>
      <c r="H461" s="21">
        <f t="shared" ref="H461:M461" si="846">0</f>
        <v>0</v>
      </c>
      <c r="I461" s="21">
        <f t="shared" si="846"/>
        <v>0</v>
      </c>
      <c r="J461" s="21">
        <f t="shared" si="846"/>
        <v>0</v>
      </c>
      <c r="K461" s="21">
        <f t="shared" si="846"/>
        <v>0</v>
      </c>
      <c r="L461" s="21">
        <f t="shared" si="846"/>
        <v>0</v>
      </c>
      <c r="M461" s="21">
        <f t="shared" si="846"/>
        <v>0</v>
      </c>
      <c r="N461" s="21">
        <f>9.8</f>
        <v>9.8</v>
      </c>
      <c r="O461" s="21">
        <f>19.6</f>
        <v>19.6</v>
      </c>
    </row>
    <row r="462">
      <c r="B462" s="20">
        <v>46239.0</v>
      </c>
      <c r="C462" s="21">
        <f t="shared" ref="C462:E462" si="847">0</f>
        <v>0</v>
      </c>
      <c r="D462" s="21">
        <f t="shared" si="847"/>
        <v>0</v>
      </c>
      <c r="E462" s="21">
        <f t="shared" si="847"/>
        <v>0</v>
      </c>
      <c r="F462" s="21">
        <f t="shared" ref="F462:G462" si="848">10.2</f>
        <v>10.2</v>
      </c>
      <c r="G462" s="21">
        <f t="shared" si="848"/>
        <v>10.2</v>
      </c>
      <c r="H462" s="21">
        <f t="shared" ref="H462:L462" si="849">0</f>
        <v>0</v>
      </c>
      <c r="I462" s="21">
        <f t="shared" si="849"/>
        <v>0</v>
      </c>
      <c r="J462" s="21">
        <f t="shared" si="849"/>
        <v>0</v>
      </c>
      <c r="K462" s="21">
        <f t="shared" si="849"/>
        <v>0</v>
      </c>
      <c r="L462" s="21">
        <f t="shared" si="849"/>
        <v>0</v>
      </c>
      <c r="M462" s="21">
        <f>10.2</f>
        <v>10.2</v>
      </c>
      <c r="N462" s="21">
        <f>0</f>
        <v>0</v>
      </c>
      <c r="O462" s="21">
        <f>3.4</f>
        <v>3.4</v>
      </c>
    </row>
    <row r="463">
      <c r="B463" s="20">
        <v>46239.0</v>
      </c>
      <c r="C463" s="21">
        <v>0.0</v>
      </c>
      <c r="D463" s="21">
        <v>0.0</v>
      </c>
      <c r="E463" s="21">
        <v>0.0</v>
      </c>
      <c r="F463" s="21">
        <v>0.0</v>
      </c>
      <c r="G463" s="21">
        <v>0.0</v>
      </c>
      <c r="H463" s="21">
        <v>0.0</v>
      </c>
      <c r="I463" s="21">
        <f t="shared" ref="I463:I464" si="851">26</f>
        <v>26</v>
      </c>
      <c r="J463" s="21">
        <v>0.0</v>
      </c>
      <c r="K463" s="21">
        <v>0.0</v>
      </c>
      <c r="L463" s="21">
        <v>0.0</v>
      </c>
      <c r="M463" s="21">
        <v>0.0</v>
      </c>
      <c r="N463" s="21">
        <v>0.0</v>
      </c>
      <c r="O463" s="21">
        <v>0.0</v>
      </c>
    </row>
    <row r="464">
      <c r="B464" s="20">
        <v>46239.0</v>
      </c>
      <c r="C464" s="21">
        <f>26</f>
        <v>26</v>
      </c>
      <c r="D464" s="21">
        <f t="shared" ref="D464:H464" si="850">0</f>
        <v>0</v>
      </c>
      <c r="E464" s="21">
        <f t="shared" si="850"/>
        <v>0</v>
      </c>
      <c r="F464" s="21">
        <f t="shared" si="850"/>
        <v>0</v>
      </c>
      <c r="G464" s="21">
        <f t="shared" si="850"/>
        <v>0</v>
      </c>
      <c r="H464" s="21">
        <f t="shared" si="850"/>
        <v>0</v>
      </c>
      <c r="I464" s="21">
        <f t="shared" si="851"/>
        <v>26</v>
      </c>
      <c r="J464" s="21">
        <f t="shared" ref="J464:O464" si="852">0</f>
        <v>0</v>
      </c>
      <c r="K464" s="21">
        <f t="shared" si="852"/>
        <v>0</v>
      </c>
      <c r="L464" s="21">
        <f t="shared" si="852"/>
        <v>0</v>
      </c>
      <c r="M464" s="21">
        <f t="shared" si="852"/>
        <v>0</v>
      </c>
      <c r="N464" s="21">
        <f t="shared" si="852"/>
        <v>0</v>
      </c>
      <c r="O464" s="21">
        <f t="shared" si="852"/>
        <v>0</v>
      </c>
    </row>
    <row r="465">
      <c r="B465" s="20">
        <v>46239.0</v>
      </c>
      <c r="C465" s="21">
        <f t="shared" ref="C465:N465" si="853">0</f>
        <v>0</v>
      </c>
      <c r="D465" s="21">
        <f t="shared" si="853"/>
        <v>0</v>
      </c>
      <c r="E465" s="21">
        <f t="shared" si="853"/>
        <v>0</v>
      </c>
      <c r="F465" s="21">
        <f t="shared" si="853"/>
        <v>0</v>
      </c>
      <c r="G465" s="21">
        <f t="shared" si="853"/>
        <v>0</v>
      </c>
      <c r="H465" s="21">
        <f t="shared" si="853"/>
        <v>0</v>
      </c>
      <c r="I465" s="21">
        <f t="shared" si="853"/>
        <v>0</v>
      </c>
      <c r="J465" s="21">
        <f t="shared" si="853"/>
        <v>0</v>
      </c>
      <c r="K465" s="21">
        <f t="shared" si="853"/>
        <v>0</v>
      </c>
      <c r="L465" s="21">
        <f t="shared" si="853"/>
        <v>0</v>
      </c>
      <c r="M465" s="21">
        <f t="shared" si="853"/>
        <v>0</v>
      </c>
      <c r="N465" s="21">
        <f t="shared" si="853"/>
        <v>0</v>
      </c>
      <c r="O465" s="21">
        <f>62</f>
        <v>62</v>
      </c>
    </row>
    <row r="466">
      <c r="B466" s="20">
        <v>46239.0</v>
      </c>
      <c r="C466" s="21">
        <f t="shared" ref="C466:G466" si="854">0</f>
        <v>0</v>
      </c>
      <c r="D466" s="21">
        <f t="shared" si="854"/>
        <v>0</v>
      </c>
      <c r="E466" s="21">
        <f t="shared" si="854"/>
        <v>0</v>
      </c>
      <c r="F466" s="21">
        <f t="shared" si="854"/>
        <v>0</v>
      </c>
      <c r="G466" s="21">
        <f t="shared" si="854"/>
        <v>0</v>
      </c>
      <c r="H466" s="21">
        <f>51</f>
        <v>51</v>
      </c>
      <c r="I466" s="21">
        <f t="shared" ref="I466:O466" si="855">0</f>
        <v>0</v>
      </c>
      <c r="J466" s="21">
        <f t="shared" si="855"/>
        <v>0</v>
      </c>
      <c r="K466" s="21">
        <f t="shared" si="855"/>
        <v>0</v>
      </c>
      <c r="L466" s="21">
        <f t="shared" si="855"/>
        <v>0</v>
      </c>
      <c r="M466" s="21">
        <f t="shared" si="855"/>
        <v>0</v>
      </c>
      <c r="N466" s="21">
        <f t="shared" si="855"/>
        <v>0</v>
      </c>
      <c r="O466" s="21">
        <f t="shared" si="855"/>
        <v>0</v>
      </c>
    </row>
    <row r="467">
      <c r="B467" s="20">
        <v>46239.0</v>
      </c>
      <c r="C467" s="21">
        <f t="shared" ref="C467:G467" si="856">0</f>
        <v>0</v>
      </c>
      <c r="D467" s="21">
        <f t="shared" si="856"/>
        <v>0</v>
      </c>
      <c r="E467" s="21">
        <f t="shared" si="856"/>
        <v>0</v>
      </c>
      <c r="F467" s="21">
        <f t="shared" si="856"/>
        <v>0</v>
      </c>
      <c r="G467" s="21">
        <f t="shared" si="856"/>
        <v>0</v>
      </c>
      <c r="H467" s="21">
        <f>59</f>
        <v>59</v>
      </c>
      <c r="I467" s="21">
        <f t="shared" ref="I467:O467" si="857">0</f>
        <v>0</v>
      </c>
      <c r="J467" s="21">
        <f t="shared" si="857"/>
        <v>0</v>
      </c>
      <c r="K467" s="21">
        <f t="shared" si="857"/>
        <v>0</v>
      </c>
      <c r="L467" s="21">
        <f t="shared" si="857"/>
        <v>0</v>
      </c>
      <c r="M467" s="21">
        <f t="shared" si="857"/>
        <v>0</v>
      </c>
      <c r="N467" s="21">
        <f t="shared" si="857"/>
        <v>0</v>
      </c>
      <c r="O467" s="21">
        <f t="shared" si="857"/>
        <v>0</v>
      </c>
    </row>
    <row r="468">
      <c r="B468" s="20">
        <v>46240.0</v>
      </c>
      <c r="C468" s="21">
        <f t="shared" ref="C468:F468" si="858">0</f>
        <v>0</v>
      </c>
      <c r="D468" s="21">
        <f t="shared" si="858"/>
        <v>0</v>
      </c>
      <c r="E468" s="21">
        <f t="shared" si="858"/>
        <v>0</v>
      </c>
      <c r="F468" s="21">
        <f t="shared" si="858"/>
        <v>0</v>
      </c>
      <c r="G468" s="21">
        <f>3.5</f>
        <v>3.5</v>
      </c>
      <c r="H468" s="21">
        <f t="shared" ref="H468:H469" si="861">0</f>
        <v>0</v>
      </c>
      <c r="I468" s="21">
        <f>31.5</f>
        <v>31.5</v>
      </c>
      <c r="J468" s="21">
        <f t="shared" ref="J468:O468" si="859">0</f>
        <v>0</v>
      </c>
      <c r="K468" s="21">
        <f t="shared" si="859"/>
        <v>0</v>
      </c>
      <c r="L468" s="21">
        <f t="shared" si="859"/>
        <v>0</v>
      </c>
      <c r="M468" s="21">
        <f t="shared" si="859"/>
        <v>0</v>
      </c>
      <c r="N468" s="21">
        <f t="shared" si="859"/>
        <v>0</v>
      </c>
      <c r="O468" s="21">
        <f t="shared" si="859"/>
        <v>0</v>
      </c>
    </row>
    <row r="469">
      <c r="B469" s="20">
        <v>46240.0</v>
      </c>
      <c r="C469" s="21">
        <f>16.2</f>
        <v>16.2</v>
      </c>
      <c r="D469" s="21">
        <f t="shared" ref="D469:F469" si="860">0</f>
        <v>0</v>
      </c>
      <c r="E469" s="21">
        <f t="shared" si="860"/>
        <v>0</v>
      </c>
      <c r="F469" s="21">
        <f t="shared" si="860"/>
        <v>0</v>
      </c>
      <c r="G469" s="21">
        <f>2.7</f>
        <v>2.7</v>
      </c>
      <c r="H469" s="21">
        <f t="shared" si="861"/>
        <v>0</v>
      </c>
      <c r="I469" s="21">
        <f t="shared" ref="I469:K469" si="862">0</f>
        <v>0</v>
      </c>
      <c r="J469" s="21">
        <f t="shared" si="862"/>
        <v>0</v>
      </c>
      <c r="K469" s="21">
        <f t="shared" si="862"/>
        <v>0</v>
      </c>
      <c r="L469" s="21">
        <f>8.1</f>
        <v>8.1</v>
      </c>
      <c r="M469" s="21">
        <f t="shared" ref="M469:O469" si="863">0</f>
        <v>0</v>
      </c>
      <c r="N469" s="21">
        <f t="shared" si="863"/>
        <v>0</v>
      </c>
      <c r="O469" s="21">
        <f t="shared" si="863"/>
        <v>0</v>
      </c>
    </row>
    <row r="470">
      <c r="B470" s="20">
        <v>46240.0</v>
      </c>
      <c r="C470" s="21">
        <f t="shared" ref="C470:L470" si="864">0</f>
        <v>0</v>
      </c>
      <c r="D470" s="21">
        <f t="shared" si="864"/>
        <v>0</v>
      </c>
      <c r="E470" s="21">
        <f t="shared" si="864"/>
        <v>0</v>
      </c>
      <c r="F470" s="21">
        <f t="shared" si="864"/>
        <v>0</v>
      </c>
      <c r="G470" s="21">
        <f t="shared" si="864"/>
        <v>0</v>
      </c>
      <c r="H470" s="21">
        <f t="shared" si="864"/>
        <v>0</v>
      </c>
      <c r="I470" s="21">
        <f t="shared" si="864"/>
        <v>0</v>
      </c>
      <c r="J470" s="21">
        <f t="shared" si="864"/>
        <v>0</v>
      </c>
      <c r="K470" s="21">
        <f t="shared" si="864"/>
        <v>0</v>
      </c>
      <c r="L470" s="21">
        <f t="shared" si="864"/>
        <v>0</v>
      </c>
      <c r="M470" s="21">
        <f>12</f>
        <v>12</v>
      </c>
      <c r="N470" s="21">
        <f>0</f>
        <v>0</v>
      </c>
      <c r="O470" s="21">
        <f>8</f>
        <v>8</v>
      </c>
    </row>
    <row r="471">
      <c r="B471" s="20">
        <v>46240.0</v>
      </c>
      <c r="C471" s="21">
        <f t="shared" ref="C471:F471" si="865">0</f>
        <v>0</v>
      </c>
      <c r="D471" s="21">
        <f t="shared" si="865"/>
        <v>0</v>
      </c>
      <c r="E471" s="21">
        <f t="shared" si="865"/>
        <v>0</v>
      </c>
      <c r="F471" s="21">
        <f t="shared" si="865"/>
        <v>0</v>
      </c>
      <c r="G471" s="21">
        <f>25.2</f>
        <v>25.2</v>
      </c>
      <c r="H471" s="21">
        <f t="shared" ref="H471:H472" si="869">0</f>
        <v>0</v>
      </c>
      <c r="I471" s="21">
        <f>25.2</f>
        <v>25.2</v>
      </c>
      <c r="J471" s="21">
        <f t="shared" ref="J471:N471" si="866">0</f>
        <v>0</v>
      </c>
      <c r="K471" s="21">
        <f t="shared" si="866"/>
        <v>0</v>
      </c>
      <c r="L471" s="21">
        <f t="shared" si="866"/>
        <v>0</v>
      </c>
      <c r="M471" s="21">
        <f t="shared" si="866"/>
        <v>0</v>
      </c>
      <c r="N471" s="21">
        <f t="shared" si="866"/>
        <v>0</v>
      </c>
      <c r="O471" s="21">
        <f>12.6</f>
        <v>12.6</v>
      </c>
    </row>
    <row r="472">
      <c r="B472" s="20">
        <v>46240.0</v>
      </c>
      <c r="C472" s="21">
        <f t="shared" ref="C472:E472" si="867">0</f>
        <v>0</v>
      </c>
      <c r="D472" s="21">
        <f t="shared" si="867"/>
        <v>0</v>
      </c>
      <c r="E472" s="21">
        <f t="shared" si="867"/>
        <v>0</v>
      </c>
      <c r="F472" s="21">
        <f t="shared" ref="F472:G472" si="868">3.2</f>
        <v>3.2</v>
      </c>
      <c r="G472" s="21">
        <f t="shared" si="868"/>
        <v>3.2</v>
      </c>
      <c r="H472" s="21">
        <f t="shared" si="869"/>
        <v>0</v>
      </c>
      <c r="I472" s="21">
        <f t="shared" ref="I472:L472" si="870">0</f>
        <v>0</v>
      </c>
      <c r="J472" s="21">
        <f t="shared" si="870"/>
        <v>0</v>
      </c>
      <c r="K472" s="21">
        <f t="shared" si="870"/>
        <v>0</v>
      </c>
      <c r="L472" s="21">
        <f t="shared" si="870"/>
        <v>0</v>
      </c>
      <c r="M472" s="21">
        <f>9.6</f>
        <v>9.6</v>
      </c>
      <c r="N472" s="21">
        <f t="shared" ref="N472:O472" si="871">0</f>
        <v>0</v>
      </c>
      <c r="O472" s="21">
        <f t="shared" si="871"/>
        <v>0</v>
      </c>
    </row>
    <row r="473">
      <c r="B473" s="20">
        <v>46240.0</v>
      </c>
      <c r="C473" s="21">
        <f t="shared" ref="C473:E473" si="872">0</f>
        <v>0</v>
      </c>
      <c r="D473" s="21">
        <f t="shared" si="872"/>
        <v>0</v>
      </c>
      <c r="E473" s="21">
        <f t="shared" si="872"/>
        <v>0</v>
      </c>
      <c r="F473" s="21">
        <f>34</f>
        <v>34</v>
      </c>
      <c r="G473" s="21">
        <f t="shared" ref="G473:O473" si="873">0</f>
        <v>0</v>
      </c>
      <c r="H473" s="21">
        <f t="shared" si="873"/>
        <v>0</v>
      </c>
      <c r="I473" s="21">
        <f t="shared" si="873"/>
        <v>0</v>
      </c>
      <c r="J473" s="21">
        <f t="shared" si="873"/>
        <v>0</v>
      </c>
      <c r="K473" s="21">
        <f t="shared" si="873"/>
        <v>0</v>
      </c>
      <c r="L473" s="21">
        <f t="shared" si="873"/>
        <v>0</v>
      </c>
      <c r="M473" s="21">
        <f t="shared" si="873"/>
        <v>0</v>
      </c>
      <c r="N473" s="21">
        <f t="shared" si="873"/>
        <v>0</v>
      </c>
      <c r="O473" s="21">
        <f t="shared" si="873"/>
        <v>0</v>
      </c>
    </row>
    <row r="474">
      <c r="B474" s="20">
        <v>46240.0</v>
      </c>
      <c r="C474" s="21">
        <f>134</f>
        <v>134</v>
      </c>
      <c r="D474" s="21">
        <f t="shared" ref="D474:O474" si="874">0</f>
        <v>0</v>
      </c>
      <c r="E474" s="21">
        <f t="shared" si="874"/>
        <v>0</v>
      </c>
      <c r="F474" s="21">
        <f t="shared" si="874"/>
        <v>0</v>
      </c>
      <c r="G474" s="21">
        <f t="shared" si="874"/>
        <v>0</v>
      </c>
      <c r="H474" s="21">
        <f t="shared" si="874"/>
        <v>0</v>
      </c>
      <c r="I474" s="21">
        <f t="shared" si="874"/>
        <v>0</v>
      </c>
      <c r="J474" s="21">
        <f t="shared" si="874"/>
        <v>0</v>
      </c>
      <c r="K474" s="21">
        <f t="shared" si="874"/>
        <v>0</v>
      </c>
      <c r="L474" s="21">
        <f t="shared" si="874"/>
        <v>0</v>
      </c>
      <c r="M474" s="21">
        <f t="shared" si="874"/>
        <v>0</v>
      </c>
      <c r="N474" s="21">
        <f t="shared" si="874"/>
        <v>0</v>
      </c>
      <c r="O474" s="21">
        <f t="shared" si="874"/>
        <v>0</v>
      </c>
    </row>
    <row r="475">
      <c r="B475" s="20">
        <v>46240.0</v>
      </c>
      <c r="C475" s="21">
        <f t="shared" ref="C475:H475" si="875">0</f>
        <v>0</v>
      </c>
      <c r="D475" s="21">
        <f t="shared" si="875"/>
        <v>0</v>
      </c>
      <c r="E475" s="21">
        <f t="shared" si="875"/>
        <v>0</v>
      </c>
      <c r="F475" s="21">
        <f t="shared" si="875"/>
        <v>0</v>
      </c>
      <c r="G475" s="21">
        <f t="shared" si="875"/>
        <v>0</v>
      </c>
      <c r="H475" s="21">
        <f t="shared" si="875"/>
        <v>0</v>
      </c>
      <c r="I475" s="21">
        <f>91</f>
        <v>91</v>
      </c>
      <c r="J475" s="21">
        <f t="shared" ref="J475:O475" si="876">0</f>
        <v>0</v>
      </c>
      <c r="K475" s="21">
        <f t="shared" si="876"/>
        <v>0</v>
      </c>
      <c r="L475" s="21">
        <f t="shared" si="876"/>
        <v>0</v>
      </c>
      <c r="M475" s="21">
        <f t="shared" si="876"/>
        <v>0</v>
      </c>
      <c r="N475" s="21">
        <f t="shared" si="876"/>
        <v>0</v>
      </c>
      <c r="O475" s="21">
        <f t="shared" si="876"/>
        <v>0</v>
      </c>
    </row>
    <row r="476">
      <c r="B476" s="20">
        <v>46240.0</v>
      </c>
      <c r="C476" s="21">
        <f>22.5</f>
        <v>22.5</v>
      </c>
      <c r="D476" s="21">
        <f t="shared" ref="D476:L476" si="877">0</f>
        <v>0</v>
      </c>
      <c r="E476" s="21">
        <f t="shared" si="877"/>
        <v>0</v>
      </c>
      <c r="F476" s="21">
        <f t="shared" si="877"/>
        <v>0</v>
      </c>
      <c r="G476" s="21">
        <f t="shared" si="877"/>
        <v>0</v>
      </c>
      <c r="H476" s="21">
        <f t="shared" si="877"/>
        <v>0</v>
      </c>
      <c r="I476" s="21">
        <f t="shared" si="877"/>
        <v>0</v>
      </c>
      <c r="J476" s="21">
        <f t="shared" si="877"/>
        <v>0</v>
      </c>
      <c r="K476" s="21">
        <f t="shared" si="877"/>
        <v>0</v>
      </c>
      <c r="L476" s="21">
        <f t="shared" si="877"/>
        <v>0</v>
      </c>
      <c r="M476" s="21">
        <f>22.5</f>
        <v>22.5</v>
      </c>
      <c r="N476" s="21">
        <f t="shared" ref="N476:O476" si="878">0</f>
        <v>0</v>
      </c>
      <c r="O476" s="21">
        <f t="shared" si="878"/>
        <v>0</v>
      </c>
    </row>
    <row r="477">
      <c r="B477" s="20">
        <v>46240.0</v>
      </c>
      <c r="C477" s="21">
        <f>45</f>
        <v>45</v>
      </c>
      <c r="D477" s="21">
        <f t="shared" ref="D477:O477" si="879">0</f>
        <v>0</v>
      </c>
      <c r="E477" s="21">
        <f t="shared" si="879"/>
        <v>0</v>
      </c>
      <c r="F477" s="21">
        <f t="shared" si="879"/>
        <v>0</v>
      </c>
      <c r="G477" s="21">
        <f t="shared" si="879"/>
        <v>0</v>
      </c>
      <c r="H477" s="21">
        <f t="shared" si="879"/>
        <v>0</v>
      </c>
      <c r="I477" s="21">
        <f t="shared" si="879"/>
        <v>0</v>
      </c>
      <c r="J477" s="21">
        <f t="shared" si="879"/>
        <v>0</v>
      </c>
      <c r="K477" s="21">
        <f t="shared" si="879"/>
        <v>0</v>
      </c>
      <c r="L477" s="21">
        <f t="shared" si="879"/>
        <v>0</v>
      </c>
      <c r="M477" s="21">
        <f t="shared" si="879"/>
        <v>0</v>
      </c>
      <c r="N477" s="21">
        <f t="shared" si="879"/>
        <v>0</v>
      </c>
      <c r="O477" s="21">
        <f t="shared" si="879"/>
        <v>0</v>
      </c>
    </row>
    <row r="478">
      <c r="B478" s="20">
        <v>46240.0</v>
      </c>
      <c r="C478" s="21">
        <f t="shared" ref="C478:H478" si="880">0</f>
        <v>0</v>
      </c>
      <c r="D478" s="21">
        <f t="shared" si="880"/>
        <v>0</v>
      </c>
      <c r="E478" s="21">
        <f t="shared" si="880"/>
        <v>0</v>
      </c>
      <c r="F478" s="21">
        <f t="shared" si="880"/>
        <v>0</v>
      </c>
      <c r="G478" s="21">
        <f t="shared" si="880"/>
        <v>0</v>
      </c>
      <c r="H478" s="21">
        <f t="shared" si="880"/>
        <v>0</v>
      </c>
      <c r="I478" s="21">
        <f t="shared" ref="I478:J478" si="881">26</f>
        <v>26</v>
      </c>
      <c r="J478" s="21">
        <f t="shared" si="881"/>
        <v>26</v>
      </c>
      <c r="K478" s="21">
        <f t="shared" ref="K478:O478" si="882">0</f>
        <v>0</v>
      </c>
      <c r="L478" s="21">
        <f t="shared" si="882"/>
        <v>0</v>
      </c>
      <c r="M478" s="21">
        <f t="shared" si="882"/>
        <v>0</v>
      </c>
      <c r="N478" s="21">
        <f t="shared" si="882"/>
        <v>0</v>
      </c>
      <c r="O478" s="21">
        <f t="shared" si="882"/>
        <v>0</v>
      </c>
    </row>
    <row r="479">
      <c r="B479" s="20">
        <v>46240.0</v>
      </c>
      <c r="C479" s="21">
        <f t="shared" ref="C479:E479" si="883">0</f>
        <v>0</v>
      </c>
      <c r="D479" s="21">
        <f t="shared" si="883"/>
        <v>0</v>
      </c>
      <c r="E479" s="21">
        <f t="shared" si="883"/>
        <v>0</v>
      </c>
      <c r="F479" s="21">
        <f>7</f>
        <v>7</v>
      </c>
      <c r="G479" s="21">
        <f t="shared" ref="G479:H479" si="884">0</f>
        <v>0</v>
      </c>
      <c r="H479" s="21">
        <f t="shared" si="884"/>
        <v>0</v>
      </c>
      <c r="I479" s="21">
        <f>3.5</f>
        <v>3.5</v>
      </c>
      <c r="J479" s="21">
        <f t="shared" ref="J479:L479" si="885">0</f>
        <v>0</v>
      </c>
      <c r="K479" s="21">
        <f t="shared" si="885"/>
        <v>0</v>
      </c>
      <c r="L479" s="21">
        <f t="shared" si="885"/>
        <v>0</v>
      </c>
      <c r="M479" s="21">
        <f>21</f>
        <v>21</v>
      </c>
      <c r="N479" s="21">
        <f>0</f>
        <v>0</v>
      </c>
      <c r="O479" s="21">
        <f>3.5</f>
        <v>3.5</v>
      </c>
    </row>
    <row r="480">
      <c r="B480" s="20">
        <v>46240.0</v>
      </c>
      <c r="C480" s="21">
        <f>0.6</f>
        <v>0.6</v>
      </c>
      <c r="D480" s="21">
        <f t="shared" ref="D480:F480" si="886">0</f>
        <v>0</v>
      </c>
      <c r="E480" s="21">
        <f t="shared" si="886"/>
        <v>0</v>
      </c>
      <c r="F480" s="21">
        <f t="shared" si="886"/>
        <v>0</v>
      </c>
      <c r="G480" s="21">
        <f>1.8</f>
        <v>1.8</v>
      </c>
      <c r="H480" s="21">
        <f>0</f>
        <v>0</v>
      </c>
      <c r="I480" s="21">
        <f>0.3</f>
        <v>0.3</v>
      </c>
      <c r="J480" s="21">
        <f t="shared" ref="J480:N480" si="887">0</f>
        <v>0</v>
      </c>
      <c r="K480" s="21">
        <f t="shared" si="887"/>
        <v>0</v>
      </c>
      <c r="L480" s="21">
        <f t="shared" si="887"/>
        <v>0</v>
      </c>
      <c r="M480" s="21">
        <f t="shared" si="887"/>
        <v>0</v>
      </c>
      <c r="N480" s="21">
        <f t="shared" si="887"/>
        <v>0</v>
      </c>
      <c r="O480" s="21">
        <f>0.3</f>
        <v>0.3</v>
      </c>
    </row>
    <row r="481">
      <c r="B481" s="20">
        <v>46240.0</v>
      </c>
      <c r="C481" s="21">
        <f t="shared" ref="C481:D481" si="888">0</f>
        <v>0</v>
      </c>
      <c r="D481" s="21">
        <f t="shared" si="888"/>
        <v>0</v>
      </c>
      <c r="E481" s="21">
        <f t="shared" ref="E481:F481" si="889">3.1</f>
        <v>3.1</v>
      </c>
      <c r="F481" s="21">
        <f t="shared" si="889"/>
        <v>3.1</v>
      </c>
      <c r="G481" s="21">
        <f t="shared" ref="G481:N481" si="890">0</f>
        <v>0</v>
      </c>
      <c r="H481" s="21">
        <f t="shared" si="890"/>
        <v>0</v>
      </c>
      <c r="I481" s="21">
        <f t="shared" si="890"/>
        <v>0</v>
      </c>
      <c r="J481" s="21">
        <f t="shared" si="890"/>
        <v>0</v>
      </c>
      <c r="K481" s="21">
        <f t="shared" si="890"/>
        <v>0</v>
      </c>
      <c r="L481" s="21">
        <f t="shared" si="890"/>
        <v>0</v>
      </c>
      <c r="M481" s="21">
        <f t="shared" si="890"/>
        <v>0</v>
      </c>
      <c r="N481" s="21">
        <f t="shared" si="890"/>
        <v>0</v>
      </c>
      <c r="O481" s="21">
        <f>24.8</f>
        <v>24.8</v>
      </c>
    </row>
    <row r="482">
      <c r="B482" s="20">
        <v>46240.0</v>
      </c>
      <c r="C482" s="21">
        <f t="shared" ref="C482:H482" si="891">0</f>
        <v>0</v>
      </c>
      <c r="D482" s="21">
        <f t="shared" si="891"/>
        <v>0</v>
      </c>
      <c r="E482" s="21">
        <f t="shared" si="891"/>
        <v>0</v>
      </c>
      <c r="F482" s="21">
        <f t="shared" si="891"/>
        <v>0</v>
      </c>
      <c r="G482" s="21">
        <f t="shared" si="891"/>
        <v>0</v>
      </c>
      <c r="H482" s="21">
        <f t="shared" si="891"/>
        <v>0</v>
      </c>
      <c r="I482" s="21">
        <f>6.2</f>
        <v>6.2</v>
      </c>
      <c r="J482" s="21">
        <f t="shared" ref="J482:M482" si="892">0</f>
        <v>0</v>
      </c>
      <c r="K482" s="21">
        <f t="shared" si="892"/>
        <v>0</v>
      </c>
      <c r="L482" s="21">
        <f t="shared" si="892"/>
        <v>0</v>
      </c>
      <c r="M482" s="21">
        <f t="shared" si="892"/>
        <v>0</v>
      </c>
      <c r="N482" s="21">
        <f>55.8</f>
        <v>55.8</v>
      </c>
      <c r="O482" s="21">
        <f>0</f>
        <v>0</v>
      </c>
    </row>
    <row r="483">
      <c r="B483" s="20">
        <v>46241.0</v>
      </c>
      <c r="C483" s="21">
        <f t="shared" ref="C483:H483" si="893">0</f>
        <v>0</v>
      </c>
      <c r="D483" s="21">
        <f t="shared" si="893"/>
        <v>0</v>
      </c>
      <c r="E483" s="21">
        <f t="shared" si="893"/>
        <v>0</v>
      </c>
      <c r="F483" s="21">
        <f t="shared" si="893"/>
        <v>0</v>
      </c>
      <c r="G483" s="21">
        <f t="shared" si="893"/>
        <v>0</v>
      </c>
      <c r="H483" s="21">
        <f t="shared" si="893"/>
        <v>0</v>
      </c>
      <c r="I483" s="21">
        <f>12.2</f>
        <v>12.2</v>
      </c>
      <c r="J483" s="21">
        <f t="shared" ref="J483:L483" si="894">0</f>
        <v>0</v>
      </c>
      <c r="K483" s="21">
        <f t="shared" si="894"/>
        <v>0</v>
      </c>
      <c r="L483" s="21">
        <f t="shared" si="894"/>
        <v>0</v>
      </c>
      <c r="M483" s="21">
        <f>48.8</f>
        <v>48.8</v>
      </c>
      <c r="N483" s="21">
        <f t="shared" ref="N483:O483" si="895">0</f>
        <v>0</v>
      </c>
      <c r="O483" s="21">
        <f t="shared" si="895"/>
        <v>0</v>
      </c>
    </row>
    <row r="484">
      <c r="B484" s="20">
        <v>46241.0</v>
      </c>
      <c r="C484" s="21">
        <f t="shared" ref="C484:H484" si="896">0</f>
        <v>0</v>
      </c>
      <c r="D484" s="21">
        <f t="shared" si="896"/>
        <v>0</v>
      </c>
      <c r="E484" s="21">
        <f t="shared" si="896"/>
        <v>0</v>
      </c>
      <c r="F484" s="21">
        <f t="shared" si="896"/>
        <v>0</v>
      </c>
      <c r="G484" s="21">
        <f t="shared" si="896"/>
        <v>0</v>
      </c>
      <c r="H484" s="21">
        <f t="shared" si="896"/>
        <v>0</v>
      </c>
      <c r="I484" s="21">
        <f>46</f>
        <v>46</v>
      </c>
      <c r="J484" s="21">
        <f t="shared" ref="J484:O484" si="897">0</f>
        <v>0</v>
      </c>
      <c r="K484" s="21">
        <f t="shared" si="897"/>
        <v>0</v>
      </c>
      <c r="L484" s="21">
        <f t="shared" si="897"/>
        <v>0</v>
      </c>
      <c r="M484" s="21">
        <f t="shared" si="897"/>
        <v>0</v>
      </c>
      <c r="N484" s="21">
        <f t="shared" si="897"/>
        <v>0</v>
      </c>
      <c r="O484" s="21">
        <f t="shared" si="897"/>
        <v>0</v>
      </c>
    </row>
    <row r="485">
      <c r="B485" s="20">
        <v>46241.0</v>
      </c>
      <c r="C485" s="21">
        <f>11.6</f>
        <v>11.6</v>
      </c>
      <c r="D485" s="21">
        <f t="shared" ref="D485:L485" si="898">0</f>
        <v>0</v>
      </c>
      <c r="E485" s="21">
        <f t="shared" si="898"/>
        <v>0</v>
      </c>
      <c r="F485" s="21">
        <f t="shared" si="898"/>
        <v>0</v>
      </c>
      <c r="G485" s="21">
        <f t="shared" si="898"/>
        <v>0</v>
      </c>
      <c r="H485" s="21">
        <f t="shared" si="898"/>
        <v>0</v>
      </c>
      <c r="I485" s="21">
        <f t="shared" si="898"/>
        <v>0</v>
      </c>
      <c r="J485" s="21">
        <f t="shared" si="898"/>
        <v>0</v>
      </c>
      <c r="K485" s="21">
        <f t="shared" si="898"/>
        <v>0</v>
      </c>
      <c r="L485" s="21">
        <f t="shared" si="898"/>
        <v>0</v>
      </c>
      <c r="M485" s="21">
        <f>17.4</f>
        <v>17.4</v>
      </c>
      <c r="N485" s="21">
        <f t="shared" ref="N485:O485" si="899">0</f>
        <v>0</v>
      </c>
      <c r="O485" s="21">
        <f t="shared" si="899"/>
        <v>0</v>
      </c>
    </row>
    <row r="486">
      <c r="B486" s="20">
        <v>46241.0</v>
      </c>
      <c r="C486" s="21">
        <f>15</f>
        <v>15</v>
      </c>
      <c r="D486" s="21">
        <f t="shared" ref="D486:L486" si="900">0</f>
        <v>0</v>
      </c>
      <c r="E486" s="21">
        <f t="shared" si="900"/>
        <v>0</v>
      </c>
      <c r="F486" s="21">
        <f t="shared" si="900"/>
        <v>0</v>
      </c>
      <c r="G486" s="21">
        <f t="shared" si="900"/>
        <v>0</v>
      </c>
      <c r="H486" s="21">
        <f t="shared" si="900"/>
        <v>0</v>
      </c>
      <c r="I486" s="21">
        <f t="shared" si="900"/>
        <v>0</v>
      </c>
      <c r="J486" s="21">
        <f t="shared" si="900"/>
        <v>0</v>
      </c>
      <c r="K486" s="21">
        <f t="shared" si="900"/>
        <v>0</v>
      </c>
      <c r="L486" s="21">
        <f t="shared" si="900"/>
        <v>0</v>
      </c>
      <c r="M486" s="21">
        <f>10</f>
        <v>10</v>
      </c>
      <c r="N486" s="21">
        <f t="shared" ref="N486:O486" si="901">0</f>
        <v>0</v>
      </c>
      <c r="O486" s="21">
        <f t="shared" si="901"/>
        <v>0</v>
      </c>
    </row>
    <row r="487">
      <c r="B487" s="20">
        <v>46241.0</v>
      </c>
      <c r="C487" s="21">
        <f t="shared" ref="C487:H487" si="902">0</f>
        <v>0</v>
      </c>
      <c r="D487" s="21">
        <f t="shared" si="902"/>
        <v>0</v>
      </c>
      <c r="E487" s="21">
        <f t="shared" si="902"/>
        <v>0</v>
      </c>
      <c r="F487" s="21">
        <f t="shared" si="902"/>
        <v>0</v>
      </c>
      <c r="G487" s="21">
        <f t="shared" si="902"/>
        <v>0</v>
      </c>
      <c r="H487" s="21">
        <f t="shared" si="902"/>
        <v>0</v>
      </c>
      <c r="I487" s="21">
        <f>68.6</f>
        <v>68.6</v>
      </c>
      <c r="J487" s="21">
        <f t="shared" ref="J487:L487" si="903">0</f>
        <v>0</v>
      </c>
      <c r="K487" s="21">
        <f t="shared" si="903"/>
        <v>0</v>
      </c>
      <c r="L487" s="21">
        <f t="shared" si="903"/>
        <v>0</v>
      </c>
      <c r="M487" s="21">
        <f>29.4</f>
        <v>29.4</v>
      </c>
      <c r="N487" s="21">
        <f t="shared" ref="N487:O487" si="904">0</f>
        <v>0</v>
      </c>
      <c r="O487" s="21">
        <f t="shared" si="904"/>
        <v>0</v>
      </c>
    </row>
    <row r="488">
      <c r="B488" s="20">
        <v>46241.0</v>
      </c>
      <c r="C488" s="21">
        <f>147</f>
        <v>147</v>
      </c>
      <c r="D488" s="21">
        <f t="shared" ref="D488:F488" si="905">0</f>
        <v>0</v>
      </c>
      <c r="E488" s="21">
        <f t="shared" si="905"/>
        <v>0</v>
      </c>
      <c r="F488" s="21">
        <f t="shared" si="905"/>
        <v>0</v>
      </c>
      <c r="G488" s="21">
        <f>63</f>
        <v>63</v>
      </c>
      <c r="H488" s="21">
        <f t="shared" ref="H488:O488" si="906">0</f>
        <v>0</v>
      </c>
      <c r="I488" s="21">
        <f t="shared" si="906"/>
        <v>0</v>
      </c>
      <c r="J488" s="21">
        <f t="shared" si="906"/>
        <v>0</v>
      </c>
      <c r="K488" s="21">
        <f t="shared" si="906"/>
        <v>0</v>
      </c>
      <c r="L488" s="21">
        <f t="shared" si="906"/>
        <v>0</v>
      </c>
      <c r="M488" s="21">
        <f t="shared" si="906"/>
        <v>0</v>
      </c>
      <c r="N488" s="21">
        <f t="shared" si="906"/>
        <v>0</v>
      </c>
      <c r="O488" s="21">
        <f t="shared" si="906"/>
        <v>0</v>
      </c>
    </row>
    <row r="489">
      <c r="B489" s="20">
        <v>46241.0</v>
      </c>
      <c r="C489" s="21">
        <f>20</f>
        <v>20</v>
      </c>
      <c r="D489" s="21">
        <f t="shared" ref="D489:L489" si="907">0</f>
        <v>0</v>
      </c>
      <c r="E489" s="21">
        <f t="shared" si="907"/>
        <v>0</v>
      </c>
      <c r="F489" s="21">
        <f t="shared" si="907"/>
        <v>0</v>
      </c>
      <c r="G489" s="21">
        <f t="shared" si="907"/>
        <v>0</v>
      </c>
      <c r="H489" s="21">
        <f t="shared" si="907"/>
        <v>0</v>
      </c>
      <c r="I489" s="21">
        <f t="shared" si="907"/>
        <v>0</v>
      </c>
      <c r="J489" s="21">
        <f t="shared" si="907"/>
        <v>0</v>
      </c>
      <c r="K489" s="21">
        <f t="shared" si="907"/>
        <v>0</v>
      </c>
      <c r="L489" s="21">
        <f t="shared" si="907"/>
        <v>0</v>
      </c>
      <c r="M489" s="21">
        <f>12</f>
        <v>12</v>
      </c>
      <c r="N489" s="21">
        <f>8</f>
        <v>8</v>
      </c>
      <c r="O489" s="21">
        <f t="shared" ref="O489:O490" si="910">0</f>
        <v>0</v>
      </c>
    </row>
    <row r="490">
      <c r="B490" s="20">
        <v>46241.0</v>
      </c>
      <c r="C490" s="21">
        <f>0</f>
        <v>0</v>
      </c>
      <c r="D490" s="21">
        <f>20.8</f>
        <v>20.8</v>
      </c>
      <c r="E490" s="21">
        <f t="shared" ref="E490:I490" si="908">0</f>
        <v>0</v>
      </c>
      <c r="F490" s="21">
        <f t="shared" si="908"/>
        <v>0</v>
      </c>
      <c r="G490" s="21">
        <f t="shared" si="908"/>
        <v>0</v>
      </c>
      <c r="H490" s="21">
        <f t="shared" si="908"/>
        <v>0</v>
      </c>
      <c r="I490" s="21">
        <f t="shared" si="908"/>
        <v>0</v>
      </c>
      <c r="J490" s="21">
        <f>20.8</f>
        <v>20.8</v>
      </c>
      <c r="K490" s="21">
        <f t="shared" ref="K490:M490" si="909">0</f>
        <v>0</v>
      </c>
      <c r="L490" s="21">
        <f t="shared" si="909"/>
        <v>0</v>
      </c>
      <c r="M490" s="21">
        <f t="shared" si="909"/>
        <v>0</v>
      </c>
      <c r="N490" s="21">
        <f>62.4</f>
        <v>62.4</v>
      </c>
      <c r="O490" s="21">
        <f t="shared" si="910"/>
        <v>0</v>
      </c>
    </row>
    <row r="491">
      <c r="B491" s="20">
        <v>46241.0</v>
      </c>
      <c r="C491" s="21">
        <f>4.2</f>
        <v>4.2</v>
      </c>
      <c r="D491" s="21">
        <f t="shared" ref="D491:F491" si="911">0</f>
        <v>0</v>
      </c>
      <c r="E491" s="21">
        <f t="shared" si="911"/>
        <v>0</v>
      </c>
      <c r="F491" s="21">
        <f t="shared" si="911"/>
        <v>0</v>
      </c>
      <c r="G491" s="21">
        <f>8.4</f>
        <v>8.4</v>
      </c>
      <c r="H491" s="21">
        <f t="shared" ref="H491:L491" si="912">0</f>
        <v>0</v>
      </c>
      <c r="I491" s="21">
        <f t="shared" si="912"/>
        <v>0</v>
      </c>
      <c r="J491" s="21">
        <f t="shared" si="912"/>
        <v>0</v>
      </c>
      <c r="K491" s="21">
        <f t="shared" si="912"/>
        <v>0</v>
      </c>
      <c r="L491" s="21">
        <f t="shared" si="912"/>
        <v>0</v>
      </c>
      <c r="M491" s="21">
        <f>8.4</f>
        <v>8.4</v>
      </c>
      <c r="N491" s="21">
        <f t="shared" ref="N491:O491" si="913">0</f>
        <v>0</v>
      </c>
      <c r="O491" s="21">
        <f t="shared" si="913"/>
        <v>0</v>
      </c>
    </row>
    <row r="492">
      <c r="B492" s="20">
        <v>46241.0</v>
      </c>
      <c r="C492" s="21">
        <f t="shared" ref="C492:F492" si="914">0</f>
        <v>0</v>
      </c>
      <c r="D492" s="21">
        <f t="shared" si="914"/>
        <v>0</v>
      </c>
      <c r="E492" s="21">
        <f t="shared" si="914"/>
        <v>0</v>
      </c>
      <c r="F492" s="21">
        <f t="shared" si="914"/>
        <v>0</v>
      </c>
      <c r="G492" s="21">
        <f>16.5</f>
        <v>16.5</v>
      </c>
      <c r="H492" s="21">
        <f>0</f>
        <v>0</v>
      </c>
      <c r="I492" s="21">
        <f>38.5</f>
        <v>38.5</v>
      </c>
      <c r="J492" s="21">
        <f t="shared" ref="J492:O492" si="915">0</f>
        <v>0</v>
      </c>
      <c r="K492" s="21">
        <f t="shared" si="915"/>
        <v>0</v>
      </c>
      <c r="L492" s="21">
        <f t="shared" si="915"/>
        <v>0</v>
      </c>
      <c r="M492" s="21">
        <f t="shared" si="915"/>
        <v>0</v>
      </c>
      <c r="N492" s="21">
        <f t="shared" si="915"/>
        <v>0</v>
      </c>
      <c r="O492" s="21">
        <f t="shared" si="915"/>
        <v>0</v>
      </c>
    </row>
    <row r="493">
      <c r="B493" s="20">
        <v>46241.0</v>
      </c>
      <c r="C493" s="21">
        <v>0.0</v>
      </c>
      <c r="D493" s="21">
        <v>0.0</v>
      </c>
      <c r="E493" s="21">
        <v>0.0</v>
      </c>
      <c r="F493" s="21">
        <v>0.0</v>
      </c>
      <c r="G493" s="21">
        <v>0.0</v>
      </c>
      <c r="H493" s="21">
        <v>0.0</v>
      </c>
      <c r="I493" s="21">
        <v>0.0</v>
      </c>
      <c r="J493" s="21">
        <v>0.0</v>
      </c>
      <c r="K493" s="21">
        <v>0.0</v>
      </c>
      <c r="L493" s="21">
        <v>0.0</v>
      </c>
      <c r="M493" s="21">
        <v>0.0</v>
      </c>
      <c r="N493" s="21">
        <v>0.0</v>
      </c>
      <c r="O493" s="21">
        <f>41</f>
        <v>41</v>
      </c>
    </row>
    <row r="494">
      <c r="B494" s="20">
        <v>46241.0</v>
      </c>
      <c r="C494" s="21">
        <f t="shared" ref="C494:F494" si="916">0</f>
        <v>0</v>
      </c>
      <c r="D494" s="21">
        <f t="shared" si="916"/>
        <v>0</v>
      </c>
      <c r="E494" s="21">
        <f t="shared" si="916"/>
        <v>0</v>
      </c>
      <c r="F494" s="21">
        <f t="shared" si="916"/>
        <v>0</v>
      </c>
      <c r="G494" s="21">
        <f>7.2</f>
        <v>7.2</v>
      </c>
      <c r="H494" s="21">
        <f>0</f>
        <v>0</v>
      </c>
      <c r="I494" s="21">
        <f>28.8</f>
        <v>28.8</v>
      </c>
      <c r="J494" s="21">
        <f t="shared" ref="J494:O494" si="917">0</f>
        <v>0</v>
      </c>
      <c r="K494" s="21">
        <f t="shared" si="917"/>
        <v>0</v>
      </c>
      <c r="L494" s="21">
        <f t="shared" si="917"/>
        <v>0</v>
      </c>
      <c r="M494" s="21">
        <f t="shared" si="917"/>
        <v>0</v>
      </c>
      <c r="N494" s="21">
        <f t="shared" si="917"/>
        <v>0</v>
      </c>
      <c r="O494" s="21">
        <f t="shared" si="917"/>
        <v>0</v>
      </c>
    </row>
    <row r="495">
      <c r="B495" s="20">
        <v>46241.0</v>
      </c>
      <c r="C495" s="21">
        <f>4.5</f>
        <v>4.5</v>
      </c>
      <c r="D495" s="21">
        <f t="shared" ref="D495:L495" si="918">0</f>
        <v>0</v>
      </c>
      <c r="E495" s="21">
        <f t="shared" si="918"/>
        <v>0</v>
      </c>
      <c r="F495" s="21">
        <f t="shared" si="918"/>
        <v>0</v>
      </c>
      <c r="G495" s="21">
        <f t="shared" si="918"/>
        <v>0</v>
      </c>
      <c r="H495" s="21">
        <f t="shared" si="918"/>
        <v>0</v>
      </c>
      <c r="I495" s="21">
        <f t="shared" si="918"/>
        <v>0</v>
      </c>
      <c r="J495" s="21">
        <f t="shared" si="918"/>
        <v>0</v>
      </c>
      <c r="K495" s="21">
        <f t="shared" si="918"/>
        <v>0</v>
      </c>
      <c r="L495" s="21">
        <f t="shared" si="918"/>
        <v>0</v>
      </c>
      <c r="M495" s="21">
        <f>9</f>
        <v>9</v>
      </c>
      <c r="N495" s="21">
        <f t="shared" ref="N495:N496" si="921">0</f>
        <v>0</v>
      </c>
      <c r="O495" s="21">
        <f>31.5</f>
        <v>31.5</v>
      </c>
    </row>
    <row r="496">
      <c r="B496" s="20">
        <v>46241.0</v>
      </c>
      <c r="C496" s="21">
        <f>4.8</f>
        <v>4.8</v>
      </c>
      <c r="D496" s="21">
        <f t="shared" ref="D496:F496" si="919">0</f>
        <v>0</v>
      </c>
      <c r="E496" s="21">
        <f t="shared" si="919"/>
        <v>0</v>
      </c>
      <c r="F496" s="21">
        <f t="shared" si="919"/>
        <v>0</v>
      </c>
      <c r="G496" s="21">
        <f>12</f>
        <v>12</v>
      </c>
      <c r="H496" s="21">
        <f t="shared" ref="H496:L496" si="920">0</f>
        <v>0</v>
      </c>
      <c r="I496" s="21">
        <f t="shared" si="920"/>
        <v>0</v>
      </c>
      <c r="J496" s="21">
        <f t="shared" si="920"/>
        <v>0</v>
      </c>
      <c r="K496" s="21">
        <f t="shared" si="920"/>
        <v>0</v>
      </c>
      <c r="L496" s="21">
        <f t="shared" si="920"/>
        <v>0</v>
      </c>
      <c r="M496" s="21">
        <f>7.2</f>
        <v>7.2</v>
      </c>
      <c r="N496" s="21">
        <f t="shared" si="921"/>
        <v>0</v>
      </c>
      <c r="O496" s="21">
        <f>0</f>
        <v>0</v>
      </c>
    </row>
    <row r="497">
      <c r="B497" s="20">
        <v>46241.0</v>
      </c>
      <c r="C497" s="21">
        <f>17</f>
        <v>17</v>
      </c>
      <c r="D497" s="21">
        <f t="shared" ref="D497:O497" si="922">0</f>
        <v>0</v>
      </c>
      <c r="E497" s="21">
        <f t="shared" si="922"/>
        <v>0</v>
      </c>
      <c r="F497" s="21">
        <f t="shared" si="922"/>
        <v>0</v>
      </c>
      <c r="G497" s="21">
        <f t="shared" si="922"/>
        <v>0</v>
      </c>
      <c r="H497" s="21">
        <f t="shared" si="922"/>
        <v>0</v>
      </c>
      <c r="I497" s="21">
        <f t="shared" si="922"/>
        <v>0</v>
      </c>
      <c r="J497" s="21">
        <f t="shared" si="922"/>
        <v>0</v>
      </c>
      <c r="K497" s="21">
        <f t="shared" si="922"/>
        <v>0</v>
      </c>
      <c r="L497" s="21">
        <f t="shared" si="922"/>
        <v>0</v>
      </c>
      <c r="M497" s="21">
        <f t="shared" si="922"/>
        <v>0</v>
      </c>
      <c r="N497" s="21">
        <f t="shared" si="922"/>
        <v>0</v>
      </c>
      <c r="O497" s="21">
        <f t="shared" si="922"/>
        <v>0</v>
      </c>
    </row>
    <row r="498">
      <c r="B498" s="20">
        <v>46241.0</v>
      </c>
      <c r="C498" s="21">
        <f>4</f>
        <v>4</v>
      </c>
      <c r="D498" s="21">
        <f t="shared" ref="D498:L498" si="923">0</f>
        <v>0</v>
      </c>
      <c r="E498" s="21">
        <f t="shared" si="923"/>
        <v>0</v>
      </c>
      <c r="F498" s="21">
        <f t="shared" si="923"/>
        <v>0</v>
      </c>
      <c r="G498" s="21">
        <f t="shared" si="923"/>
        <v>0</v>
      </c>
      <c r="H498" s="21">
        <f t="shared" si="923"/>
        <v>0</v>
      </c>
      <c r="I498" s="21">
        <f t="shared" si="923"/>
        <v>0</v>
      </c>
      <c r="J498" s="21">
        <f t="shared" si="923"/>
        <v>0</v>
      </c>
      <c r="K498" s="21">
        <f t="shared" si="923"/>
        <v>0</v>
      </c>
      <c r="L498" s="21">
        <f t="shared" si="923"/>
        <v>0</v>
      </c>
      <c r="M498" s="21">
        <f>6</f>
        <v>6</v>
      </c>
      <c r="N498" s="21">
        <f t="shared" ref="N498:O498" si="924">0</f>
        <v>0</v>
      </c>
      <c r="O498" s="21">
        <f t="shared" si="924"/>
        <v>0</v>
      </c>
    </row>
    <row r="499">
      <c r="B499" s="20">
        <v>46241.0</v>
      </c>
      <c r="C499" s="21">
        <f>2.3</f>
        <v>2.3</v>
      </c>
      <c r="D499" s="21">
        <f t="shared" ref="D499:H499" si="925">0</f>
        <v>0</v>
      </c>
      <c r="E499" s="21">
        <f t="shared" si="925"/>
        <v>0</v>
      </c>
      <c r="F499" s="21">
        <f t="shared" si="925"/>
        <v>0</v>
      </c>
      <c r="G499" s="21">
        <f t="shared" si="925"/>
        <v>0</v>
      </c>
      <c r="H499" s="21">
        <f t="shared" si="925"/>
        <v>0</v>
      </c>
      <c r="I499" s="21">
        <f>43.7</f>
        <v>43.7</v>
      </c>
      <c r="J499" s="21">
        <f t="shared" ref="J499:O499" si="926">0</f>
        <v>0</v>
      </c>
      <c r="K499" s="21">
        <f t="shared" si="926"/>
        <v>0</v>
      </c>
      <c r="L499" s="21">
        <f t="shared" si="926"/>
        <v>0</v>
      </c>
      <c r="M499" s="21">
        <f t="shared" si="926"/>
        <v>0</v>
      </c>
      <c r="N499" s="21">
        <f t="shared" si="926"/>
        <v>0</v>
      </c>
      <c r="O499" s="21">
        <f t="shared" si="926"/>
        <v>0</v>
      </c>
    </row>
    <row r="500">
      <c r="B500" s="20">
        <v>46241.0</v>
      </c>
      <c r="C500" s="21">
        <f>28</f>
        <v>28</v>
      </c>
      <c r="D500" s="21">
        <f t="shared" ref="D500:H500" si="927">0</f>
        <v>0</v>
      </c>
      <c r="E500" s="21">
        <f t="shared" si="927"/>
        <v>0</v>
      </c>
      <c r="F500" s="21">
        <f t="shared" si="927"/>
        <v>0</v>
      </c>
      <c r="G500" s="21">
        <f t="shared" si="927"/>
        <v>0</v>
      </c>
      <c r="H500" s="21">
        <f t="shared" si="927"/>
        <v>0</v>
      </c>
      <c r="I500" s="21">
        <f>28</f>
        <v>28</v>
      </c>
      <c r="J500" s="21">
        <f t="shared" ref="J500:O500" si="928">0</f>
        <v>0</v>
      </c>
      <c r="K500" s="21">
        <f t="shared" si="928"/>
        <v>0</v>
      </c>
      <c r="L500" s="21">
        <f t="shared" si="928"/>
        <v>0</v>
      </c>
      <c r="M500" s="21">
        <f t="shared" si="928"/>
        <v>0</v>
      </c>
      <c r="N500" s="21">
        <f t="shared" si="928"/>
        <v>0</v>
      </c>
      <c r="O500" s="21">
        <f t="shared" si="928"/>
        <v>0</v>
      </c>
    </row>
    <row r="501">
      <c r="B501" s="20">
        <v>46241.0</v>
      </c>
      <c r="C501" s="21">
        <f t="shared" ref="C501:F501" si="929">0</f>
        <v>0</v>
      </c>
      <c r="D501" s="21">
        <f t="shared" si="929"/>
        <v>0</v>
      </c>
      <c r="E501" s="21">
        <f t="shared" si="929"/>
        <v>0</v>
      </c>
      <c r="F501" s="21">
        <f t="shared" si="929"/>
        <v>0</v>
      </c>
      <c r="G501" s="21">
        <f>43.2</f>
        <v>43.2</v>
      </c>
      <c r="H501" s="21">
        <f t="shared" ref="H501:L501" si="930">0</f>
        <v>0</v>
      </c>
      <c r="I501" s="21">
        <f t="shared" si="930"/>
        <v>0</v>
      </c>
      <c r="J501" s="21">
        <f t="shared" si="930"/>
        <v>0</v>
      </c>
      <c r="K501" s="21">
        <f t="shared" si="930"/>
        <v>0</v>
      </c>
      <c r="L501" s="21">
        <f t="shared" si="930"/>
        <v>0</v>
      </c>
      <c r="M501" s="21">
        <f>28.8</f>
        <v>28.8</v>
      </c>
      <c r="N501" s="21">
        <f t="shared" ref="N501:O501" si="931">0</f>
        <v>0</v>
      </c>
      <c r="O501" s="21">
        <f t="shared" si="931"/>
        <v>0</v>
      </c>
    </row>
    <row r="502">
      <c r="B502" s="20">
        <v>46241.0</v>
      </c>
      <c r="C502" s="21">
        <f>20.5</f>
        <v>20.5</v>
      </c>
      <c r="D502" s="21">
        <f t="shared" ref="D502:L502" si="932">0</f>
        <v>0</v>
      </c>
      <c r="E502" s="21">
        <f t="shared" si="932"/>
        <v>0</v>
      </c>
      <c r="F502" s="21">
        <f t="shared" si="932"/>
        <v>0</v>
      </c>
      <c r="G502" s="21">
        <f t="shared" si="932"/>
        <v>0</v>
      </c>
      <c r="H502" s="21">
        <f t="shared" si="932"/>
        <v>0</v>
      </c>
      <c r="I502" s="21">
        <f t="shared" si="932"/>
        <v>0</v>
      </c>
      <c r="J502" s="21">
        <f t="shared" si="932"/>
        <v>0</v>
      </c>
      <c r="K502" s="21">
        <f t="shared" si="932"/>
        <v>0</v>
      </c>
      <c r="L502" s="21">
        <f t="shared" si="932"/>
        <v>0</v>
      </c>
      <c r="M502" s="21">
        <f>12.3</f>
        <v>12.3</v>
      </c>
      <c r="N502" s="21">
        <f t="shared" ref="N502:N503" si="935">0</f>
        <v>0</v>
      </c>
      <c r="O502" s="21">
        <f>8.2</f>
        <v>8.2</v>
      </c>
    </row>
    <row r="503">
      <c r="B503" s="20">
        <v>46241.0</v>
      </c>
      <c r="C503" s="21">
        <f t="shared" ref="C503:H503" si="933">0</f>
        <v>0</v>
      </c>
      <c r="D503" s="21">
        <f t="shared" si="933"/>
        <v>0</v>
      </c>
      <c r="E503" s="21">
        <f t="shared" si="933"/>
        <v>0</v>
      </c>
      <c r="F503" s="21">
        <f t="shared" si="933"/>
        <v>0</v>
      </c>
      <c r="G503" s="21">
        <f t="shared" si="933"/>
        <v>0</v>
      </c>
      <c r="H503" s="21">
        <f t="shared" si="933"/>
        <v>0</v>
      </c>
      <c r="I503" s="21">
        <f>23.5</f>
        <v>23.5</v>
      </c>
      <c r="J503" s="21">
        <f t="shared" ref="J503:L503" si="934">0</f>
        <v>0</v>
      </c>
      <c r="K503" s="21">
        <f t="shared" si="934"/>
        <v>0</v>
      </c>
      <c r="L503" s="21">
        <f t="shared" si="934"/>
        <v>0</v>
      </c>
      <c r="M503" s="21">
        <f>23.5</f>
        <v>23.5</v>
      </c>
      <c r="N503" s="21">
        <f t="shared" si="935"/>
        <v>0</v>
      </c>
      <c r="O503" s="21">
        <f>0</f>
        <v>0</v>
      </c>
    </row>
    <row r="504">
      <c r="B504" s="20">
        <v>46241.0</v>
      </c>
      <c r="C504" s="21">
        <f>15.4</f>
        <v>15.4</v>
      </c>
      <c r="D504" s="21">
        <f t="shared" ref="D504:H504" si="936">0</f>
        <v>0</v>
      </c>
      <c r="E504" s="21">
        <f t="shared" si="936"/>
        <v>0</v>
      </c>
      <c r="F504" s="21">
        <f t="shared" si="936"/>
        <v>0</v>
      </c>
      <c r="G504" s="21">
        <f t="shared" si="936"/>
        <v>0</v>
      </c>
      <c r="H504" s="21">
        <f t="shared" si="936"/>
        <v>0</v>
      </c>
      <c r="I504" s="21">
        <f>61.6</f>
        <v>61.6</v>
      </c>
      <c r="J504" s="21">
        <f t="shared" ref="J504:O504" si="937">0</f>
        <v>0</v>
      </c>
      <c r="K504" s="21">
        <f t="shared" si="937"/>
        <v>0</v>
      </c>
      <c r="L504" s="21">
        <f t="shared" si="937"/>
        <v>0</v>
      </c>
      <c r="M504" s="21">
        <f t="shared" si="937"/>
        <v>0</v>
      </c>
      <c r="N504" s="21">
        <f t="shared" si="937"/>
        <v>0</v>
      </c>
      <c r="O504" s="21">
        <f t="shared" si="937"/>
        <v>0</v>
      </c>
    </row>
    <row r="505">
      <c r="B505" s="20">
        <v>46241.0</v>
      </c>
      <c r="C505" s="21">
        <f t="shared" ref="C505:F505" si="938">0</f>
        <v>0</v>
      </c>
      <c r="D505" s="21">
        <f t="shared" si="938"/>
        <v>0</v>
      </c>
      <c r="E505" s="21">
        <f t="shared" si="938"/>
        <v>0</v>
      </c>
      <c r="F505" s="21">
        <f t="shared" si="938"/>
        <v>0</v>
      </c>
      <c r="G505" s="21">
        <f>4.6</f>
        <v>4.6</v>
      </c>
      <c r="H505" s="21">
        <f>0</f>
        <v>0</v>
      </c>
      <c r="I505" s="21">
        <f>18.4</f>
        <v>18.4</v>
      </c>
      <c r="J505" s="21">
        <f t="shared" ref="J505:O505" si="939">0</f>
        <v>0</v>
      </c>
      <c r="K505" s="21">
        <f t="shared" si="939"/>
        <v>0</v>
      </c>
      <c r="L505" s="21">
        <f t="shared" si="939"/>
        <v>0</v>
      </c>
      <c r="M505" s="21">
        <f t="shared" si="939"/>
        <v>0</v>
      </c>
      <c r="N505" s="21">
        <f t="shared" si="939"/>
        <v>0</v>
      </c>
      <c r="O505" s="21">
        <f t="shared" si="939"/>
        <v>0</v>
      </c>
    </row>
    <row r="506">
      <c r="B506" s="20">
        <v>46242.0</v>
      </c>
      <c r="C506" s="21">
        <f>4.4</f>
        <v>4.4</v>
      </c>
      <c r="D506" s="21">
        <f t="shared" ref="D506:L506" si="940">0</f>
        <v>0</v>
      </c>
      <c r="E506" s="21">
        <f t="shared" si="940"/>
        <v>0</v>
      </c>
      <c r="F506" s="21">
        <f t="shared" si="940"/>
        <v>0</v>
      </c>
      <c r="G506" s="21">
        <f t="shared" si="940"/>
        <v>0</v>
      </c>
      <c r="H506" s="21">
        <f t="shared" si="940"/>
        <v>0</v>
      </c>
      <c r="I506" s="21">
        <f t="shared" si="940"/>
        <v>0</v>
      </c>
      <c r="J506" s="21">
        <f t="shared" si="940"/>
        <v>0</v>
      </c>
      <c r="K506" s="21">
        <f t="shared" si="940"/>
        <v>0</v>
      </c>
      <c r="L506" s="21">
        <f t="shared" si="940"/>
        <v>0</v>
      </c>
      <c r="M506" s="21">
        <f>39.6</f>
        <v>39.6</v>
      </c>
      <c r="N506" s="21">
        <f t="shared" ref="N506:O506" si="941">0</f>
        <v>0</v>
      </c>
      <c r="O506" s="21">
        <f t="shared" si="941"/>
        <v>0</v>
      </c>
    </row>
    <row r="507">
      <c r="B507" s="20">
        <v>46242.0</v>
      </c>
      <c r="C507" s="21">
        <f t="shared" ref="C507:F507" si="942">0</f>
        <v>0</v>
      </c>
      <c r="D507" s="21">
        <f t="shared" si="942"/>
        <v>0</v>
      </c>
      <c r="E507" s="21">
        <f t="shared" si="942"/>
        <v>0</v>
      </c>
      <c r="F507" s="21">
        <f t="shared" si="942"/>
        <v>0</v>
      </c>
      <c r="G507" s="21">
        <f>40.6</f>
        <v>40.6</v>
      </c>
      <c r="H507" s="21">
        <f t="shared" ref="H507:L507" si="943">0</f>
        <v>0</v>
      </c>
      <c r="I507" s="21">
        <f t="shared" si="943"/>
        <v>0</v>
      </c>
      <c r="J507" s="21">
        <f t="shared" si="943"/>
        <v>0</v>
      </c>
      <c r="K507" s="21">
        <f t="shared" si="943"/>
        <v>0</v>
      </c>
      <c r="L507" s="21">
        <f t="shared" si="943"/>
        <v>0</v>
      </c>
      <c r="M507" s="21">
        <f>11.6</f>
        <v>11.6</v>
      </c>
      <c r="N507" s="21">
        <f t="shared" ref="N507:N509" si="945">0</f>
        <v>0</v>
      </c>
      <c r="O507" s="21">
        <f>5.8</f>
        <v>5.8</v>
      </c>
    </row>
    <row r="508">
      <c r="B508" s="20">
        <v>46242.0</v>
      </c>
      <c r="C508" s="21">
        <f>23.8</f>
        <v>23.8</v>
      </c>
      <c r="D508" s="21">
        <f t="shared" ref="D508:L508" si="944">0</f>
        <v>0</v>
      </c>
      <c r="E508" s="21">
        <f t="shared" si="944"/>
        <v>0</v>
      </c>
      <c r="F508" s="21">
        <f t="shared" si="944"/>
        <v>0</v>
      </c>
      <c r="G508" s="21">
        <f t="shared" si="944"/>
        <v>0</v>
      </c>
      <c r="H508" s="21">
        <f t="shared" si="944"/>
        <v>0</v>
      </c>
      <c r="I508" s="21">
        <f t="shared" si="944"/>
        <v>0</v>
      </c>
      <c r="J508" s="21">
        <f t="shared" si="944"/>
        <v>0</v>
      </c>
      <c r="K508" s="21">
        <f t="shared" si="944"/>
        <v>0</v>
      </c>
      <c r="L508" s="21">
        <f t="shared" si="944"/>
        <v>0</v>
      </c>
      <c r="M508" s="21">
        <f t="shared" ref="M508:M509" si="947">10.2</f>
        <v>10.2</v>
      </c>
      <c r="N508" s="21">
        <f t="shared" si="945"/>
        <v>0</v>
      </c>
      <c r="O508" s="21">
        <f>0</f>
        <v>0</v>
      </c>
    </row>
    <row r="509">
      <c r="B509" s="20">
        <v>46242.0</v>
      </c>
      <c r="C509" s="21">
        <f>13.6</f>
        <v>13.6</v>
      </c>
      <c r="D509" s="21">
        <f t="shared" ref="D509:L509" si="946">0</f>
        <v>0</v>
      </c>
      <c r="E509" s="21">
        <f t="shared" si="946"/>
        <v>0</v>
      </c>
      <c r="F509" s="21">
        <f t="shared" si="946"/>
        <v>0</v>
      </c>
      <c r="G509" s="21">
        <f t="shared" si="946"/>
        <v>0</v>
      </c>
      <c r="H509" s="21">
        <f t="shared" si="946"/>
        <v>0</v>
      </c>
      <c r="I509" s="21">
        <f t="shared" si="946"/>
        <v>0</v>
      </c>
      <c r="J509" s="21">
        <f t="shared" si="946"/>
        <v>0</v>
      </c>
      <c r="K509" s="21">
        <f t="shared" si="946"/>
        <v>0</v>
      </c>
      <c r="L509" s="21">
        <f t="shared" si="946"/>
        <v>0</v>
      </c>
      <c r="M509" s="21">
        <f t="shared" si="947"/>
        <v>10.2</v>
      </c>
      <c r="N509" s="21">
        <f t="shared" si="945"/>
        <v>0</v>
      </c>
      <c r="O509" s="21">
        <f>10.2</f>
        <v>10.2</v>
      </c>
    </row>
    <row r="510">
      <c r="B510" s="20">
        <v>46242.0</v>
      </c>
      <c r="C510" s="21">
        <f t="shared" ref="C510:I510" si="948">0</f>
        <v>0</v>
      </c>
      <c r="D510" s="21">
        <f t="shared" si="948"/>
        <v>0</v>
      </c>
      <c r="E510" s="21">
        <f t="shared" si="948"/>
        <v>0</v>
      </c>
      <c r="F510" s="21">
        <f t="shared" si="948"/>
        <v>0</v>
      </c>
      <c r="G510" s="21">
        <f t="shared" si="948"/>
        <v>0</v>
      </c>
      <c r="H510" s="21">
        <f t="shared" si="948"/>
        <v>0</v>
      </c>
      <c r="I510" s="21">
        <f t="shared" si="948"/>
        <v>0</v>
      </c>
      <c r="J510" s="21">
        <f>88</f>
        <v>88</v>
      </c>
      <c r="K510" s="21">
        <f t="shared" ref="K510:O510" si="949">0</f>
        <v>0</v>
      </c>
      <c r="L510" s="21">
        <f t="shared" si="949"/>
        <v>0</v>
      </c>
      <c r="M510" s="21">
        <f t="shared" si="949"/>
        <v>0</v>
      </c>
      <c r="N510" s="21">
        <f t="shared" si="949"/>
        <v>0</v>
      </c>
      <c r="O510" s="21">
        <f t="shared" si="949"/>
        <v>0</v>
      </c>
    </row>
    <row r="511">
      <c r="B511" s="20">
        <v>46242.0</v>
      </c>
      <c r="C511" s="21">
        <f t="shared" ref="C511:L511" si="950">0</f>
        <v>0</v>
      </c>
      <c r="D511" s="21">
        <f t="shared" si="950"/>
        <v>0</v>
      </c>
      <c r="E511" s="21">
        <f t="shared" si="950"/>
        <v>0</v>
      </c>
      <c r="F511" s="21">
        <f t="shared" si="950"/>
        <v>0</v>
      </c>
      <c r="G511" s="21">
        <f t="shared" si="950"/>
        <v>0</v>
      </c>
      <c r="H511" s="21">
        <f t="shared" si="950"/>
        <v>0</v>
      </c>
      <c r="I511" s="21">
        <f t="shared" si="950"/>
        <v>0</v>
      </c>
      <c r="J511" s="21">
        <f t="shared" si="950"/>
        <v>0</v>
      </c>
      <c r="K511" s="21">
        <f t="shared" si="950"/>
        <v>0</v>
      </c>
      <c r="L511" s="21">
        <f t="shared" si="950"/>
        <v>0</v>
      </c>
      <c r="M511" s="21">
        <f>14</f>
        <v>14</v>
      </c>
      <c r="N511" s="21">
        <f t="shared" ref="N511:O511" si="951">0</f>
        <v>0</v>
      </c>
      <c r="O511" s="21">
        <f t="shared" si="951"/>
        <v>0</v>
      </c>
    </row>
    <row r="512">
      <c r="B512" s="20">
        <v>46242.0</v>
      </c>
      <c r="C512" s="21">
        <f t="shared" ref="C512:E512" si="952">0</f>
        <v>0</v>
      </c>
      <c r="D512" s="21">
        <f t="shared" si="952"/>
        <v>0</v>
      </c>
      <c r="E512" s="21">
        <f t="shared" si="952"/>
        <v>0</v>
      </c>
      <c r="F512" s="21">
        <f>6.1</f>
        <v>6.1</v>
      </c>
      <c r="G512" s="21">
        <f t="shared" ref="G512:L512" si="953">0</f>
        <v>0</v>
      </c>
      <c r="H512" s="21">
        <f t="shared" si="953"/>
        <v>0</v>
      </c>
      <c r="I512" s="21">
        <f t="shared" si="953"/>
        <v>0</v>
      </c>
      <c r="J512" s="21">
        <f t="shared" si="953"/>
        <v>0</v>
      </c>
      <c r="K512" s="21">
        <f t="shared" si="953"/>
        <v>0</v>
      </c>
      <c r="L512" s="21">
        <f t="shared" si="953"/>
        <v>0</v>
      </c>
      <c r="M512" s="21">
        <f>54.9</f>
        <v>54.9</v>
      </c>
      <c r="N512" s="21">
        <f t="shared" ref="N512:O512" si="954">0</f>
        <v>0</v>
      </c>
      <c r="O512" s="21">
        <f t="shared" si="954"/>
        <v>0</v>
      </c>
    </row>
    <row r="513">
      <c r="B513" s="20">
        <v>46242.0</v>
      </c>
      <c r="C513" s="21">
        <f>38</f>
        <v>38</v>
      </c>
      <c r="D513" s="21">
        <f t="shared" ref="D513:J513" si="955">0</f>
        <v>0</v>
      </c>
      <c r="E513" s="21">
        <f t="shared" si="955"/>
        <v>0</v>
      </c>
      <c r="F513" s="21">
        <f t="shared" si="955"/>
        <v>0</v>
      </c>
      <c r="G513" s="21">
        <f t="shared" si="955"/>
        <v>0</v>
      </c>
      <c r="H513" s="21">
        <f t="shared" si="955"/>
        <v>0</v>
      </c>
      <c r="I513" s="21">
        <f t="shared" si="955"/>
        <v>0</v>
      </c>
      <c r="J513" s="21">
        <f t="shared" si="955"/>
        <v>0</v>
      </c>
      <c r="K513" s="21">
        <f>38</f>
        <v>38</v>
      </c>
      <c r="L513" s="21">
        <f t="shared" ref="L513:O513" si="956">0</f>
        <v>0</v>
      </c>
      <c r="M513" s="21">
        <f t="shared" si="956"/>
        <v>0</v>
      </c>
      <c r="N513" s="21">
        <f t="shared" si="956"/>
        <v>0</v>
      </c>
      <c r="O513" s="21">
        <f t="shared" si="956"/>
        <v>0</v>
      </c>
    </row>
    <row r="514">
      <c r="B514" s="20">
        <v>46242.0</v>
      </c>
      <c r="C514" s="21">
        <v>0.0</v>
      </c>
      <c r="D514" s="21">
        <v>0.0</v>
      </c>
      <c r="E514" s="21">
        <v>0.0</v>
      </c>
      <c r="F514" s="21">
        <v>0.0</v>
      </c>
      <c r="G514" s="21">
        <v>0.0</v>
      </c>
      <c r="H514" s="21">
        <v>0.0</v>
      </c>
      <c r="I514" s="21">
        <f>45</f>
        <v>45</v>
      </c>
      <c r="J514" s="21">
        <v>0.0</v>
      </c>
      <c r="K514" s="21">
        <v>0.0</v>
      </c>
      <c r="L514" s="21">
        <v>0.0</v>
      </c>
      <c r="M514" s="21">
        <v>0.0</v>
      </c>
      <c r="N514" s="21">
        <v>0.0</v>
      </c>
      <c r="O514" s="21">
        <v>0.0</v>
      </c>
    </row>
    <row r="515">
      <c r="B515" s="20">
        <v>46242.0</v>
      </c>
      <c r="C515" s="21">
        <f>17</f>
        <v>17</v>
      </c>
      <c r="D515" s="21">
        <f t="shared" ref="D515:F515" si="957">0</f>
        <v>0</v>
      </c>
      <c r="E515" s="21">
        <f t="shared" si="957"/>
        <v>0</v>
      </c>
      <c r="F515" s="21">
        <f t="shared" si="957"/>
        <v>0</v>
      </c>
      <c r="G515" s="21">
        <f>17</f>
        <v>17</v>
      </c>
      <c r="H515" s="21">
        <f t="shared" ref="H515:O515" si="958">0</f>
        <v>0</v>
      </c>
      <c r="I515" s="21">
        <f t="shared" si="958"/>
        <v>0</v>
      </c>
      <c r="J515" s="21">
        <f t="shared" si="958"/>
        <v>0</v>
      </c>
      <c r="K515" s="21">
        <f t="shared" si="958"/>
        <v>0</v>
      </c>
      <c r="L515" s="21">
        <f t="shared" si="958"/>
        <v>0</v>
      </c>
      <c r="M515" s="21">
        <f t="shared" si="958"/>
        <v>0</v>
      </c>
      <c r="N515" s="21">
        <f t="shared" si="958"/>
        <v>0</v>
      </c>
      <c r="O515" s="21">
        <f t="shared" si="958"/>
        <v>0</v>
      </c>
    </row>
    <row r="516">
      <c r="B516" s="20">
        <v>46242.0</v>
      </c>
      <c r="C516" s="21">
        <v>0.0</v>
      </c>
      <c r="D516" s="21">
        <v>0.0</v>
      </c>
      <c r="E516" s="21">
        <v>0.0</v>
      </c>
      <c r="F516" s="21">
        <v>0.0</v>
      </c>
      <c r="G516" s="21">
        <v>0.0</v>
      </c>
      <c r="H516" s="21">
        <v>0.0</v>
      </c>
      <c r="I516" s="21">
        <f>27</f>
        <v>27</v>
      </c>
      <c r="J516" s="21">
        <v>0.0</v>
      </c>
      <c r="K516" s="21">
        <v>0.0</v>
      </c>
      <c r="L516" s="21">
        <v>0.0</v>
      </c>
      <c r="M516" s="21">
        <v>0.0</v>
      </c>
      <c r="N516" s="21">
        <v>0.0</v>
      </c>
      <c r="O516" s="21">
        <v>0.0</v>
      </c>
    </row>
    <row r="517">
      <c r="B517" s="20">
        <v>46242.0</v>
      </c>
      <c r="C517" s="21">
        <f>124</f>
        <v>124</v>
      </c>
      <c r="D517" s="21">
        <f t="shared" ref="D517:O517" si="959">0</f>
        <v>0</v>
      </c>
      <c r="E517" s="21">
        <f t="shared" si="959"/>
        <v>0</v>
      </c>
      <c r="F517" s="21">
        <f t="shared" si="959"/>
        <v>0</v>
      </c>
      <c r="G517" s="21">
        <f t="shared" si="959"/>
        <v>0</v>
      </c>
      <c r="H517" s="21">
        <f t="shared" si="959"/>
        <v>0</v>
      </c>
      <c r="I517" s="21">
        <f t="shared" si="959"/>
        <v>0</v>
      </c>
      <c r="J517" s="21">
        <f t="shared" si="959"/>
        <v>0</v>
      </c>
      <c r="K517" s="21">
        <f t="shared" si="959"/>
        <v>0</v>
      </c>
      <c r="L517" s="21">
        <f t="shared" si="959"/>
        <v>0</v>
      </c>
      <c r="M517" s="21">
        <f t="shared" si="959"/>
        <v>0</v>
      </c>
      <c r="N517" s="21">
        <f t="shared" si="959"/>
        <v>0</v>
      </c>
      <c r="O517" s="21">
        <f t="shared" si="959"/>
        <v>0</v>
      </c>
    </row>
    <row r="518">
      <c r="B518" s="20">
        <v>46243.0</v>
      </c>
      <c r="C518" s="21">
        <v>0.0</v>
      </c>
      <c r="D518" s="21">
        <v>0.0</v>
      </c>
      <c r="E518" s="21">
        <v>0.0</v>
      </c>
      <c r="F518" s="21">
        <v>0.0</v>
      </c>
      <c r="G518" s="21">
        <v>0.0</v>
      </c>
      <c r="H518" s="21">
        <v>0.0</v>
      </c>
      <c r="I518" s="21">
        <v>0.0</v>
      </c>
      <c r="J518" s="21">
        <v>0.0</v>
      </c>
      <c r="K518" s="21">
        <v>0.0</v>
      </c>
      <c r="L518" s="21">
        <v>0.0</v>
      </c>
      <c r="M518" s="21">
        <v>0.0</v>
      </c>
      <c r="N518" s="21">
        <v>0.0</v>
      </c>
      <c r="O518" s="21">
        <f>32</f>
        <v>32</v>
      </c>
    </row>
    <row r="519">
      <c r="B519" s="20">
        <v>46243.0</v>
      </c>
      <c r="C519" s="21">
        <f t="shared" ref="C519:L519" si="960">0</f>
        <v>0</v>
      </c>
      <c r="D519" s="21">
        <f t="shared" si="960"/>
        <v>0</v>
      </c>
      <c r="E519" s="21">
        <f t="shared" si="960"/>
        <v>0</v>
      </c>
      <c r="F519" s="21">
        <f t="shared" si="960"/>
        <v>0</v>
      </c>
      <c r="G519" s="21">
        <f t="shared" si="960"/>
        <v>0</v>
      </c>
      <c r="H519" s="21">
        <f t="shared" si="960"/>
        <v>0</v>
      </c>
      <c r="I519" s="21">
        <f t="shared" si="960"/>
        <v>0</v>
      </c>
      <c r="J519" s="21">
        <f t="shared" si="960"/>
        <v>0</v>
      </c>
      <c r="K519" s="21">
        <f t="shared" si="960"/>
        <v>0</v>
      </c>
      <c r="L519" s="21">
        <f t="shared" si="960"/>
        <v>0</v>
      </c>
      <c r="M519" s="21">
        <f>31</f>
        <v>31</v>
      </c>
      <c r="N519" s="21">
        <f t="shared" ref="N519:O519" si="961">0</f>
        <v>0</v>
      </c>
      <c r="O519" s="21">
        <f t="shared" si="961"/>
        <v>0</v>
      </c>
    </row>
    <row r="520">
      <c r="B520" s="20">
        <v>46243.0</v>
      </c>
      <c r="C520" s="21">
        <f t="shared" ref="C520:L520" si="962">0</f>
        <v>0</v>
      </c>
      <c r="D520" s="21">
        <f t="shared" si="962"/>
        <v>0</v>
      </c>
      <c r="E520" s="21">
        <f t="shared" si="962"/>
        <v>0</v>
      </c>
      <c r="F520" s="21">
        <f t="shared" si="962"/>
        <v>0</v>
      </c>
      <c r="G520" s="21">
        <f t="shared" si="962"/>
        <v>0</v>
      </c>
      <c r="H520" s="21">
        <f t="shared" si="962"/>
        <v>0</v>
      </c>
      <c r="I520" s="21">
        <f t="shared" si="962"/>
        <v>0</v>
      </c>
      <c r="J520" s="21">
        <f t="shared" si="962"/>
        <v>0</v>
      </c>
      <c r="K520" s="21">
        <f t="shared" si="962"/>
        <v>0</v>
      </c>
      <c r="L520" s="21">
        <f t="shared" si="962"/>
        <v>0</v>
      </c>
      <c r="M520" s="21">
        <f>34</f>
        <v>34</v>
      </c>
      <c r="N520" s="21">
        <f t="shared" ref="N520:O520" si="963">0</f>
        <v>0</v>
      </c>
      <c r="O520" s="21">
        <f t="shared" si="963"/>
        <v>0</v>
      </c>
    </row>
    <row r="521">
      <c r="B521" s="20">
        <v>46243.0</v>
      </c>
      <c r="C521" s="21">
        <f>52</f>
        <v>52</v>
      </c>
      <c r="D521" s="21">
        <f t="shared" ref="D521:H521" si="964">0</f>
        <v>0</v>
      </c>
      <c r="E521" s="21">
        <f t="shared" si="964"/>
        <v>0</v>
      </c>
      <c r="F521" s="21">
        <f t="shared" si="964"/>
        <v>0</v>
      </c>
      <c r="G521" s="21">
        <f t="shared" si="964"/>
        <v>0</v>
      </c>
      <c r="H521" s="21">
        <f t="shared" si="964"/>
        <v>0</v>
      </c>
      <c r="I521" s="21">
        <f>13</f>
        <v>13</v>
      </c>
      <c r="J521" s="21">
        <f t="shared" ref="J521:O521" si="965">0</f>
        <v>0</v>
      </c>
      <c r="K521" s="21">
        <f t="shared" si="965"/>
        <v>0</v>
      </c>
      <c r="L521" s="21">
        <f t="shared" si="965"/>
        <v>0</v>
      </c>
      <c r="M521" s="21">
        <f t="shared" si="965"/>
        <v>0</v>
      </c>
      <c r="N521" s="21">
        <f t="shared" si="965"/>
        <v>0</v>
      </c>
      <c r="O521" s="21">
        <f t="shared" si="965"/>
        <v>0</v>
      </c>
    </row>
    <row r="522">
      <c r="B522" s="20">
        <v>46243.0</v>
      </c>
      <c r="C522" s="21">
        <f>8.4</f>
        <v>8.4</v>
      </c>
      <c r="D522" s="21">
        <f t="shared" ref="D522:L522" si="966">0</f>
        <v>0</v>
      </c>
      <c r="E522" s="21">
        <f t="shared" si="966"/>
        <v>0</v>
      </c>
      <c r="F522" s="21">
        <f t="shared" si="966"/>
        <v>0</v>
      </c>
      <c r="G522" s="21">
        <f t="shared" si="966"/>
        <v>0</v>
      </c>
      <c r="H522" s="21">
        <f t="shared" si="966"/>
        <v>0</v>
      </c>
      <c r="I522" s="21">
        <f t="shared" si="966"/>
        <v>0</v>
      </c>
      <c r="J522" s="21">
        <f t="shared" si="966"/>
        <v>0</v>
      </c>
      <c r="K522" s="21">
        <f t="shared" si="966"/>
        <v>0</v>
      </c>
      <c r="L522" s="21">
        <f t="shared" si="966"/>
        <v>0</v>
      </c>
      <c r="M522" s="21">
        <f>33.6</f>
        <v>33.6</v>
      </c>
      <c r="N522" s="21">
        <f t="shared" ref="N522:O522" si="967">0</f>
        <v>0</v>
      </c>
      <c r="O522" s="21">
        <f t="shared" si="967"/>
        <v>0</v>
      </c>
    </row>
    <row r="523">
      <c r="B523" s="20">
        <v>46243.0</v>
      </c>
      <c r="C523" s="21">
        <f>9.2</f>
        <v>9.2</v>
      </c>
      <c r="D523" s="21">
        <f t="shared" ref="D523:N523" si="968">0</f>
        <v>0</v>
      </c>
      <c r="E523" s="21">
        <f t="shared" si="968"/>
        <v>0</v>
      </c>
      <c r="F523" s="21">
        <f t="shared" si="968"/>
        <v>0</v>
      </c>
      <c r="G523" s="21">
        <f t="shared" si="968"/>
        <v>0</v>
      </c>
      <c r="H523" s="21">
        <f t="shared" si="968"/>
        <v>0</v>
      </c>
      <c r="I523" s="21">
        <f t="shared" si="968"/>
        <v>0</v>
      </c>
      <c r="J523" s="21">
        <f t="shared" si="968"/>
        <v>0</v>
      </c>
      <c r="K523" s="21">
        <f t="shared" si="968"/>
        <v>0</v>
      </c>
      <c r="L523" s="21">
        <f t="shared" si="968"/>
        <v>0</v>
      </c>
      <c r="M523" s="21">
        <f t="shared" si="968"/>
        <v>0</v>
      </c>
      <c r="N523" s="21">
        <f t="shared" si="968"/>
        <v>0</v>
      </c>
      <c r="O523" s="21">
        <f>36.8</f>
        <v>36.8</v>
      </c>
    </row>
    <row r="524">
      <c r="B524" s="20">
        <v>46243.0</v>
      </c>
      <c r="C524" s="21">
        <f t="shared" ref="C524:E524" si="969">0</f>
        <v>0</v>
      </c>
      <c r="D524" s="21">
        <f t="shared" si="969"/>
        <v>0</v>
      </c>
      <c r="E524" s="21">
        <f t="shared" si="969"/>
        <v>0</v>
      </c>
      <c r="F524" s="21">
        <f>13.2</f>
        <v>13.2</v>
      </c>
      <c r="G524" s="21">
        <f>8.8</f>
        <v>8.8</v>
      </c>
      <c r="H524" s="21">
        <f t="shared" ref="H524:L524" si="970">0</f>
        <v>0</v>
      </c>
      <c r="I524" s="21">
        <f t="shared" si="970"/>
        <v>0</v>
      </c>
      <c r="J524" s="21">
        <f t="shared" si="970"/>
        <v>0</v>
      </c>
      <c r="K524" s="21">
        <f t="shared" si="970"/>
        <v>0</v>
      </c>
      <c r="L524" s="21">
        <f t="shared" si="970"/>
        <v>0</v>
      </c>
      <c r="M524" s="21">
        <f>13.2</f>
        <v>13.2</v>
      </c>
      <c r="N524" s="21">
        <f>0</f>
        <v>0</v>
      </c>
      <c r="O524" s="21">
        <f>8.8</f>
        <v>8.8</v>
      </c>
    </row>
    <row r="525">
      <c r="B525" s="20">
        <v>46243.0</v>
      </c>
      <c r="C525" s="21">
        <f>8</f>
        <v>8</v>
      </c>
      <c r="D525" s="21">
        <f t="shared" ref="D525:H525" si="971">0</f>
        <v>0</v>
      </c>
      <c r="E525" s="21">
        <f t="shared" si="971"/>
        <v>0</v>
      </c>
      <c r="F525" s="21">
        <f t="shared" si="971"/>
        <v>0</v>
      </c>
      <c r="G525" s="21">
        <f t="shared" si="971"/>
        <v>0</v>
      </c>
      <c r="H525" s="21">
        <f t="shared" si="971"/>
        <v>0</v>
      </c>
      <c r="I525" s="21">
        <f>8</f>
        <v>8</v>
      </c>
      <c r="J525" s="21">
        <f t="shared" ref="J525:O525" si="972">0</f>
        <v>0</v>
      </c>
      <c r="K525" s="21">
        <f t="shared" si="972"/>
        <v>0</v>
      </c>
      <c r="L525" s="21">
        <f t="shared" si="972"/>
        <v>0</v>
      </c>
      <c r="M525" s="21">
        <f t="shared" si="972"/>
        <v>0</v>
      </c>
      <c r="N525" s="21">
        <f t="shared" si="972"/>
        <v>0</v>
      </c>
      <c r="O525" s="21">
        <f t="shared" si="972"/>
        <v>0</v>
      </c>
    </row>
    <row r="526">
      <c r="B526" s="20">
        <v>46243.0</v>
      </c>
      <c r="C526" s="21">
        <f t="shared" ref="C526:F526" si="973">0</f>
        <v>0</v>
      </c>
      <c r="D526" s="21">
        <f t="shared" si="973"/>
        <v>0</v>
      </c>
      <c r="E526" s="21">
        <f t="shared" si="973"/>
        <v>0</v>
      </c>
      <c r="F526" s="21">
        <f t="shared" si="973"/>
        <v>0</v>
      </c>
      <c r="G526" s="21">
        <f>9</f>
        <v>9</v>
      </c>
      <c r="H526" s="21">
        <f t="shared" ref="H526:H527" si="976">0</f>
        <v>0</v>
      </c>
      <c r="I526" s="21">
        <f>9</f>
        <v>9</v>
      </c>
      <c r="J526" s="21">
        <f t="shared" ref="J526:L526" si="974">0</f>
        <v>0</v>
      </c>
      <c r="K526" s="21">
        <f t="shared" si="974"/>
        <v>0</v>
      </c>
      <c r="L526" s="21">
        <f t="shared" si="974"/>
        <v>0</v>
      </c>
      <c r="M526" s="21">
        <f>18</f>
        <v>18</v>
      </c>
      <c r="N526" s="21">
        <f>9</f>
        <v>9</v>
      </c>
      <c r="O526" s="21">
        <f>0</f>
        <v>0</v>
      </c>
    </row>
    <row r="527">
      <c r="B527" s="20">
        <v>46243.0</v>
      </c>
      <c r="C527" s="21">
        <f t="shared" ref="C527:E527" si="975">0</f>
        <v>0</v>
      </c>
      <c r="D527" s="21">
        <f t="shared" si="975"/>
        <v>0</v>
      </c>
      <c r="E527" s="21">
        <f t="shared" si="975"/>
        <v>0</v>
      </c>
      <c r="F527" s="21">
        <f>10.15</f>
        <v>10.15</v>
      </c>
      <c r="G527" s="21">
        <f>5.8</f>
        <v>5.8</v>
      </c>
      <c r="H527" s="21">
        <f t="shared" si="976"/>
        <v>0</v>
      </c>
      <c r="I527" s="21">
        <f>1.45</f>
        <v>1.45</v>
      </c>
      <c r="J527" s="21">
        <f t="shared" ref="J527:N527" si="977">0</f>
        <v>0</v>
      </c>
      <c r="K527" s="21">
        <f t="shared" si="977"/>
        <v>0</v>
      </c>
      <c r="L527" s="21">
        <f t="shared" si="977"/>
        <v>0</v>
      </c>
      <c r="M527" s="21">
        <f t="shared" si="977"/>
        <v>0</v>
      </c>
      <c r="N527" s="21">
        <f t="shared" si="977"/>
        <v>0</v>
      </c>
      <c r="O527" s="21">
        <f>11.6</f>
        <v>11.6</v>
      </c>
    </row>
    <row r="528">
      <c r="B528" s="20">
        <v>46243.0</v>
      </c>
      <c r="C528" s="21">
        <f t="shared" ref="C528:C529" si="979">0</f>
        <v>0</v>
      </c>
      <c r="D528" s="21">
        <f>1.6</f>
        <v>1.6</v>
      </c>
      <c r="E528" s="21">
        <f>0</f>
        <v>0</v>
      </c>
      <c r="F528" s="21">
        <f>3.2</f>
        <v>3.2</v>
      </c>
      <c r="G528" s="21">
        <f t="shared" ref="G528:L528" si="978">0</f>
        <v>0</v>
      </c>
      <c r="H528" s="21">
        <f t="shared" si="978"/>
        <v>0</v>
      </c>
      <c r="I528" s="21">
        <f t="shared" si="978"/>
        <v>0</v>
      </c>
      <c r="J528" s="21">
        <f t="shared" si="978"/>
        <v>0</v>
      </c>
      <c r="K528" s="21">
        <f t="shared" si="978"/>
        <v>0</v>
      </c>
      <c r="L528" s="21">
        <f t="shared" si="978"/>
        <v>0</v>
      </c>
      <c r="M528" s="21">
        <f>12.8</f>
        <v>12.8</v>
      </c>
      <c r="N528" s="21">
        <f t="shared" ref="N528:N529" si="982">0</f>
        <v>0</v>
      </c>
      <c r="O528" s="21">
        <f>14.4</f>
        <v>14.4</v>
      </c>
    </row>
    <row r="529">
      <c r="B529" s="20">
        <v>46243.0</v>
      </c>
      <c r="C529" s="21">
        <f t="shared" si="979"/>
        <v>0</v>
      </c>
      <c r="D529" s="21">
        <f t="shared" ref="D529:E529" si="980">0</f>
        <v>0</v>
      </c>
      <c r="E529" s="21">
        <f t="shared" si="980"/>
        <v>0</v>
      </c>
      <c r="F529" s="21">
        <f>18</f>
        <v>18</v>
      </c>
      <c r="G529" s="21">
        <f t="shared" ref="G529:L529" si="981">0</f>
        <v>0</v>
      </c>
      <c r="H529" s="21">
        <f t="shared" si="981"/>
        <v>0</v>
      </c>
      <c r="I529" s="21">
        <f t="shared" si="981"/>
        <v>0</v>
      </c>
      <c r="J529" s="21">
        <f t="shared" si="981"/>
        <v>0</v>
      </c>
      <c r="K529" s="21">
        <f t="shared" si="981"/>
        <v>0</v>
      </c>
      <c r="L529" s="21">
        <f t="shared" si="981"/>
        <v>0</v>
      </c>
      <c r="M529" s="21">
        <f>14.4</f>
        <v>14.4</v>
      </c>
      <c r="N529" s="21">
        <f t="shared" si="982"/>
        <v>0</v>
      </c>
      <c r="O529" s="21">
        <f>3.6</f>
        <v>3.6</v>
      </c>
    </row>
    <row r="530">
      <c r="B530" s="20">
        <v>46243.0</v>
      </c>
      <c r="C530" s="21">
        <f>10</f>
        <v>10</v>
      </c>
      <c r="D530" s="21">
        <f t="shared" ref="D530:H530" si="983">0</f>
        <v>0</v>
      </c>
      <c r="E530" s="21">
        <f t="shared" si="983"/>
        <v>0</v>
      </c>
      <c r="F530" s="21">
        <f t="shared" si="983"/>
        <v>0</v>
      </c>
      <c r="G530" s="21">
        <f t="shared" si="983"/>
        <v>0</v>
      </c>
      <c r="H530" s="21">
        <f t="shared" si="983"/>
        <v>0</v>
      </c>
      <c r="I530" s="21">
        <f>10</f>
        <v>10</v>
      </c>
      <c r="J530" s="21">
        <f t="shared" ref="J530:O530" si="984">0</f>
        <v>0</v>
      </c>
      <c r="K530" s="21">
        <f t="shared" si="984"/>
        <v>0</v>
      </c>
      <c r="L530" s="21">
        <f t="shared" si="984"/>
        <v>0</v>
      </c>
      <c r="M530" s="21">
        <f t="shared" si="984"/>
        <v>0</v>
      </c>
      <c r="N530" s="21">
        <f t="shared" si="984"/>
        <v>0</v>
      </c>
      <c r="O530" s="21">
        <f t="shared" si="984"/>
        <v>0</v>
      </c>
    </row>
    <row r="531">
      <c r="B531" s="20">
        <v>46243.0</v>
      </c>
      <c r="C531" s="21">
        <f>13</f>
        <v>13</v>
      </c>
      <c r="D531" s="21">
        <f t="shared" ref="D531:H531" si="985">0</f>
        <v>0</v>
      </c>
      <c r="E531" s="21">
        <f t="shared" si="985"/>
        <v>0</v>
      </c>
      <c r="F531" s="21">
        <f t="shared" si="985"/>
        <v>0</v>
      </c>
      <c r="G531" s="21">
        <f t="shared" si="985"/>
        <v>0</v>
      </c>
      <c r="H531" s="21">
        <f t="shared" si="985"/>
        <v>0</v>
      </c>
      <c r="I531" s="21">
        <f>13</f>
        <v>13</v>
      </c>
      <c r="J531" s="21">
        <f t="shared" ref="J531:O531" si="986">0</f>
        <v>0</v>
      </c>
      <c r="K531" s="21">
        <f t="shared" si="986"/>
        <v>0</v>
      </c>
      <c r="L531" s="21">
        <f t="shared" si="986"/>
        <v>0</v>
      </c>
      <c r="M531" s="21">
        <f t="shared" si="986"/>
        <v>0</v>
      </c>
      <c r="N531" s="21">
        <f t="shared" si="986"/>
        <v>0</v>
      </c>
      <c r="O531" s="21">
        <f t="shared" si="986"/>
        <v>0</v>
      </c>
    </row>
    <row r="532">
      <c r="B532" s="20">
        <v>46243.0</v>
      </c>
      <c r="C532" s="21">
        <v>0.0</v>
      </c>
      <c r="D532" s="21">
        <v>0.0</v>
      </c>
      <c r="E532" s="21">
        <v>0.0</v>
      </c>
      <c r="F532" s="21">
        <v>0.0</v>
      </c>
      <c r="G532" s="21">
        <v>0.0</v>
      </c>
      <c r="H532" s="21">
        <v>0.0</v>
      </c>
      <c r="I532" s="21">
        <v>0.0</v>
      </c>
      <c r="J532" s="21">
        <v>0.0</v>
      </c>
      <c r="K532" s="21">
        <v>0.0</v>
      </c>
      <c r="L532" s="21">
        <v>0.0</v>
      </c>
      <c r="M532" s="21">
        <v>0.0</v>
      </c>
      <c r="N532" s="21">
        <v>0.0</v>
      </c>
      <c r="O532" s="21">
        <f>45</f>
        <v>45</v>
      </c>
    </row>
    <row r="533">
      <c r="B533" s="20">
        <v>46243.0</v>
      </c>
      <c r="C533" s="21">
        <v>0.0</v>
      </c>
      <c r="D533" s="21">
        <v>0.0</v>
      </c>
      <c r="E533" s="21">
        <v>0.0</v>
      </c>
      <c r="F533" s="21">
        <v>0.0</v>
      </c>
      <c r="G533" s="21">
        <v>0.0</v>
      </c>
      <c r="H533" s="21">
        <v>0.0</v>
      </c>
      <c r="I533" s="21">
        <v>0.0</v>
      </c>
      <c r="J533" s="21">
        <v>0.0</v>
      </c>
      <c r="K533" s="21">
        <v>0.0</v>
      </c>
      <c r="L533" s="21">
        <v>0.0</v>
      </c>
      <c r="M533" s="21">
        <v>0.0</v>
      </c>
      <c r="N533" s="21">
        <v>0.0</v>
      </c>
      <c r="O533" s="21">
        <f>23</f>
        <v>23</v>
      </c>
    </row>
    <row r="534">
      <c r="B534" s="20">
        <v>46243.0</v>
      </c>
      <c r="C534" s="21">
        <f>6.8</f>
        <v>6.8</v>
      </c>
      <c r="D534" s="21">
        <f t="shared" ref="D534:H534" si="987">0</f>
        <v>0</v>
      </c>
      <c r="E534" s="21">
        <f t="shared" si="987"/>
        <v>0</v>
      </c>
      <c r="F534" s="21">
        <f t="shared" si="987"/>
        <v>0</v>
      </c>
      <c r="G534" s="21">
        <f t="shared" si="987"/>
        <v>0</v>
      </c>
      <c r="H534" s="21">
        <f t="shared" si="987"/>
        <v>0</v>
      </c>
      <c r="I534" s="21">
        <f>61.2</f>
        <v>61.2</v>
      </c>
      <c r="J534" s="21">
        <f t="shared" ref="J534:O534" si="988">0</f>
        <v>0</v>
      </c>
      <c r="K534" s="21">
        <f t="shared" si="988"/>
        <v>0</v>
      </c>
      <c r="L534" s="21">
        <f t="shared" si="988"/>
        <v>0</v>
      </c>
      <c r="M534" s="21">
        <f t="shared" si="988"/>
        <v>0</v>
      </c>
      <c r="N534" s="21">
        <f t="shared" si="988"/>
        <v>0</v>
      </c>
      <c r="O534" s="21">
        <f t="shared" si="988"/>
        <v>0</v>
      </c>
    </row>
    <row r="535">
      <c r="B535" s="20">
        <v>46244.0</v>
      </c>
      <c r="C535" s="21">
        <v>0.0</v>
      </c>
      <c r="D535" s="21">
        <v>0.0</v>
      </c>
      <c r="E535" s="21">
        <v>0.0</v>
      </c>
      <c r="F535" s="21">
        <v>0.0</v>
      </c>
      <c r="G535" s="21">
        <v>0.0</v>
      </c>
      <c r="H535" s="21">
        <v>0.0</v>
      </c>
      <c r="I535" s="21">
        <v>0.0</v>
      </c>
      <c r="J535" s="21">
        <v>0.0</v>
      </c>
      <c r="K535" s="21">
        <v>0.0</v>
      </c>
      <c r="L535" s="21">
        <v>0.0</v>
      </c>
      <c r="M535" s="21">
        <v>0.0</v>
      </c>
      <c r="N535" s="21">
        <v>0.0</v>
      </c>
      <c r="O535" s="21">
        <f>26</f>
        <v>26</v>
      </c>
    </row>
    <row r="536">
      <c r="B536" s="20">
        <v>46244.0</v>
      </c>
      <c r="C536" s="21">
        <f t="shared" ref="C536:E536" si="989">0</f>
        <v>0</v>
      </c>
      <c r="D536" s="21">
        <f t="shared" si="989"/>
        <v>0</v>
      </c>
      <c r="E536" s="21">
        <f t="shared" si="989"/>
        <v>0</v>
      </c>
      <c r="F536" s="21">
        <f>26.5</f>
        <v>26.5</v>
      </c>
      <c r="G536" s="21">
        <f t="shared" ref="G536:N536" si="990">0</f>
        <v>0</v>
      </c>
      <c r="H536" s="21">
        <f t="shared" si="990"/>
        <v>0</v>
      </c>
      <c r="I536" s="21">
        <f t="shared" si="990"/>
        <v>0</v>
      </c>
      <c r="J536" s="21">
        <f t="shared" si="990"/>
        <v>0</v>
      </c>
      <c r="K536" s="21">
        <f t="shared" si="990"/>
        <v>0</v>
      </c>
      <c r="L536" s="21">
        <f t="shared" si="990"/>
        <v>0</v>
      </c>
      <c r="M536" s="21">
        <f t="shared" si="990"/>
        <v>0</v>
      </c>
      <c r="N536" s="21">
        <f t="shared" si="990"/>
        <v>0</v>
      </c>
      <c r="O536" s="21">
        <f>26.5</f>
        <v>26.5</v>
      </c>
    </row>
    <row r="537">
      <c r="B537" s="20">
        <v>46244.0</v>
      </c>
      <c r="C537" s="21">
        <f t="shared" ref="C537:H537" si="991">0</f>
        <v>0</v>
      </c>
      <c r="D537" s="21">
        <f t="shared" si="991"/>
        <v>0</v>
      </c>
      <c r="E537" s="21">
        <f t="shared" si="991"/>
        <v>0</v>
      </c>
      <c r="F537" s="21">
        <f t="shared" si="991"/>
        <v>0</v>
      </c>
      <c r="G537" s="21">
        <f t="shared" si="991"/>
        <v>0</v>
      </c>
      <c r="H537" s="21">
        <f t="shared" si="991"/>
        <v>0</v>
      </c>
      <c r="I537" s="21">
        <f>7</f>
        <v>7</v>
      </c>
      <c r="J537" s="21">
        <f>14</f>
        <v>14</v>
      </c>
      <c r="K537" s="21">
        <f>7</f>
        <v>7</v>
      </c>
      <c r="L537" s="21">
        <f>0</f>
        <v>0</v>
      </c>
      <c r="M537" s="21">
        <f>7</f>
        <v>7</v>
      </c>
      <c r="N537" s="21">
        <f t="shared" ref="N537:O537" si="992">0</f>
        <v>0</v>
      </c>
      <c r="O537" s="21">
        <f t="shared" si="992"/>
        <v>0</v>
      </c>
    </row>
    <row r="538">
      <c r="B538" s="20">
        <v>46244.0</v>
      </c>
      <c r="C538" s="21">
        <f t="shared" ref="C538:E538" si="993">0</f>
        <v>0</v>
      </c>
      <c r="D538" s="21">
        <f t="shared" si="993"/>
        <v>0</v>
      </c>
      <c r="E538" s="21">
        <f t="shared" si="993"/>
        <v>0</v>
      </c>
      <c r="F538" s="21">
        <f>6.4</f>
        <v>6.4</v>
      </c>
      <c r="G538" s="21">
        <f t="shared" ref="G538:H538" si="994">0</f>
        <v>0</v>
      </c>
      <c r="H538" s="21">
        <f t="shared" si="994"/>
        <v>0</v>
      </c>
      <c r="I538" s="21">
        <f>25.6</f>
        <v>25.6</v>
      </c>
      <c r="J538" s="21">
        <f t="shared" ref="J538:O538" si="995">0</f>
        <v>0</v>
      </c>
      <c r="K538" s="21">
        <f t="shared" si="995"/>
        <v>0</v>
      </c>
      <c r="L538" s="21">
        <f t="shared" si="995"/>
        <v>0</v>
      </c>
      <c r="M538" s="21">
        <f t="shared" si="995"/>
        <v>0</v>
      </c>
      <c r="N538" s="21">
        <f t="shared" si="995"/>
        <v>0</v>
      </c>
      <c r="O538" s="21">
        <f t="shared" si="995"/>
        <v>0</v>
      </c>
    </row>
    <row r="539">
      <c r="B539" s="20">
        <v>46244.0</v>
      </c>
      <c r="C539" s="21">
        <f>43.2</f>
        <v>43.2</v>
      </c>
      <c r="D539" s="21">
        <f t="shared" ref="D539:N539" si="996">0</f>
        <v>0</v>
      </c>
      <c r="E539" s="21">
        <f t="shared" si="996"/>
        <v>0</v>
      </c>
      <c r="F539" s="21">
        <f t="shared" si="996"/>
        <v>0</v>
      </c>
      <c r="G539" s="21">
        <f t="shared" si="996"/>
        <v>0</v>
      </c>
      <c r="H539" s="21">
        <f t="shared" si="996"/>
        <v>0</v>
      </c>
      <c r="I539" s="21">
        <f t="shared" si="996"/>
        <v>0</v>
      </c>
      <c r="J539" s="21">
        <f t="shared" si="996"/>
        <v>0</v>
      </c>
      <c r="K539" s="21">
        <f t="shared" si="996"/>
        <v>0</v>
      </c>
      <c r="L539" s="21">
        <f t="shared" si="996"/>
        <v>0</v>
      </c>
      <c r="M539" s="21">
        <f t="shared" si="996"/>
        <v>0</v>
      </c>
      <c r="N539" s="21">
        <f t="shared" si="996"/>
        <v>0</v>
      </c>
      <c r="O539" s="21">
        <f>10.8</f>
        <v>10.8</v>
      </c>
    </row>
    <row r="540">
      <c r="B540" s="20">
        <v>46244.0</v>
      </c>
      <c r="C540" s="21">
        <f>0</f>
        <v>0</v>
      </c>
      <c r="D540" s="21">
        <f>4.8</f>
        <v>4.8</v>
      </c>
      <c r="E540" s="21">
        <f t="shared" ref="E540:H540" si="997">0</f>
        <v>0</v>
      </c>
      <c r="F540" s="21">
        <f t="shared" si="997"/>
        <v>0</v>
      </c>
      <c r="G540" s="21">
        <f t="shared" si="997"/>
        <v>0</v>
      </c>
      <c r="H540" s="21">
        <f t="shared" si="997"/>
        <v>0</v>
      </c>
      <c r="I540" s="21">
        <f>4.8</f>
        <v>4.8</v>
      </c>
      <c r="J540" s="21">
        <f t="shared" ref="J540:L540" si="998">0</f>
        <v>0</v>
      </c>
      <c r="K540" s="21">
        <f t="shared" si="998"/>
        <v>0</v>
      </c>
      <c r="L540" s="21">
        <f t="shared" si="998"/>
        <v>0</v>
      </c>
      <c r="M540" s="21">
        <f t="shared" ref="M540:N540" si="999">7.2</f>
        <v>7.2</v>
      </c>
      <c r="N540" s="21">
        <f t="shared" si="999"/>
        <v>7.2</v>
      </c>
      <c r="O540" s="21">
        <f>0</f>
        <v>0</v>
      </c>
    </row>
    <row r="541">
      <c r="B541" s="20">
        <v>46244.0</v>
      </c>
      <c r="C541" s="21">
        <f>29</f>
        <v>29</v>
      </c>
      <c r="D541" s="21">
        <f t="shared" ref="D541:O541" si="1000">0</f>
        <v>0</v>
      </c>
      <c r="E541" s="21">
        <f t="shared" si="1000"/>
        <v>0</v>
      </c>
      <c r="F541" s="21">
        <f t="shared" si="1000"/>
        <v>0</v>
      </c>
      <c r="G541" s="21">
        <f t="shared" si="1000"/>
        <v>0</v>
      </c>
      <c r="H541" s="21">
        <f t="shared" si="1000"/>
        <v>0</v>
      </c>
      <c r="I541" s="21">
        <f t="shared" si="1000"/>
        <v>0</v>
      </c>
      <c r="J541" s="21">
        <f t="shared" si="1000"/>
        <v>0</v>
      </c>
      <c r="K541" s="21">
        <f t="shared" si="1000"/>
        <v>0</v>
      </c>
      <c r="L541" s="21">
        <f t="shared" si="1000"/>
        <v>0</v>
      </c>
      <c r="M541" s="21">
        <f t="shared" si="1000"/>
        <v>0</v>
      </c>
      <c r="N541" s="21">
        <f t="shared" si="1000"/>
        <v>0</v>
      </c>
      <c r="O541" s="21">
        <f t="shared" si="1000"/>
        <v>0</v>
      </c>
    </row>
    <row r="542">
      <c r="B542" s="20">
        <v>46244.0</v>
      </c>
      <c r="C542" s="21">
        <f>32.2</f>
        <v>32.2</v>
      </c>
      <c r="D542" s="21">
        <f t="shared" ref="D542:H542" si="1001">0</f>
        <v>0</v>
      </c>
      <c r="E542" s="21">
        <f t="shared" si="1001"/>
        <v>0</v>
      </c>
      <c r="F542" s="21">
        <f t="shared" si="1001"/>
        <v>0</v>
      </c>
      <c r="G542" s="21">
        <f t="shared" si="1001"/>
        <v>0</v>
      </c>
      <c r="H542" s="21">
        <f t="shared" si="1001"/>
        <v>0</v>
      </c>
      <c r="I542" s="21">
        <f>13.8</f>
        <v>13.8</v>
      </c>
      <c r="J542" s="21">
        <f t="shared" ref="J542:O542" si="1002">0</f>
        <v>0</v>
      </c>
      <c r="K542" s="21">
        <f t="shared" si="1002"/>
        <v>0</v>
      </c>
      <c r="L542" s="21">
        <f t="shared" si="1002"/>
        <v>0</v>
      </c>
      <c r="M542" s="21">
        <f t="shared" si="1002"/>
        <v>0</v>
      </c>
      <c r="N542" s="21">
        <f t="shared" si="1002"/>
        <v>0</v>
      </c>
      <c r="O542" s="21">
        <f t="shared" si="1002"/>
        <v>0</v>
      </c>
    </row>
    <row r="543">
      <c r="B543" s="20">
        <v>46244.0</v>
      </c>
      <c r="C543" s="21">
        <v>0.0</v>
      </c>
      <c r="D543" s="21">
        <v>0.0</v>
      </c>
      <c r="E543" s="21">
        <v>0.0</v>
      </c>
      <c r="F543" s="21">
        <v>0.0</v>
      </c>
      <c r="G543" s="21">
        <v>0.0</v>
      </c>
      <c r="H543" s="21">
        <v>0.0</v>
      </c>
      <c r="I543" s="21">
        <f>55</f>
        <v>55</v>
      </c>
      <c r="J543" s="21">
        <v>0.0</v>
      </c>
      <c r="K543" s="21">
        <v>0.0</v>
      </c>
      <c r="L543" s="21">
        <v>0.0</v>
      </c>
      <c r="M543" s="21">
        <v>0.0</v>
      </c>
      <c r="N543" s="21">
        <v>0.0</v>
      </c>
      <c r="O543" s="21">
        <v>0.0</v>
      </c>
    </row>
    <row r="544">
      <c r="B544" s="20">
        <v>46244.0</v>
      </c>
      <c r="C544" s="21">
        <f t="shared" ref="C544:C545" si="1005">0</f>
        <v>0</v>
      </c>
      <c r="D544" s="21">
        <f>4.7</f>
        <v>4.7</v>
      </c>
      <c r="E544" s="21">
        <f t="shared" ref="E544:H544" si="1003">0</f>
        <v>0</v>
      </c>
      <c r="F544" s="21">
        <f t="shared" si="1003"/>
        <v>0</v>
      </c>
      <c r="G544" s="21">
        <f t="shared" si="1003"/>
        <v>0</v>
      </c>
      <c r="H544" s="21">
        <f t="shared" si="1003"/>
        <v>0</v>
      </c>
      <c r="I544" s="21">
        <f>32.9</f>
        <v>32.9</v>
      </c>
      <c r="J544" s="21">
        <f t="shared" ref="J544:M544" si="1004">0</f>
        <v>0</v>
      </c>
      <c r="K544" s="21">
        <f t="shared" si="1004"/>
        <v>0</v>
      </c>
      <c r="L544" s="21">
        <f t="shared" si="1004"/>
        <v>0</v>
      </c>
      <c r="M544" s="21">
        <f t="shared" si="1004"/>
        <v>0</v>
      </c>
      <c r="N544" s="21">
        <f>9.4</f>
        <v>9.4</v>
      </c>
      <c r="O544" s="21">
        <f>0</f>
        <v>0</v>
      </c>
    </row>
    <row r="545">
      <c r="B545" s="20">
        <v>46244.0</v>
      </c>
      <c r="C545" s="21">
        <f t="shared" si="1005"/>
        <v>0</v>
      </c>
      <c r="D545" s="21">
        <f t="shared" ref="D545:G545" si="1006">0</f>
        <v>0</v>
      </c>
      <c r="E545" s="21">
        <f t="shared" si="1006"/>
        <v>0</v>
      </c>
      <c r="F545" s="21">
        <f t="shared" si="1006"/>
        <v>0</v>
      </c>
      <c r="G545" s="21">
        <f t="shared" si="1006"/>
        <v>0</v>
      </c>
      <c r="H545" s="21">
        <f t="shared" ref="H545:I545" si="1007">28</f>
        <v>28</v>
      </c>
      <c r="I545" s="21">
        <f t="shared" si="1007"/>
        <v>28</v>
      </c>
      <c r="J545" s="21">
        <f t="shared" ref="J545:O545" si="1008">0</f>
        <v>0</v>
      </c>
      <c r="K545" s="21">
        <f t="shared" si="1008"/>
        <v>0</v>
      </c>
      <c r="L545" s="21">
        <f t="shared" si="1008"/>
        <v>0</v>
      </c>
      <c r="M545" s="21">
        <f t="shared" si="1008"/>
        <v>0</v>
      </c>
      <c r="N545" s="21">
        <f t="shared" si="1008"/>
        <v>0</v>
      </c>
      <c r="O545" s="21">
        <f t="shared" si="1008"/>
        <v>0</v>
      </c>
    </row>
    <row r="546">
      <c r="B546" s="20">
        <v>46244.0</v>
      </c>
      <c r="C546" s="21">
        <v>0.0</v>
      </c>
      <c r="D546" s="21">
        <v>0.0</v>
      </c>
      <c r="E546" s="21">
        <v>0.0</v>
      </c>
      <c r="F546" s="21">
        <v>0.0</v>
      </c>
      <c r="G546" s="21">
        <v>0.0</v>
      </c>
      <c r="H546" s="21">
        <v>0.0</v>
      </c>
      <c r="I546" s="21">
        <f>185</f>
        <v>185</v>
      </c>
      <c r="J546" s="21">
        <v>0.0</v>
      </c>
      <c r="K546" s="21">
        <v>0.0</v>
      </c>
      <c r="L546" s="21">
        <v>0.0</v>
      </c>
      <c r="M546" s="21">
        <v>0.0</v>
      </c>
      <c r="N546" s="21">
        <v>0.0</v>
      </c>
      <c r="O546" s="21">
        <v>0.0</v>
      </c>
    </row>
    <row r="547">
      <c r="B547" s="20">
        <v>46244.0</v>
      </c>
      <c r="C547" s="21">
        <f>18.9</f>
        <v>18.9</v>
      </c>
      <c r="D547" s="21">
        <f t="shared" ref="D547:N547" si="1009">0</f>
        <v>0</v>
      </c>
      <c r="E547" s="21">
        <f t="shared" si="1009"/>
        <v>0</v>
      </c>
      <c r="F547" s="21">
        <f t="shared" si="1009"/>
        <v>0</v>
      </c>
      <c r="G547" s="21">
        <f t="shared" si="1009"/>
        <v>0</v>
      </c>
      <c r="H547" s="21">
        <f t="shared" si="1009"/>
        <v>0</v>
      </c>
      <c r="I547" s="21">
        <f t="shared" si="1009"/>
        <v>0</v>
      </c>
      <c r="J547" s="21">
        <f t="shared" si="1009"/>
        <v>0</v>
      </c>
      <c r="K547" s="21">
        <f t="shared" si="1009"/>
        <v>0</v>
      </c>
      <c r="L547" s="21">
        <f t="shared" si="1009"/>
        <v>0</v>
      </c>
      <c r="M547" s="21">
        <f t="shared" si="1009"/>
        <v>0</v>
      </c>
      <c r="N547" s="21">
        <f t="shared" si="1009"/>
        <v>0</v>
      </c>
      <c r="O547" s="21">
        <f>2.1</f>
        <v>2.1</v>
      </c>
    </row>
    <row r="548">
      <c r="B548" s="20">
        <v>46244.0</v>
      </c>
      <c r="C548" s="21">
        <f t="shared" ref="C548:F548" si="1010">0</f>
        <v>0</v>
      </c>
      <c r="D548" s="21">
        <f t="shared" si="1010"/>
        <v>0</v>
      </c>
      <c r="E548" s="21">
        <f t="shared" si="1010"/>
        <v>0</v>
      </c>
      <c r="F548" s="21">
        <f t="shared" si="1010"/>
        <v>0</v>
      </c>
      <c r="G548" s="21">
        <f>19</f>
        <v>19</v>
      </c>
      <c r="H548" s="21">
        <f t="shared" ref="H548:O548" si="1011">0</f>
        <v>0</v>
      </c>
      <c r="I548" s="21">
        <f t="shared" si="1011"/>
        <v>0</v>
      </c>
      <c r="J548" s="21">
        <f t="shared" si="1011"/>
        <v>0</v>
      </c>
      <c r="K548" s="21">
        <f t="shared" si="1011"/>
        <v>0</v>
      </c>
      <c r="L548" s="21">
        <f t="shared" si="1011"/>
        <v>0</v>
      </c>
      <c r="M548" s="21">
        <f t="shared" si="1011"/>
        <v>0</v>
      </c>
      <c r="N548" s="21">
        <f t="shared" si="1011"/>
        <v>0</v>
      </c>
      <c r="O548" s="21">
        <f t="shared" si="1011"/>
        <v>0</v>
      </c>
    </row>
    <row r="549">
      <c r="B549" s="20">
        <v>46244.0</v>
      </c>
      <c r="C549" s="21">
        <f>12.6</f>
        <v>12.6</v>
      </c>
      <c r="D549" s="21">
        <f t="shared" ref="D549:H549" si="1012">0</f>
        <v>0</v>
      </c>
      <c r="E549" s="21">
        <f t="shared" si="1012"/>
        <v>0</v>
      </c>
      <c r="F549" s="21">
        <f t="shared" si="1012"/>
        <v>0</v>
      </c>
      <c r="G549" s="21">
        <f t="shared" si="1012"/>
        <v>0</v>
      </c>
      <c r="H549" s="21">
        <f t="shared" si="1012"/>
        <v>0</v>
      </c>
      <c r="I549" s="21">
        <f>21</f>
        <v>21</v>
      </c>
      <c r="J549" s="21">
        <f t="shared" ref="J549:L549" si="1013">0</f>
        <v>0</v>
      </c>
      <c r="K549" s="21">
        <f t="shared" si="1013"/>
        <v>0</v>
      </c>
      <c r="L549" s="21">
        <f t="shared" si="1013"/>
        <v>0</v>
      </c>
      <c r="M549" s="21">
        <f>8.4</f>
        <v>8.4</v>
      </c>
      <c r="N549" s="21">
        <f t="shared" ref="N549:O549" si="1014">0</f>
        <v>0</v>
      </c>
      <c r="O549" s="21">
        <f t="shared" si="1014"/>
        <v>0</v>
      </c>
    </row>
    <row r="550">
      <c r="B550" s="20">
        <v>46244.0</v>
      </c>
      <c r="C550" s="21">
        <f>3.6</f>
        <v>3.6</v>
      </c>
      <c r="D550" s="21">
        <f t="shared" ref="D550:H550" si="1015">0</f>
        <v>0</v>
      </c>
      <c r="E550" s="21">
        <f t="shared" si="1015"/>
        <v>0</v>
      </c>
      <c r="F550" s="21">
        <f t="shared" si="1015"/>
        <v>0</v>
      </c>
      <c r="G550" s="21">
        <f t="shared" si="1015"/>
        <v>0</v>
      </c>
      <c r="H550" s="21">
        <f t="shared" si="1015"/>
        <v>0</v>
      </c>
      <c r="I550" s="21">
        <f>18</f>
        <v>18</v>
      </c>
      <c r="J550" s="21">
        <f>14.4</f>
        <v>14.4</v>
      </c>
      <c r="K550" s="21">
        <f t="shared" ref="K550:O550" si="1016">0</f>
        <v>0</v>
      </c>
      <c r="L550" s="21">
        <f t="shared" si="1016"/>
        <v>0</v>
      </c>
      <c r="M550" s="21">
        <f t="shared" si="1016"/>
        <v>0</v>
      </c>
      <c r="N550" s="21">
        <f t="shared" si="1016"/>
        <v>0</v>
      </c>
      <c r="O550" s="21">
        <f t="shared" si="1016"/>
        <v>0</v>
      </c>
    </row>
    <row r="551">
      <c r="B551" s="20">
        <v>46244.0</v>
      </c>
      <c r="C551" s="21">
        <v>0.0</v>
      </c>
      <c r="D551" s="21">
        <v>0.0</v>
      </c>
      <c r="E551" s="21">
        <v>0.0</v>
      </c>
      <c r="F551" s="21">
        <v>0.0</v>
      </c>
      <c r="G551" s="21">
        <v>0.0</v>
      </c>
      <c r="H551" s="21">
        <v>0.0</v>
      </c>
      <c r="I551" s="21">
        <f>47</f>
        <v>47</v>
      </c>
      <c r="J551" s="21">
        <v>0.0</v>
      </c>
      <c r="K551" s="21">
        <v>0.0</v>
      </c>
      <c r="L551" s="21">
        <v>0.0</v>
      </c>
      <c r="M551" s="21">
        <v>0.0</v>
      </c>
      <c r="N551" s="21">
        <v>0.0</v>
      </c>
      <c r="O551" s="21">
        <v>0.0</v>
      </c>
    </row>
    <row r="552">
      <c r="B552" s="20">
        <v>46244.0</v>
      </c>
      <c r="C552" s="21">
        <v>0.0</v>
      </c>
      <c r="D552" s="21">
        <v>0.0</v>
      </c>
      <c r="E552" s="21">
        <v>0.0</v>
      </c>
      <c r="F552" s="21">
        <v>0.0</v>
      </c>
      <c r="G552" s="21">
        <v>0.0</v>
      </c>
      <c r="H552" s="21">
        <v>0.0</v>
      </c>
      <c r="I552" s="21">
        <f>45</f>
        <v>45</v>
      </c>
      <c r="J552" s="21">
        <v>0.0</v>
      </c>
      <c r="K552" s="21">
        <v>0.0</v>
      </c>
      <c r="L552" s="21">
        <v>0.0</v>
      </c>
      <c r="M552" s="21">
        <v>0.0</v>
      </c>
      <c r="N552" s="21">
        <v>0.0</v>
      </c>
      <c r="O552" s="21">
        <v>0.0</v>
      </c>
    </row>
    <row r="553">
      <c r="B553" s="20">
        <v>46244.0</v>
      </c>
      <c r="C553" s="21">
        <v>0.0</v>
      </c>
      <c r="D553" s="21">
        <v>0.0</v>
      </c>
      <c r="E553" s="21">
        <v>0.0</v>
      </c>
      <c r="F553" s="21">
        <v>0.0</v>
      </c>
      <c r="G553" s="21">
        <v>0.0</v>
      </c>
      <c r="H553" s="21">
        <v>0.0</v>
      </c>
      <c r="I553" s="21">
        <f>60</f>
        <v>60</v>
      </c>
      <c r="J553" s="21">
        <v>0.0</v>
      </c>
      <c r="K553" s="21">
        <v>0.0</v>
      </c>
      <c r="L553" s="21">
        <v>0.0</v>
      </c>
      <c r="M553" s="21">
        <v>0.0</v>
      </c>
      <c r="N553" s="21">
        <v>0.0</v>
      </c>
      <c r="O553" s="21">
        <v>0.0</v>
      </c>
    </row>
    <row r="554">
      <c r="B554" s="20">
        <v>46244.0</v>
      </c>
      <c r="C554" s="21">
        <f t="shared" ref="C554:D554" si="1017">0</f>
        <v>0</v>
      </c>
      <c r="D554" s="21">
        <f t="shared" si="1017"/>
        <v>0</v>
      </c>
      <c r="E554" s="21">
        <f>26</f>
        <v>26</v>
      </c>
      <c r="F554" s="21">
        <f t="shared" ref="F554:O554" si="1018">0</f>
        <v>0</v>
      </c>
      <c r="G554" s="21">
        <f t="shared" si="1018"/>
        <v>0</v>
      </c>
      <c r="H554" s="21">
        <f t="shared" si="1018"/>
        <v>0</v>
      </c>
      <c r="I554" s="21">
        <f t="shared" si="1018"/>
        <v>0</v>
      </c>
      <c r="J554" s="21">
        <f t="shared" si="1018"/>
        <v>0</v>
      </c>
      <c r="K554" s="21">
        <f t="shared" si="1018"/>
        <v>0</v>
      </c>
      <c r="L554" s="21">
        <f t="shared" si="1018"/>
        <v>0</v>
      </c>
      <c r="M554" s="21">
        <f t="shared" si="1018"/>
        <v>0</v>
      </c>
      <c r="N554" s="21">
        <f t="shared" si="1018"/>
        <v>0</v>
      </c>
      <c r="O554" s="21">
        <f t="shared" si="1018"/>
        <v>0</v>
      </c>
    </row>
    <row r="555">
      <c r="B555" s="20">
        <v>46244.0</v>
      </c>
      <c r="C555" s="21">
        <f>32</f>
        <v>32</v>
      </c>
      <c r="D555" s="21">
        <f t="shared" ref="D555:O555" si="1019">0</f>
        <v>0</v>
      </c>
      <c r="E555" s="21">
        <f t="shared" si="1019"/>
        <v>0</v>
      </c>
      <c r="F555" s="21">
        <f t="shared" si="1019"/>
        <v>0</v>
      </c>
      <c r="G555" s="21">
        <f t="shared" si="1019"/>
        <v>0</v>
      </c>
      <c r="H555" s="21">
        <f t="shared" si="1019"/>
        <v>0</v>
      </c>
      <c r="I555" s="21">
        <f t="shared" si="1019"/>
        <v>0</v>
      </c>
      <c r="J555" s="21">
        <f t="shared" si="1019"/>
        <v>0</v>
      </c>
      <c r="K555" s="21">
        <f t="shared" si="1019"/>
        <v>0</v>
      </c>
      <c r="L555" s="21">
        <f t="shared" si="1019"/>
        <v>0</v>
      </c>
      <c r="M555" s="21">
        <f t="shared" si="1019"/>
        <v>0</v>
      </c>
      <c r="N555" s="21">
        <f t="shared" si="1019"/>
        <v>0</v>
      </c>
      <c r="O555" s="21">
        <f t="shared" si="1019"/>
        <v>0</v>
      </c>
    </row>
    <row r="556">
      <c r="B556" s="20">
        <v>46244.0</v>
      </c>
      <c r="C556" s="21">
        <f t="shared" ref="C556:H556" si="1020">0</f>
        <v>0</v>
      </c>
      <c r="D556" s="21">
        <f t="shared" si="1020"/>
        <v>0</v>
      </c>
      <c r="E556" s="21">
        <f t="shared" si="1020"/>
        <v>0</v>
      </c>
      <c r="F556" s="21">
        <f t="shared" si="1020"/>
        <v>0</v>
      </c>
      <c r="G556" s="21">
        <f t="shared" si="1020"/>
        <v>0</v>
      </c>
      <c r="H556" s="21">
        <f t="shared" si="1020"/>
        <v>0</v>
      </c>
      <c r="I556" s="21">
        <f>12.5</f>
        <v>12.5</v>
      </c>
      <c r="J556" s="21">
        <f t="shared" ref="J556:N556" si="1021">0</f>
        <v>0</v>
      </c>
      <c r="K556" s="21">
        <f t="shared" si="1021"/>
        <v>0</v>
      </c>
      <c r="L556" s="21">
        <f t="shared" si="1021"/>
        <v>0</v>
      </c>
      <c r="M556" s="21">
        <f t="shared" si="1021"/>
        <v>0</v>
      </c>
      <c r="N556" s="21">
        <f t="shared" si="1021"/>
        <v>0</v>
      </c>
      <c r="O556" s="21">
        <f>12.5</f>
        <v>12.5</v>
      </c>
    </row>
    <row r="557">
      <c r="B557" s="20">
        <v>46244.0</v>
      </c>
      <c r="C557" s="21">
        <f t="shared" ref="C557:C558" si="1023">0</f>
        <v>0</v>
      </c>
      <c r="D557" s="21">
        <f>20</f>
        <v>20</v>
      </c>
      <c r="E557" s="21">
        <f t="shared" ref="E557:O557" si="1022">0</f>
        <v>0</v>
      </c>
      <c r="F557" s="21">
        <f t="shared" si="1022"/>
        <v>0</v>
      </c>
      <c r="G557" s="21">
        <f t="shared" si="1022"/>
        <v>0</v>
      </c>
      <c r="H557" s="21">
        <f t="shared" si="1022"/>
        <v>0</v>
      </c>
      <c r="I557" s="21">
        <f t="shared" si="1022"/>
        <v>0</v>
      </c>
      <c r="J557" s="21">
        <f t="shared" si="1022"/>
        <v>0</v>
      </c>
      <c r="K557" s="21">
        <f t="shared" si="1022"/>
        <v>0</v>
      </c>
      <c r="L557" s="21">
        <f t="shared" si="1022"/>
        <v>0</v>
      </c>
      <c r="M557" s="21">
        <f t="shared" si="1022"/>
        <v>0</v>
      </c>
      <c r="N557" s="21">
        <f t="shared" si="1022"/>
        <v>0</v>
      </c>
      <c r="O557" s="21">
        <f t="shared" si="1022"/>
        <v>0</v>
      </c>
    </row>
    <row r="558">
      <c r="B558" s="20">
        <v>46245.0</v>
      </c>
      <c r="C558" s="21">
        <f t="shared" si="1023"/>
        <v>0</v>
      </c>
      <c r="D558" s="21">
        <f t="shared" ref="D558:H558" si="1024">0</f>
        <v>0</v>
      </c>
      <c r="E558" s="21">
        <f t="shared" si="1024"/>
        <v>0</v>
      </c>
      <c r="F558" s="21">
        <f t="shared" si="1024"/>
        <v>0</v>
      </c>
      <c r="G558" s="21">
        <f t="shared" si="1024"/>
        <v>0</v>
      </c>
      <c r="H558" s="21">
        <f t="shared" si="1024"/>
        <v>0</v>
      </c>
      <c r="I558" s="21">
        <f>24.8</f>
        <v>24.8</v>
      </c>
      <c r="J558" s="21">
        <f t="shared" ref="J558:L558" si="1025">0</f>
        <v>0</v>
      </c>
      <c r="K558" s="21">
        <f t="shared" si="1025"/>
        <v>0</v>
      </c>
      <c r="L558" s="21">
        <f t="shared" si="1025"/>
        <v>0</v>
      </c>
      <c r="M558" s="21">
        <f>6.2</f>
        <v>6.2</v>
      </c>
      <c r="N558" s="21">
        <f t="shared" ref="N558:O558" si="1026">0</f>
        <v>0</v>
      </c>
      <c r="O558" s="21">
        <f t="shared" si="1026"/>
        <v>0</v>
      </c>
    </row>
    <row r="559">
      <c r="B559" s="20">
        <v>46245.0</v>
      </c>
      <c r="C559" s="21">
        <f>5.2</f>
        <v>5.2</v>
      </c>
      <c r="D559" s="21">
        <f t="shared" ref="D559:H559" si="1027">0</f>
        <v>0</v>
      </c>
      <c r="E559" s="21">
        <f t="shared" si="1027"/>
        <v>0</v>
      </c>
      <c r="F559" s="21">
        <f t="shared" si="1027"/>
        <v>0</v>
      </c>
      <c r="G559" s="21">
        <f t="shared" si="1027"/>
        <v>0</v>
      </c>
      <c r="H559" s="21">
        <f t="shared" si="1027"/>
        <v>0</v>
      </c>
      <c r="I559" s="21">
        <f>20.8</f>
        <v>20.8</v>
      </c>
      <c r="J559" s="21">
        <f t="shared" ref="J559:O559" si="1028">0</f>
        <v>0</v>
      </c>
      <c r="K559" s="21">
        <f t="shared" si="1028"/>
        <v>0</v>
      </c>
      <c r="L559" s="21">
        <f t="shared" si="1028"/>
        <v>0</v>
      </c>
      <c r="M559" s="21">
        <f t="shared" si="1028"/>
        <v>0</v>
      </c>
      <c r="N559" s="21">
        <f t="shared" si="1028"/>
        <v>0</v>
      </c>
      <c r="O559" s="21">
        <f t="shared" si="1028"/>
        <v>0</v>
      </c>
    </row>
    <row r="560">
      <c r="B560" s="20">
        <v>46245.0</v>
      </c>
      <c r="C560" s="21">
        <f>6.4</f>
        <v>6.4</v>
      </c>
      <c r="D560" s="21">
        <f t="shared" ref="D560:H560" si="1029">0</f>
        <v>0</v>
      </c>
      <c r="E560" s="21">
        <f t="shared" si="1029"/>
        <v>0</v>
      </c>
      <c r="F560" s="21">
        <f t="shared" si="1029"/>
        <v>0</v>
      </c>
      <c r="G560" s="21">
        <f t="shared" si="1029"/>
        <v>0</v>
      </c>
      <c r="H560" s="21">
        <f t="shared" si="1029"/>
        <v>0</v>
      </c>
      <c r="I560" s="21">
        <f>19.2</f>
        <v>19.2</v>
      </c>
      <c r="J560" s="21">
        <f t="shared" ref="J560:N560" si="1030">0</f>
        <v>0</v>
      </c>
      <c r="K560" s="21">
        <f t="shared" si="1030"/>
        <v>0</v>
      </c>
      <c r="L560" s="21">
        <f t="shared" si="1030"/>
        <v>0</v>
      </c>
      <c r="M560" s="21">
        <f t="shared" si="1030"/>
        <v>0</v>
      </c>
      <c r="N560" s="21">
        <f t="shared" si="1030"/>
        <v>0</v>
      </c>
      <c r="O560" s="21">
        <f>6.4</f>
        <v>6.4</v>
      </c>
    </row>
    <row r="561">
      <c r="B561" s="20">
        <v>46245.0</v>
      </c>
      <c r="C561" s="21">
        <f t="shared" ref="C561:H561" si="1031">0</f>
        <v>0</v>
      </c>
      <c r="D561" s="21">
        <f t="shared" si="1031"/>
        <v>0</v>
      </c>
      <c r="E561" s="21">
        <f t="shared" si="1031"/>
        <v>0</v>
      </c>
      <c r="F561" s="21">
        <f t="shared" si="1031"/>
        <v>0</v>
      </c>
      <c r="G561" s="21">
        <f t="shared" si="1031"/>
        <v>0</v>
      </c>
      <c r="H561" s="21">
        <f t="shared" si="1031"/>
        <v>0</v>
      </c>
      <c r="I561" s="21">
        <f>29</f>
        <v>29</v>
      </c>
      <c r="J561" s="21">
        <f t="shared" ref="J561:O561" si="1032">0</f>
        <v>0</v>
      </c>
      <c r="K561" s="21">
        <f t="shared" si="1032"/>
        <v>0</v>
      </c>
      <c r="L561" s="21">
        <f t="shared" si="1032"/>
        <v>0</v>
      </c>
      <c r="M561" s="21">
        <f t="shared" si="1032"/>
        <v>0</v>
      </c>
      <c r="N561" s="21">
        <f t="shared" si="1032"/>
        <v>0</v>
      </c>
      <c r="O561" s="21">
        <f t="shared" si="1032"/>
        <v>0</v>
      </c>
    </row>
    <row r="562">
      <c r="B562" s="20">
        <v>46245.0</v>
      </c>
      <c r="C562" s="21">
        <f>35.2</f>
        <v>35.2</v>
      </c>
      <c r="D562" s="21">
        <f t="shared" ref="D562:H562" si="1033">0</f>
        <v>0</v>
      </c>
      <c r="E562" s="21">
        <f t="shared" si="1033"/>
        <v>0</v>
      </c>
      <c r="F562" s="21">
        <f t="shared" si="1033"/>
        <v>0</v>
      </c>
      <c r="G562" s="21">
        <f t="shared" si="1033"/>
        <v>0</v>
      </c>
      <c r="H562" s="21">
        <f t="shared" si="1033"/>
        <v>0</v>
      </c>
      <c r="I562" s="21">
        <f>8.8</f>
        <v>8.8</v>
      </c>
      <c r="J562" s="21">
        <f t="shared" ref="J562:O562" si="1034">0</f>
        <v>0</v>
      </c>
      <c r="K562" s="21">
        <f t="shared" si="1034"/>
        <v>0</v>
      </c>
      <c r="L562" s="21">
        <f t="shared" si="1034"/>
        <v>0</v>
      </c>
      <c r="M562" s="21">
        <f t="shared" si="1034"/>
        <v>0</v>
      </c>
      <c r="N562" s="21">
        <f t="shared" si="1034"/>
        <v>0</v>
      </c>
      <c r="O562" s="21">
        <f t="shared" si="1034"/>
        <v>0</v>
      </c>
    </row>
    <row r="563">
      <c r="B563" s="20">
        <v>46245.0</v>
      </c>
      <c r="C563" s="21">
        <f>18.6</f>
        <v>18.6</v>
      </c>
      <c r="D563" s="21">
        <f t="shared" ref="D563:F563" si="1035">0</f>
        <v>0</v>
      </c>
      <c r="E563" s="21">
        <f t="shared" si="1035"/>
        <v>0</v>
      </c>
      <c r="F563" s="21">
        <f t="shared" si="1035"/>
        <v>0</v>
      </c>
      <c r="G563" s="21">
        <f>37.2</f>
        <v>37.2</v>
      </c>
      <c r="H563" s="21">
        <f t="shared" ref="H563:L563" si="1036">0</f>
        <v>0</v>
      </c>
      <c r="I563" s="21">
        <f t="shared" si="1036"/>
        <v>0</v>
      </c>
      <c r="J563" s="21">
        <f t="shared" si="1036"/>
        <v>0</v>
      </c>
      <c r="K563" s="21">
        <f t="shared" si="1036"/>
        <v>0</v>
      </c>
      <c r="L563" s="21">
        <f t="shared" si="1036"/>
        <v>0</v>
      </c>
      <c r="M563" s="21">
        <f>6.2</f>
        <v>6.2</v>
      </c>
      <c r="N563" s="21">
        <f t="shared" ref="N563:O563" si="1037">0</f>
        <v>0</v>
      </c>
      <c r="O563" s="21">
        <f t="shared" si="1037"/>
        <v>0</v>
      </c>
    </row>
    <row r="564">
      <c r="B564" s="20">
        <v>46245.0</v>
      </c>
      <c r="C564" s="21">
        <f>15.6</f>
        <v>15.6</v>
      </c>
      <c r="D564" s="21">
        <f>10.4</f>
        <v>10.4</v>
      </c>
      <c r="E564" s="21">
        <f t="shared" ref="E564:L564" si="1038">0</f>
        <v>0</v>
      </c>
      <c r="F564" s="21">
        <f t="shared" si="1038"/>
        <v>0</v>
      </c>
      <c r="G564" s="21">
        <f t="shared" si="1038"/>
        <v>0</v>
      </c>
      <c r="H564" s="21">
        <f t="shared" si="1038"/>
        <v>0</v>
      </c>
      <c r="I564" s="21">
        <f t="shared" si="1038"/>
        <v>0</v>
      </c>
      <c r="J564" s="21">
        <f t="shared" si="1038"/>
        <v>0</v>
      </c>
      <c r="K564" s="21">
        <f t="shared" si="1038"/>
        <v>0</v>
      </c>
      <c r="L564" s="21">
        <f t="shared" si="1038"/>
        <v>0</v>
      </c>
      <c r="M564" s="21">
        <f>20.8</f>
        <v>20.8</v>
      </c>
      <c r="N564" s="21">
        <f>0</f>
        <v>0</v>
      </c>
      <c r="O564" s="21">
        <f>5.2</f>
        <v>5.2</v>
      </c>
    </row>
    <row r="565">
      <c r="B565" s="20">
        <v>46245.0</v>
      </c>
      <c r="C565" s="21">
        <f>0</f>
        <v>0</v>
      </c>
      <c r="D565" s="21">
        <f>4.8</f>
        <v>4.8</v>
      </c>
      <c r="E565" s="21">
        <f t="shared" ref="E565:H565" si="1039">0</f>
        <v>0</v>
      </c>
      <c r="F565" s="21">
        <f t="shared" si="1039"/>
        <v>0</v>
      </c>
      <c r="G565" s="21">
        <f t="shared" si="1039"/>
        <v>0</v>
      </c>
      <c r="H565" s="21">
        <f t="shared" si="1039"/>
        <v>0</v>
      </c>
      <c r="I565" s="21">
        <f>4.8</f>
        <v>4.8</v>
      </c>
      <c r="J565" s="21">
        <f t="shared" ref="J565:N565" si="1040">0</f>
        <v>0</v>
      </c>
      <c r="K565" s="21">
        <f t="shared" si="1040"/>
        <v>0</v>
      </c>
      <c r="L565" s="21">
        <f t="shared" si="1040"/>
        <v>0</v>
      </c>
      <c r="M565" s="21">
        <f t="shared" si="1040"/>
        <v>0</v>
      </c>
      <c r="N565" s="21">
        <f t="shared" si="1040"/>
        <v>0</v>
      </c>
      <c r="O565" s="21">
        <f>2.4</f>
        <v>2.4</v>
      </c>
    </row>
    <row r="566">
      <c r="B566" s="20">
        <v>46245.0</v>
      </c>
      <c r="C566" s="21">
        <v>0.0</v>
      </c>
      <c r="D566" s="21">
        <v>0.0</v>
      </c>
      <c r="E566" s="21">
        <v>0.0</v>
      </c>
      <c r="F566" s="21">
        <v>0.0</v>
      </c>
      <c r="G566" s="21">
        <v>0.0</v>
      </c>
      <c r="H566" s="21">
        <v>0.0</v>
      </c>
      <c r="I566" s="21">
        <v>0.0</v>
      </c>
      <c r="J566" s="21">
        <v>0.0</v>
      </c>
      <c r="K566" s="21">
        <v>0.0</v>
      </c>
      <c r="L566" s="21">
        <v>0.0</v>
      </c>
      <c r="M566" s="21">
        <v>0.0</v>
      </c>
      <c r="N566" s="21">
        <v>0.0</v>
      </c>
      <c r="O566" s="21">
        <f>94</f>
        <v>94</v>
      </c>
    </row>
    <row r="567">
      <c r="B567" s="20">
        <v>46245.0</v>
      </c>
      <c r="C567" s="21">
        <f t="shared" ref="C567:K567" si="1041">0</f>
        <v>0</v>
      </c>
      <c r="D567" s="21">
        <f t="shared" si="1041"/>
        <v>0</v>
      </c>
      <c r="E567" s="21">
        <f t="shared" si="1041"/>
        <v>0</v>
      </c>
      <c r="F567" s="21">
        <f t="shared" si="1041"/>
        <v>0</v>
      </c>
      <c r="G567" s="21">
        <f t="shared" si="1041"/>
        <v>0</v>
      </c>
      <c r="H567" s="21">
        <f t="shared" si="1041"/>
        <v>0</v>
      </c>
      <c r="I567" s="21">
        <f t="shared" si="1041"/>
        <v>0</v>
      </c>
      <c r="J567" s="21">
        <f t="shared" si="1041"/>
        <v>0</v>
      </c>
      <c r="K567" s="21">
        <f t="shared" si="1041"/>
        <v>0</v>
      </c>
      <c r="L567" s="21">
        <f>33.6</f>
        <v>33.6</v>
      </c>
      <c r="M567" s="21">
        <f t="shared" ref="M567:N567" si="1042">0</f>
        <v>0</v>
      </c>
      <c r="N567" s="21">
        <f t="shared" si="1042"/>
        <v>0</v>
      </c>
      <c r="O567" s="21">
        <f>8.4</f>
        <v>8.4</v>
      </c>
    </row>
    <row r="568">
      <c r="B568" s="20">
        <v>46245.0</v>
      </c>
      <c r="C568" s="21">
        <v>0.0</v>
      </c>
      <c r="D568" s="21">
        <v>0.0</v>
      </c>
      <c r="E568" s="21">
        <v>0.0</v>
      </c>
      <c r="F568" s="21">
        <v>0.0</v>
      </c>
      <c r="G568" s="21">
        <v>0.0</v>
      </c>
      <c r="H568" s="21">
        <v>0.0</v>
      </c>
      <c r="I568" s="21">
        <v>0.0</v>
      </c>
      <c r="J568" s="21">
        <v>0.0</v>
      </c>
      <c r="K568" s="21">
        <v>0.0</v>
      </c>
      <c r="L568" s="21">
        <v>0.0</v>
      </c>
      <c r="M568" s="21">
        <v>0.0</v>
      </c>
      <c r="N568" s="21">
        <v>0.0</v>
      </c>
      <c r="O568" s="21">
        <f>29</f>
        <v>29</v>
      </c>
    </row>
    <row r="569">
      <c r="B569" s="20">
        <v>46245.0</v>
      </c>
      <c r="C569" s="21">
        <f t="shared" ref="C569:E569" si="1043">0</f>
        <v>0</v>
      </c>
      <c r="D569" s="21">
        <f t="shared" si="1043"/>
        <v>0</v>
      </c>
      <c r="E569" s="21">
        <f t="shared" si="1043"/>
        <v>0</v>
      </c>
      <c r="F569" s="21">
        <f>21</f>
        <v>21</v>
      </c>
      <c r="G569" s="21">
        <f t="shared" ref="G569:N569" si="1044">0</f>
        <v>0</v>
      </c>
      <c r="H569" s="21">
        <f t="shared" si="1044"/>
        <v>0</v>
      </c>
      <c r="I569" s="21">
        <f t="shared" si="1044"/>
        <v>0</v>
      </c>
      <c r="J569" s="21">
        <f t="shared" si="1044"/>
        <v>0</v>
      </c>
      <c r="K569" s="21">
        <f t="shared" si="1044"/>
        <v>0</v>
      </c>
      <c r="L569" s="21">
        <f t="shared" si="1044"/>
        <v>0</v>
      </c>
      <c r="M569" s="21">
        <f t="shared" si="1044"/>
        <v>0</v>
      </c>
      <c r="N569" s="21">
        <f t="shared" si="1044"/>
        <v>0</v>
      </c>
      <c r="O569" s="21">
        <f>21</f>
        <v>21</v>
      </c>
    </row>
    <row r="570">
      <c r="B570" s="20">
        <v>46245.0</v>
      </c>
      <c r="C570" s="21">
        <f t="shared" ref="C570:L570" si="1045">0</f>
        <v>0</v>
      </c>
      <c r="D570" s="21">
        <f t="shared" si="1045"/>
        <v>0</v>
      </c>
      <c r="E570" s="21">
        <f t="shared" si="1045"/>
        <v>0</v>
      </c>
      <c r="F570" s="21">
        <f t="shared" si="1045"/>
        <v>0</v>
      </c>
      <c r="G570" s="21">
        <f t="shared" si="1045"/>
        <v>0</v>
      </c>
      <c r="H570" s="21">
        <f t="shared" si="1045"/>
        <v>0</v>
      </c>
      <c r="I570" s="21">
        <f t="shared" si="1045"/>
        <v>0</v>
      </c>
      <c r="J570" s="21">
        <f t="shared" si="1045"/>
        <v>0</v>
      </c>
      <c r="K570" s="21">
        <f t="shared" si="1045"/>
        <v>0</v>
      </c>
      <c r="L570" s="21">
        <f t="shared" si="1045"/>
        <v>0</v>
      </c>
      <c r="M570" s="21">
        <f>25.6</f>
        <v>25.6</v>
      </c>
      <c r="N570" s="21">
        <f>0</f>
        <v>0</v>
      </c>
      <c r="O570" s="21">
        <f>6.4</f>
        <v>6.4</v>
      </c>
    </row>
    <row r="571">
      <c r="B571" s="20">
        <v>46246.0</v>
      </c>
      <c r="C571" s="21">
        <f t="shared" ref="C571:H571" si="1046">0</f>
        <v>0</v>
      </c>
      <c r="D571" s="21">
        <f t="shared" si="1046"/>
        <v>0</v>
      </c>
      <c r="E571" s="21">
        <f t="shared" si="1046"/>
        <v>0</v>
      </c>
      <c r="F571" s="21">
        <f t="shared" si="1046"/>
        <v>0</v>
      </c>
      <c r="G571" s="21">
        <f t="shared" si="1046"/>
        <v>0</v>
      </c>
      <c r="H571" s="21">
        <f t="shared" si="1046"/>
        <v>0</v>
      </c>
      <c r="I571" s="21">
        <f>32</f>
        <v>32</v>
      </c>
      <c r="J571" s="21">
        <f t="shared" ref="J571:N571" si="1047">0</f>
        <v>0</v>
      </c>
      <c r="K571" s="21">
        <f t="shared" si="1047"/>
        <v>0</v>
      </c>
      <c r="L571" s="21">
        <f t="shared" si="1047"/>
        <v>0</v>
      </c>
      <c r="M571" s="21">
        <f t="shared" si="1047"/>
        <v>0</v>
      </c>
      <c r="N571" s="21">
        <f t="shared" si="1047"/>
        <v>0</v>
      </c>
      <c r="O571" s="21">
        <f>8</f>
        <v>8</v>
      </c>
    </row>
    <row r="572">
      <c r="B572" s="20">
        <v>46246.0</v>
      </c>
      <c r="C572" s="21">
        <f t="shared" ref="C572:F572" si="1048">0</f>
        <v>0</v>
      </c>
      <c r="D572" s="21">
        <f t="shared" si="1048"/>
        <v>0</v>
      </c>
      <c r="E572" s="21">
        <f t="shared" si="1048"/>
        <v>0</v>
      </c>
      <c r="F572" s="21">
        <f t="shared" si="1048"/>
        <v>0</v>
      </c>
      <c r="G572" s="21">
        <f t="shared" ref="G572:G574" si="1051">27</f>
        <v>27</v>
      </c>
      <c r="H572" s="21">
        <f t="shared" ref="H572:H574" si="1052">0</f>
        <v>0</v>
      </c>
      <c r="I572" s="21">
        <f t="shared" ref="I572:I574" si="1053">27</f>
        <v>27</v>
      </c>
      <c r="J572" s="21">
        <f t="shared" ref="J572:O572" si="1049">0</f>
        <v>0</v>
      </c>
      <c r="K572" s="21">
        <f t="shared" si="1049"/>
        <v>0</v>
      </c>
      <c r="L572" s="21">
        <f t="shared" si="1049"/>
        <v>0</v>
      </c>
      <c r="M572" s="21">
        <f t="shared" si="1049"/>
        <v>0</v>
      </c>
      <c r="N572" s="21">
        <f t="shared" si="1049"/>
        <v>0</v>
      </c>
      <c r="O572" s="21">
        <f t="shared" si="1049"/>
        <v>0</v>
      </c>
    </row>
    <row r="573">
      <c r="B573" s="20">
        <v>46246.0</v>
      </c>
      <c r="C573" s="21">
        <f t="shared" ref="C573:F573" si="1050">0</f>
        <v>0</v>
      </c>
      <c r="D573" s="21">
        <f t="shared" si="1050"/>
        <v>0</v>
      </c>
      <c r="E573" s="21">
        <f t="shared" si="1050"/>
        <v>0</v>
      </c>
      <c r="F573" s="21">
        <f t="shared" si="1050"/>
        <v>0</v>
      </c>
      <c r="G573" s="21">
        <f t="shared" si="1051"/>
        <v>27</v>
      </c>
      <c r="H573" s="21">
        <f t="shared" si="1052"/>
        <v>0</v>
      </c>
      <c r="I573" s="21">
        <f t="shared" si="1053"/>
        <v>27</v>
      </c>
      <c r="J573" s="21">
        <f t="shared" ref="J573:O573" si="1054">0</f>
        <v>0</v>
      </c>
      <c r="K573" s="21">
        <f t="shared" si="1054"/>
        <v>0</v>
      </c>
      <c r="L573" s="21">
        <f t="shared" si="1054"/>
        <v>0</v>
      </c>
      <c r="M573" s="21">
        <f t="shared" si="1054"/>
        <v>0</v>
      </c>
      <c r="N573" s="21">
        <f t="shared" si="1054"/>
        <v>0</v>
      </c>
      <c r="O573" s="21">
        <f t="shared" si="1054"/>
        <v>0</v>
      </c>
    </row>
    <row r="574">
      <c r="B574" s="20">
        <v>46246.0</v>
      </c>
      <c r="C574" s="21">
        <f t="shared" ref="C574:F574" si="1055">0</f>
        <v>0</v>
      </c>
      <c r="D574" s="21">
        <f t="shared" si="1055"/>
        <v>0</v>
      </c>
      <c r="E574" s="21">
        <f t="shared" si="1055"/>
        <v>0</v>
      </c>
      <c r="F574" s="21">
        <f t="shared" si="1055"/>
        <v>0</v>
      </c>
      <c r="G574" s="21">
        <f t="shared" si="1051"/>
        <v>27</v>
      </c>
      <c r="H574" s="21">
        <f t="shared" si="1052"/>
        <v>0</v>
      </c>
      <c r="I574" s="21">
        <f t="shared" si="1053"/>
        <v>27</v>
      </c>
      <c r="J574" s="21">
        <f t="shared" ref="J574:O574" si="1056">0</f>
        <v>0</v>
      </c>
      <c r="K574" s="21">
        <f t="shared" si="1056"/>
        <v>0</v>
      </c>
      <c r="L574" s="21">
        <f t="shared" si="1056"/>
        <v>0</v>
      </c>
      <c r="M574" s="21">
        <f t="shared" si="1056"/>
        <v>0</v>
      </c>
      <c r="N574" s="21">
        <f t="shared" si="1056"/>
        <v>0</v>
      </c>
      <c r="O574" s="21">
        <f t="shared" si="1056"/>
        <v>0</v>
      </c>
    </row>
    <row r="575">
      <c r="B575" s="20">
        <v>46246.0</v>
      </c>
      <c r="C575" s="21">
        <v>0.0</v>
      </c>
      <c r="D575" s="21">
        <v>0.0</v>
      </c>
      <c r="E575" s="21">
        <v>0.0</v>
      </c>
      <c r="F575" s="21">
        <v>0.0</v>
      </c>
      <c r="G575" s="21">
        <v>0.0</v>
      </c>
      <c r="H575" s="21">
        <v>0.0</v>
      </c>
      <c r="I575" s="21">
        <v>0.0</v>
      </c>
      <c r="J575" s="21">
        <v>0.0</v>
      </c>
      <c r="K575" s="21">
        <v>0.0</v>
      </c>
      <c r="L575" s="21">
        <v>0.0</v>
      </c>
      <c r="M575" s="21">
        <v>0.0</v>
      </c>
      <c r="N575" s="21">
        <v>0.0</v>
      </c>
      <c r="O575" s="21">
        <f>34</f>
        <v>34</v>
      </c>
    </row>
    <row r="576">
      <c r="B576" s="20">
        <v>46246.0</v>
      </c>
      <c r="C576" s="21">
        <v>0.0</v>
      </c>
      <c r="D576" s="21">
        <v>0.0</v>
      </c>
      <c r="E576" s="21">
        <v>0.0</v>
      </c>
      <c r="F576" s="21">
        <v>0.0</v>
      </c>
      <c r="G576" s="21">
        <v>0.0</v>
      </c>
      <c r="H576" s="21">
        <v>0.0</v>
      </c>
      <c r="I576" s="21">
        <f>42</f>
        <v>42</v>
      </c>
      <c r="J576" s="21">
        <v>0.0</v>
      </c>
      <c r="K576" s="21">
        <v>0.0</v>
      </c>
      <c r="L576" s="21">
        <v>0.0</v>
      </c>
      <c r="M576" s="21">
        <v>0.0</v>
      </c>
      <c r="N576" s="21">
        <v>0.0</v>
      </c>
      <c r="O576" s="21">
        <v>0.0</v>
      </c>
    </row>
    <row r="577">
      <c r="B577" s="20">
        <v>46246.0</v>
      </c>
      <c r="C577" s="21">
        <f>0</f>
        <v>0</v>
      </c>
      <c r="D577" s="21">
        <f>7.2</f>
        <v>7.2</v>
      </c>
      <c r="E577" s="21">
        <f t="shared" ref="E577:F577" si="1057">0</f>
        <v>0</v>
      </c>
      <c r="F577" s="21">
        <f t="shared" si="1057"/>
        <v>0</v>
      </c>
      <c r="G577" s="21">
        <f>1.8</f>
        <v>1.8</v>
      </c>
      <c r="H577" s="21">
        <f t="shared" ref="H577:O577" si="1058">0</f>
        <v>0</v>
      </c>
      <c r="I577" s="21">
        <f t="shared" si="1058"/>
        <v>0</v>
      </c>
      <c r="J577" s="21">
        <f t="shared" si="1058"/>
        <v>0</v>
      </c>
      <c r="K577" s="21">
        <f t="shared" si="1058"/>
        <v>0</v>
      </c>
      <c r="L577" s="21">
        <f t="shared" si="1058"/>
        <v>0</v>
      </c>
      <c r="M577" s="21">
        <f t="shared" si="1058"/>
        <v>0</v>
      </c>
      <c r="N577" s="21">
        <f t="shared" si="1058"/>
        <v>0</v>
      </c>
      <c r="O577" s="21">
        <f t="shared" si="1058"/>
        <v>0</v>
      </c>
    </row>
    <row r="578">
      <c r="B578" s="20">
        <v>46246.0</v>
      </c>
      <c r="C578" s="21">
        <f t="shared" ref="C578:C579" si="1061">171</f>
        <v>171</v>
      </c>
      <c r="D578" s="21">
        <f t="shared" ref="D578:L578" si="1059">0</f>
        <v>0</v>
      </c>
      <c r="E578" s="21">
        <f t="shared" si="1059"/>
        <v>0</v>
      </c>
      <c r="F578" s="21">
        <f t="shared" si="1059"/>
        <v>0</v>
      </c>
      <c r="G578" s="21">
        <f t="shared" si="1059"/>
        <v>0</v>
      </c>
      <c r="H578" s="21">
        <f t="shared" si="1059"/>
        <v>0</v>
      </c>
      <c r="I578" s="21">
        <f t="shared" si="1059"/>
        <v>0</v>
      </c>
      <c r="J578" s="21">
        <f t="shared" si="1059"/>
        <v>0</v>
      </c>
      <c r="K578" s="21">
        <f t="shared" si="1059"/>
        <v>0</v>
      </c>
      <c r="L578" s="21">
        <f t="shared" si="1059"/>
        <v>0</v>
      </c>
      <c r="M578" s="21">
        <f t="shared" ref="M578:M579" si="1063">19</f>
        <v>19</v>
      </c>
      <c r="N578" s="21">
        <f t="shared" ref="N578:O578" si="1060">0</f>
        <v>0</v>
      </c>
      <c r="O578" s="21">
        <f t="shared" si="1060"/>
        <v>0</v>
      </c>
    </row>
    <row r="579">
      <c r="B579" s="20">
        <v>46246.0</v>
      </c>
      <c r="C579" s="21">
        <f t="shared" si="1061"/>
        <v>171</v>
      </c>
      <c r="D579" s="21">
        <f t="shared" ref="D579:L579" si="1062">0</f>
        <v>0</v>
      </c>
      <c r="E579" s="21">
        <f t="shared" si="1062"/>
        <v>0</v>
      </c>
      <c r="F579" s="21">
        <f t="shared" si="1062"/>
        <v>0</v>
      </c>
      <c r="G579" s="21">
        <f t="shared" si="1062"/>
        <v>0</v>
      </c>
      <c r="H579" s="21">
        <f t="shared" si="1062"/>
        <v>0</v>
      </c>
      <c r="I579" s="21">
        <f t="shared" si="1062"/>
        <v>0</v>
      </c>
      <c r="J579" s="21">
        <f t="shared" si="1062"/>
        <v>0</v>
      </c>
      <c r="K579" s="21">
        <f t="shared" si="1062"/>
        <v>0</v>
      </c>
      <c r="L579" s="21">
        <f t="shared" si="1062"/>
        <v>0</v>
      </c>
      <c r="M579" s="21">
        <f t="shared" si="1063"/>
        <v>19</v>
      </c>
      <c r="N579" s="21">
        <f t="shared" ref="N579:O579" si="1064">0</f>
        <v>0</v>
      </c>
      <c r="O579" s="21">
        <f t="shared" si="1064"/>
        <v>0</v>
      </c>
    </row>
    <row r="580">
      <c r="B580" s="20">
        <v>46246.0</v>
      </c>
      <c r="C580" s="21">
        <v>0.0</v>
      </c>
      <c r="D580" s="21">
        <v>0.0</v>
      </c>
      <c r="E580" s="21">
        <v>0.0</v>
      </c>
      <c r="F580" s="21">
        <v>0.0</v>
      </c>
      <c r="G580" s="21">
        <v>0.0</v>
      </c>
      <c r="H580" s="21">
        <v>0.0</v>
      </c>
      <c r="I580" s="21">
        <f>58</f>
        <v>58</v>
      </c>
      <c r="J580" s="21">
        <v>0.0</v>
      </c>
      <c r="K580" s="21">
        <v>0.0</v>
      </c>
      <c r="L580" s="21">
        <v>0.0</v>
      </c>
      <c r="M580" s="21">
        <v>0.0</v>
      </c>
      <c r="N580" s="21">
        <v>0.0</v>
      </c>
      <c r="O580" s="21">
        <v>0.0</v>
      </c>
    </row>
    <row r="581">
      <c r="B581" s="20">
        <v>46246.0</v>
      </c>
      <c r="C581" s="21">
        <f t="shared" ref="C581:F581" si="1065">0</f>
        <v>0</v>
      </c>
      <c r="D581" s="21">
        <f t="shared" si="1065"/>
        <v>0</v>
      </c>
      <c r="E581" s="21">
        <f t="shared" si="1065"/>
        <v>0</v>
      </c>
      <c r="F581" s="21">
        <f t="shared" si="1065"/>
        <v>0</v>
      </c>
      <c r="G581" s="21">
        <f>28.8</f>
        <v>28.8</v>
      </c>
      <c r="H581" s="21">
        <f>0</f>
        <v>0</v>
      </c>
      <c r="I581" s="21">
        <f>7.2</f>
        <v>7.2</v>
      </c>
      <c r="J581" s="21">
        <f t="shared" ref="J581:O581" si="1066">0</f>
        <v>0</v>
      </c>
      <c r="K581" s="21">
        <f t="shared" si="1066"/>
        <v>0</v>
      </c>
      <c r="L581" s="21">
        <f t="shared" si="1066"/>
        <v>0</v>
      </c>
      <c r="M581" s="21">
        <f t="shared" si="1066"/>
        <v>0</v>
      </c>
      <c r="N581" s="21">
        <f t="shared" si="1066"/>
        <v>0</v>
      </c>
      <c r="O581" s="21">
        <f t="shared" si="1066"/>
        <v>0</v>
      </c>
    </row>
    <row r="582">
      <c r="B582" s="20">
        <v>46246.0</v>
      </c>
      <c r="C582" s="21">
        <f t="shared" ref="C582:E582" si="1067">0</f>
        <v>0</v>
      </c>
      <c r="D582" s="21">
        <f t="shared" si="1067"/>
        <v>0</v>
      </c>
      <c r="E582" s="21">
        <f t="shared" si="1067"/>
        <v>0</v>
      </c>
      <c r="F582" s="21">
        <f>8.2</f>
        <v>8.2</v>
      </c>
      <c r="G582" s="21">
        <f t="shared" ref="G582:H582" si="1068">0</f>
        <v>0</v>
      </c>
      <c r="H582" s="21">
        <f t="shared" si="1068"/>
        <v>0</v>
      </c>
      <c r="I582" s="21">
        <f>32.8</f>
        <v>32.8</v>
      </c>
      <c r="J582" s="21">
        <f t="shared" ref="J582:O582" si="1069">0</f>
        <v>0</v>
      </c>
      <c r="K582" s="21">
        <f t="shared" si="1069"/>
        <v>0</v>
      </c>
      <c r="L582" s="21">
        <f t="shared" si="1069"/>
        <v>0</v>
      </c>
      <c r="M582" s="21">
        <f t="shared" si="1069"/>
        <v>0</v>
      </c>
      <c r="N582" s="21">
        <f t="shared" si="1069"/>
        <v>0</v>
      </c>
      <c r="O582" s="21">
        <f t="shared" si="1069"/>
        <v>0</v>
      </c>
    </row>
    <row r="583">
      <c r="B583" s="20">
        <v>46246.0</v>
      </c>
      <c r="C583" s="21">
        <f t="shared" ref="C583:E583" si="1070">0</f>
        <v>0</v>
      </c>
      <c r="D583" s="21">
        <f t="shared" si="1070"/>
        <v>0</v>
      </c>
      <c r="E583" s="21">
        <f t="shared" si="1070"/>
        <v>0</v>
      </c>
      <c r="F583" s="21">
        <f>34</f>
        <v>34</v>
      </c>
      <c r="G583" s="21">
        <f t="shared" ref="G583:O583" si="1071">0</f>
        <v>0</v>
      </c>
      <c r="H583" s="21">
        <f t="shared" si="1071"/>
        <v>0</v>
      </c>
      <c r="I583" s="21">
        <f t="shared" si="1071"/>
        <v>0</v>
      </c>
      <c r="J583" s="21">
        <f t="shared" si="1071"/>
        <v>0</v>
      </c>
      <c r="K583" s="21">
        <f t="shared" si="1071"/>
        <v>0</v>
      </c>
      <c r="L583" s="21">
        <f t="shared" si="1071"/>
        <v>0</v>
      </c>
      <c r="M583" s="21">
        <f t="shared" si="1071"/>
        <v>0</v>
      </c>
      <c r="N583" s="21">
        <f t="shared" si="1071"/>
        <v>0</v>
      </c>
      <c r="O583" s="21">
        <f t="shared" si="1071"/>
        <v>0</v>
      </c>
    </row>
    <row r="584">
      <c r="B584" s="20">
        <v>46246.0</v>
      </c>
      <c r="C584" s="21">
        <f>18</f>
        <v>18</v>
      </c>
      <c r="D584" s="21">
        <f t="shared" ref="D584:H584" si="1072">0</f>
        <v>0</v>
      </c>
      <c r="E584" s="21">
        <f t="shared" si="1072"/>
        <v>0</v>
      </c>
      <c r="F584" s="21">
        <f t="shared" si="1072"/>
        <v>0</v>
      </c>
      <c r="G584" s="21">
        <f t="shared" si="1072"/>
        <v>0</v>
      </c>
      <c r="H584" s="21">
        <f t="shared" si="1072"/>
        <v>0</v>
      </c>
      <c r="I584" s="21">
        <f>18</f>
        <v>18</v>
      </c>
      <c r="J584" s="21">
        <f t="shared" ref="J584:O584" si="1073">0</f>
        <v>0</v>
      </c>
      <c r="K584" s="21">
        <f t="shared" si="1073"/>
        <v>0</v>
      </c>
      <c r="L584" s="21">
        <f t="shared" si="1073"/>
        <v>0</v>
      </c>
      <c r="M584" s="21">
        <f t="shared" si="1073"/>
        <v>0</v>
      </c>
      <c r="N584" s="21">
        <f t="shared" si="1073"/>
        <v>0</v>
      </c>
      <c r="O584" s="21">
        <f t="shared" si="1073"/>
        <v>0</v>
      </c>
    </row>
    <row r="585">
      <c r="B585" s="20">
        <v>46246.0</v>
      </c>
      <c r="C585" s="21">
        <f t="shared" ref="C585:F585" si="1074">0</f>
        <v>0</v>
      </c>
      <c r="D585" s="21">
        <f t="shared" si="1074"/>
        <v>0</v>
      </c>
      <c r="E585" s="21">
        <f t="shared" si="1074"/>
        <v>0</v>
      </c>
      <c r="F585" s="21">
        <f t="shared" si="1074"/>
        <v>0</v>
      </c>
      <c r="G585" s="21">
        <f>6.4</f>
        <v>6.4</v>
      </c>
      <c r="H585" s="21">
        <f>0</f>
        <v>0</v>
      </c>
      <c r="I585" s="21">
        <f>25.6</f>
        <v>25.6</v>
      </c>
      <c r="J585" s="21">
        <f t="shared" ref="J585:O585" si="1075">0</f>
        <v>0</v>
      </c>
      <c r="K585" s="21">
        <f t="shared" si="1075"/>
        <v>0</v>
      </c>
      <c r="L585" s="21">
        <f t="shared" si="1075"/>
        <v>0</v>
      </c>
      <c r="M585" s="21">
        <f t="shared" si="1075"/>
        <v>0</v>
      </c>
      <c r="N585" s="21">
        <f t="shared" si="1075"/>
        <v>0</v>
      </c>
      <c r="O585" s="21">
        <f t="shared" si="1075"/>
        <v>0</v>
      </c>
    </row>
    <row r="586">
      <c r="B586" s="20">
        <v>46247.0</v>
      </c>
      <c r="C586" s="21">
        <f>9</f>
        <v>9</v>
      </c>
      <c r="D586" s="21">
        <f t="shared" ref="D586:J586" si="1076">0</f>
        <v>0</v>
      </c>
      <c r="E586" s="21">
        <f t="shared" si="1076"/>
        <v>0</v>
      </c>
      <c r="F586" s="21">
        <f t="shared" si="1076"/>
        <v>0</v>
      </c>
      <c r="G586" s="21">
        <f t="shared" si="1076"/>
        <v>0</v>
      </c>
      <c r="H586" s="21">
        <f t="shared" si="1076"/>
        <v>0</v>
      </c>
      <c r="I586" s="21">
        <f t="shared" si="1076"/>
        <v>0</v>
      </c>
      <c r="J586" s="21">
        <f t="shared" si="1076"/>
        <v>0</v>
      </c>
      <c r="K586" s="21">
        <f>12</f>
        <v>12</v>
      </c>
      <c r="L586" s="21">
        <f>0</f>
        <v>0</v>
      </c>
      <c r="M586" s="21">
        <f>9</f>
        <v>9</v>
      </c>
      <c r="N586" s="21">
        <f t="shared" ref="N586:O586" si="1077">0</f>
        <v>0</v>
      </c>
      <c r="O586" s="21">
        <f t="shared" si="1077"/>
        <v>0</v>
      </c>
    </row>
    <row r="587">
      <c r="B587" s="20">
        <v>46247.0</v>
      </c>
      <c r="C587" s="21">
        <v>0.0</v>
      </c>
      <c r="D587" s="21">
        <v>0.0</v>
      </c>
      <c r="E587" s="21">
        <v>0.0</v>
      </c>
      <c r="F587" s="21">
        <v>0.0</v>
      </c>
      <c r="G587" s="21">
        <v>0.0</v>
      </c>
      <c r="H587" s="21">
        <v>0.0</v>
      </c>
      <c r="I587" s="21">
        <v>0.0</v>
      </c>
      <c r="J587" s="21">
        <v>0.0</v>
      </c>
      <c r="K587" s="21">
        <v>0.0</v>
      </c>
      <c r="L587" s="21">
        <v>0.0</v>
      </c>
      <c r="M587" s="21">
        <v>0.0</v>
      </c>
      <c r="N587" s="21">
        <v>0.0</v>
      </c>
      <c r="O587" s="21">
        <f>15</f>
        <v>15</v>
      </c>
    </row>
    <row r="588">
      <c r="B588" s="20">
        <v>46247.0</v>
      </c>
      <c r="C588" s="21">
        <f>3</f>
        <v>3</v>
      </c>
      <c r="D588" s="21">
        <f t="shared" ref="D588:F588" si="1078">0</f>
        <v>0</v>
      </c>
      <c r="E588" s="21">
        <f t="shared" si="1078"/>
        <v>0</v>
      </c>
      <c r="F588" s="21">
        <f t="shared" si="1078"/>
        <v>0</v>
      </c>
      <c r="G588" s="21">
        <f>3</f>
        <v>3</v>
      </c>
      <c r="H588" s="21">
        <f t="shared" ref="H588:H589" si="1081">0</f>
        <v>0</v>
      </c>
      <c r="I588" s="21">
        <f>24</f>
        <v>24</v>
      </c>
      <c r="J588" s="21">
        <f t="shared" ref="J588:O588" si="1079">0</f>
        <v>0</v>
      </c>
      <c r="K588" s="21">
        <f t="shared" si="1079"/>
        <v>0</v>
      </c>
      <c r="L588" s="21">
        <f t="shared" si="1079"/>
        <v>0</v>
      </c>
      <c r="M588" s="21">
        <f t="shared" si="1079"/>
        <v>0</v>
      </c>
      <c r="N588" s="21">
        <f t="shared" si="1079"/>
        <v>0</v>
      </c>
      <c r="O588" s="21">
        <f t="shared" si="1079"/>
        <v>0</v>
      </c>
    </row>
    <row r="589">
      <c r="B589" s="20">
        <v>46247.0</v>
      </c>
      <c r="C589" s="21">
        <f>9.4</f>
        <v>9.4</v>
      </c>
      <c r="D589" s="21">
        <f t="shared" ref="D589:F589" si="1080">0</f>
        <v>0</v>
      </c>
      <c r="E589" s="21">
        <f t="shared" si="1080"/>
        <v>0</v>
      </c>
      <c r="F589" s="21">
        <f t="shared" si="1080"/>
        <v>0</v>
      </c>
      <c r="G589" s="21">
        <f>23.5</f>
        <v>23.5</v>
      </c>
      <c r="H589" s="21">
        <f t="shared" si="1081"/>
        <v>0</v>
      </c>
      <c r="I589" s="21">
        <f t="shared" ref="I589:L589" si="1082">0</f>
        <v>0</v>
      </c>
      <c r="J589" s="21">
        <f t="shared" si="1082"/>
        <v>0</v>
      </c>
      <c r="K589" s="21">
        <f t="shared" si="1082"/>
        <v>0</v>
      </c>
      <c r="L589" s="21">
        <f t="shared" si="1082"/>
        <v>0</v>
      </c>
      <c r="M589" s="21">
        <f>14.1</f>
        <v>14.1</v>
      </c>
      <c r="N589" s="21">
        <f t="shared" ref="N589:O589" si="1083">0</f>
        <v>0</v>
      </c>
      <c r="O589" s="21">
        <f t="shared" si="1083"/>
        <v>0</v>
      </c>
    </row>
    <row r="590">
      <c r="B590" s="20">
        <v>46247.0</v>
      </c>
      <c r="C590" s="21">
        <v>0.0</v>
      </c>
      <c r="D590" s="21">
        <v>0.0</v>
      </c>
      <c r="E590" s="21">
        <v>0.0</v>
      </c>
      <c r="F590" s="21">
        <v>0.0</v>
      </c>
      <c r="G590" s="21">
        <v>0.0</v>
      </c>
      <c r="H590" s="21">
        <v>0.0</v>
      </c>
      <c r="I590" s="21">
        <f>29</f>
        <v>29</v>
      </c>
      <c r="J590" s="21">
        <v>0.0</v>
      </c>
      <c r="K590" s="21">
        <v>0.0</v>
      </c>
      <c r="L590" s="21">
        <v>0.0</v>
      </c>
      <c r="M590" s="21">
        <v>0.0</v>
      </c>
      <c r="N590" s="21">
        <v>0.0</v>
      </c>
      <c r="O590" s="21">
        <v>0.0</v>
      </c>
    </row>
    <row r="591">
      <c r="B591" s="20">
        <v>46247.0</v>
      </c>
      <c r="C591" s="21">
        <f>0</f>
        <v>0</v>
      </c>
      <c r="D591" s="21">
        <f>8.8</f>
        <v>8.8</v>
      </c>
      <c r="E591" s="21">
        <f t="shared" ref="E591:H591" si="1084">0</f>
        <v>0</v>
      </c>
      <c r="F591" s="21">
        <f t="shared" si="1084"/>
        <v>0</v>
      </c>
      <c r="G591" s="21">
        <f t="shared" si="1084"/>
        <v>0</v>
      </c>
      <c r="H591" s="21">
        <f t="shared" si="1084"/>
        <v>0</v>
      </c>
      <c r="I591" s="21">
        <f>4.4</f>
        <v>4.4</v>
      </c>
      <c r="J591" s="21">
        <f t="shared" ref="J591:L591" si="1085">0</f>
        <v>0</v>
      </c>
      <c r="K591" s="21">
        <f t="shared" si="1085"/>
        <v>0</v>
      </c>
      <c r="L591" s="21">
        <f t="shared" si="1085"/>
        <v>0</v>
      </c>
      <c r="M591" s="21">
        <f>8.8</f>
        <v>8.8</v>
      </c>
      <c r="N591" s="21">
        <f t="shared" ref="N591:O591" si="1086">0</f>
        <v>0</v>
      </c>
      <c r="O591" s="21">
        <f t="shared" si="1086"/>
        <v>0</v>
      </c>
    </row>
    <row r="592">
      <c r="B592" s="20">
        <v>46247.0</v>
      </c>
      <c r="C592" s="21">
        <f>8.8</f>
        <v>8.8</v>
      </c>
      <c r="D592" s="21">
        <f t="shared" ref="D592:H592" si="1087">0</f>
        <v>0</v>
      </c>
      <c r="E592" s="21">
        <f t="shared" si="1087"/>
        <v>0</v>
      </c>
      <c r="F592" s="21">
        <f t="shared" si="1087"/>
        <v>0</v>
      </c>
      <c r="G592" s="21">
        <f t="shared" si="1087"/>
        <v>0</v>
      </c>
      <c r="H592" s="21">
        <f t="shared" si="1087"/>
        <v>0</v>
      </c>
      <c r="I592" s="21">
        <f>13.2</f>
        <v>13.2</v>
      </c>
      <c r="J592" s="21">
        <f t="shared" ref="J592:L592" si="1088">0</f>
        <v>0</v>
      </c>
      <c r="K592" s="21">
        <f t="shared" si="1088"/>
        <v>0</v>
      </c>
      <c r="L592" s="21">
        <f t="shared" si="1088"/>
        <v>0</v>
      </c>
      <c r="M592" s="21">
        <f>13.2</f>
        <v>13.2</v>
      </c>
      <c r="N592" s="21">
        <f t="shared" ref="N592:N593" si="1090">0</f>
        <v>0</v>
      </c>
      <c r="O592" s="21">
        <f>8.8</f>
        <v>8.8</v>
      </c>
    </row>
    <row r="593">
      <c r="B593" s="20">
        <v>46247.0</v>
      </c>
      <c r="C593" s="21">
        <f>115.2</f>
        <v>115.2</v>
      </c>
      <c r="D593" s="21">
        <f t="shared" ref="D593:L593" si="1089">0</f>
        <v>0</v>
      </c>
      <c r="E593" s="21">
        <f t="shared" si="1089"/>
        <v>0</v>
      </c>
      <c r="F593" s="21">
        <f t="shared" si="1089"/>
        <v>0</v>
      </c>
      <c r="G593" s="21">
        <f t="shared" si="1089"/>
        <v>0</v>
      </c>
      <c r="H593" s="21">
        <f t="shared" si="1089"/>
        <v>0</v>
      </c>
      <c r="I593" s="21">
        <f t="shared" si="1089"/>
        <v>0</v>
      </c>
      <c r="J593" s="21">
        <f t="shared" si="1089"/>
        <v>0</v>
      </c>
      <c r="K593" s="21">
        <f t="shared" si="1089"/>
        <v>0</v>
      </c>
      <c r="L593" s="21">
        <f t="shared" si="1089"/>
        <v>0</v>
      </c>
      <c r="M593" s="21">
        <f>28.8</f>
        <v>28.8</v>
      </c>
      <c r="N593" s="21">
        <f t="shared" si="1090"/>
        <v>0</v>
      </c>
      <c r="O593" s="21">
        <f>0</f>
        <v>0</v>
      </c>
    </row>
    <row r="594">
      <c r="B594" s="20">
        <v>46248.0</v>
      </c>
      <c r="C594" s="21">
        <v>0.0</v>
      </c>
      <c r="D594" s="21">
        <v>0.0</v>
      </c>
      <c r="E594" s="21">
        <v>0.0</v>
      </c>
      <c r="F594" s="21">
        <v>0.0</v>
      </c>
      <c r="G594" s="21">
        <v>0.0</v>
      </c>
      <c r="H594" s="21">
        <v>0.0</v>
      </c>
      <c r="I594" s="21">
        <v>0.0</v>
      </c>
      <c r="J594" s="21">
        <v>0.0</v>
      </c>
      <c r="K594" s="21">
        <v>0.0</v>
      </c>
      <c r="L594" s="21">
        <v>0.0</v>
      </c>
      <c r="M594" s="21">
        <v>0.0</v>
      </c>
      <c r="N594" s="21">
        <v>0.0</v>
      </c>
      <c r="O594" s="21">
        <f>32</f>
        <v>32</v>
      </c>
    </row>
    <row r="595">
      <c r="B595" s="20">
        <v>46248.0</v>
      </c>
      <c r="C595" s="21">
        <f t="shared" ref="C595:F595" si="1091">0</f>
        <v>0</v>
      </c>
      <c r="D595" s="21">
        <f t="shared" si="1091"/>
        <v>0</v>
      </c>
      <c r="E595" s="21">
        <f t="shared" si="1091"/>
        <v>0</v>
      </c>
      <c r="F595" s="21">
        <f t="shared" si="1091"/>
        <v>0</v>
      </c>
      <c r="G595" s="21">
        <f>8</f>
        <v>8</v>
      </c>
      <c r="H595" s="21">
        <f>0</f>
        <v>0</v>
      </c>
      <c r="I595" s="21">
        <f>20</f>
        <v>20</v>
      </c>
      <c r="J595" s="21">
        <f t="shared" ref="J595:L595" si="1092">0</f>
        <v>0</v>
      </c>
      <c r="K595" s="21">
        <f t="shared" si="1092"/>
        <v>0</v>
      </c>
      <c r="L595" s="21">
        <f t="shared" si="1092"/>
        <v>0</v>
      </c>
      <c r="M595" s="21">
        <f>12</f>
        <v>12</v>
      </c>
      <c r="N595" s="21">
        <f t="shared" ref="N595:O595" si="1093">0</f>
        <v>0</v>
      </c>
      <c r="O595" s="21">
        <f t="shared" si="1093"/>
        <v>0</v>
      </c>
    </row>
    <row r="596">
      <c r="B596" s="20">
        <v>46248.0</v>
      </c>
      <c r="C596" s="21">
        <f>12.8</f>
        <v>12.8</v>
      </c>
      <c r="D596" s="21">
        <f t="shared" ref="D596:E596" si="1094">0</f>
        <v>0</v>
      </c>
      <c r="E596" s="21">
        <f t="shared" si="1094"/>
        <v>0</v>
      </c>
      <c r="F596" s="21">
        <f>19.2</f>
        <v>19.2</v>
      </c>
      <c r="G596" s="21">
        <f t="shared" ref="G596:H596" si="1095">0</f>
        <v>0</v>
      </c>
      <c r="H596" s="21">
        <f t="shared" si="1095"/>
        <v>0</v>
      </c>
      <c r="I596" s="21">
        <f>19.2</f>
        <v>19.2</v>
      </c>
      <c r="J596" s="21">
        <f>0</f>
        <v>0</v>
      </c>
      <c r="K596" s="21">
        <f>12.8</f>
        <v>12.8</v>
      </c>
      <c r="L596" s="21">
        <f t="shared" ref="L596:O596" si="1096">0</f>
        <v>0</v>
      </c>
      <c r="M596" s="21">
        <f t="shared" si="1096"/>
        <v>0</v>
      </c>
      <c r="N596" s="21">
        <f t="shared" si="1096"/>
        <v>0</v>
      </c>
      <c r="O596" s="21">
        <f t="shared" si="1096"/>
        <v>0</v>
      </c>
    </row>
    <row r="597">
      <c r="B597" s="20">
        <v>46248.0</v>
      </c>
      <c r="C597" s="21">
        <v>0.0</v>
      </c>
      <c r="D597" s="21">
        <v>0.0</v>
      </c>
      <c r="E597" s="21">
        <v>0.0</v>
      </c>
      <c r="F597" s="21">
        <v>0.0</v>
      </c>
      <c r="G597" s="21">
        <v>0.0</v>
      </c>
      <c r="H597" s="21">
        <v>0.0</v>
      </c>
      <c r="I597" s="21">
        <v>0.0</v>
      </c>
      <c r="J597" s="21">
        <v>0.0</v>
      </c>
      <c r="K597" s="21">
        <v>0.0</v>
      </c>
      <c r="L597" s="21">
        <v>0.0</v>
      </c>
      <c r="M597" s="21">
        <v>0.0</v>
      </c>
      <c r="N597" s="21">
        <v>0.0</v>
      </c>
      <c r="O597" s="21">
        <f>24</f>
        <v>24</v>
      </c>
    </row>
    <row r="598">
      <c r="B598" s="20">
        <v>46248.0</v>
      </c>
      <c r="C598" s="21">
        <f t="shared" ref="C598:F598" si="1097">0</f>
        <v>0</v>
      </c>
      <c r="D598" s="21">
        <f t="shared" si="1097"/>
        <v>0</v>
      </c>
      <c r="E598" s="21">
        <f t="shared" si="1097"/>
        <v>0</v>
      </c>
      <c r="F598" s="21">
        <f t="shared" si="1097"/>
        <v>0</v>
      </c>
      <c r="G598" s="21">
        <f>45.6</f>
        <v>45.6</v>
      </c>
      <c r="H598" s="21">
        <f t="shared" ref="H598:L598" si="1098">0</f>
        <v>0</v>
      </c>
      <c r="I598" s="21">
        <f t="shared" si="1098"/>
        <v>0</v>
      </c>
      <c r="J598" s="21">
        <f t="shared" si="1098"/>
        <v>0</v>
      </c>
      <c r="K598" s="21">
        <f t="shared" si="1098"/>
        <v>0</v>
      </c>
      <c r="L598" s="21">
        <f t="shared" si="1098"/>
        <v>0</v>
      </c>
      <c r="M598" s="21">
        <f>68.4</f>
        <v>68.4</v>
      </c>
      <c r="N598" s="21">
        <f t="shared" ref="N598:O598" si="1099">0</f>
        <v>0</v>
      </c>
      <c r="O598" s="21">
        <f t="shared" si="1099"/>
        <v>0</v>
      </c>
    </row>
    <row r="599">
      <c r="B599" s="20">
        <v>46248.0</v>
      </c>
      <c r="C599" s="21">
        <f t="shared" ref="C599:H599" si="1100">0</f>
        <v>0</v>
      </c>
      <c r="D599" s="21">
        <f t="shared" si="1100"/>
        <v>0</v>
      </c>
      <c r="E599" s="21">
        <f t="shared" si="1100"/>
        <v>0</v>
      </c>
      <c r="F599" s="21">
        <f t="shared" si="1100"/>
        <v>0</v>
      </c>
      <c r="G599" s="21">
        <f t="shared" si="1100"/>
        <v>0</v>
      </c>
      <c r="H599" s="21">
        <f t="shared" si="1100"/>
        <v>0</v>
      </c>
      <c r="I599" s="21">
        <f>67.9</f>
        <v>67.9</v>
      </c>
      <c r="J599" s="21">
        <f>29.1</f>
        <v>29.1</v>
      </c>
      <c r="K599" s="21">
        <f t="shared" ref="K599:O599" si="1101">0</f>
        <v>0</v>
      </c>
      <c r="L599" s="21">
        <f t="shared" si="1101"/>
        <v>0</v>
      </c>
      <c r="M599" s="21">
        <f t="shared" si="1101"/>
        <v>0</v>
      </c>
      <c r="N599" s="21">
        <f t="shared" si="1101"/>
        <v>0</v>
      </c>
      <c r="O599" s="21">
        <f t="shared" si="1101"/>
        <v>0</v>
      </c>
    </row>
    <row r="600">
      <c r="B600" s="20">
        <v>46248.0</v>
      </c>
      <c r="C600" s="21">
        <f t="shared" ref="C600:D600" si="1102">0</f>
        <v>0</v>
      </c>
      <c r="D600" s="21">
        <f t="shared" si="1102"/>
        <v>0</v>
      </c>
      <c r="E600" s="21">
        <f>27.3</f>
        <v>27.3</v>
      </c>
      <c r="F600" s="21">
        <f t="shared" ref="F600:L600" si="1103">0</f>
        <v>0</v>
      </c>
      <c r="G600" s="21">
        <f t="shared" si="1103"/>
        <v>0</v>
      </c>
      <c r="H600" s="21">
        <f t="shared" si="1103"/>
        <v>0</v>
      </c>
      <c r="I600" s="21">
        <f t="shared" si="1103"/>
        <v>0</v>
      </c>
      <c r="J600" s="21">
        <f t="shared" si="1103"/>
        <v>0</v>
      </c>
      <c r="K600" s="21">
        <f t="shared" si="1103"/>
        <v>0</v>
      </c>
      <c r="L600" s="21">
        <f t="shared" si="1103"/>
        <v>0</v>
      </c>
      <c r="M600" s="21">
        <f>11.7</f>
        <v>11.7</v>
      </c>
      <c r="N600" s="21">
        <f t="shared" ref="N600:O600" si="1104">0</f>
        <v>0</v>
      </c>
      <c r="O600" s="21">
        <f t="shared" si="1104"/>
        <v>0</v>
      </c>
    </row>
    <row r="601">
      <c r="B601" s="20">
        <v>46248.0</v>
      </c>
      <c r="C601" s="21">
        <f t="shared" ref="C601:D601" si="1105">10.2</f>
        <v>10.2</v>
      </c>
      <c r="D601" s="21">
        <f t="shared" si="1105"/>
        <v>10.2</v>
      </c>
      <c r="E601" s="21">
        <f t="shared" ref="E601:H601" si="1106">0</f>
        <v>0</v>
      </c>
      <c r="F601" s="21">
        <f t="shared" si="1106"/>
        <v>0</v>
      </c>
      <c r="G601" s="21">
        <f t="shared" si="1106"/>
        <v>0</v>
      </c>
      <c r="H601" s="21">
        <f t="shared" si="1106"/>
        <v>0</v>
      </c>
      <c r="I601" s="21">
        <f>13.6</f>
        <v>13.6</v>
      </c>
      <c r="J601" s="21">
        <f t="shared" ref="J601:O601" si="1107">0</f>
        <v>0</v>
      </c>
      <c r="K601" s="21">
        <f t="shared" si="1107"/>
        <v>0</v>
      </c>
      <c r="L601" s="21">
        <f t="shared" si="1107"/>
        <v>0</v>
      </c>
      <c r="M601" s="21">
        <f t="shared" si="1107"/>
        <v>0</v>
      </c>
      <c r="N601" s="21">
        <f t="shared" si="1107"/>
        <v>0</v>
      </c>
      <c r="O601" s="21">
        <f t="shared" si="1107"/>
        <v>0</v>
      </c>
    </row>
    <row r="602">
      <c r="B602" s="20">
        <v>46248.0</v>
      </c>
      <c r="C602" s="21">
        <f t="shared" ref="C602:L602" si="1108">0</f>
        <v>0</v>
      </c>
      <c r="D602" s="21">
        <f t="shared" si="1108"/>
        <v>0</v>
      </c>
      <c r="E602" s="21">
        <f t="shared" si="1108"/>
        <v>0</v>
      </c>
      <c r="F602" s="21">
        <f t="shared" si="1108"/>
        <v>0</v>
      </c>
      <c r="G602" s="21">
        <f t="shared" si="1108"/>
        <v>0</v>
      </c>
      <c r="H602" s="21">
        <f t="shared" si="1108"/>
        <v>0</v>
      </c>
      <c r="I602" s="21">
        <f t="shared" si="1108"/>
        <v>0</v>
      </c>
      <c r="J602" s="21">
        <f t="shared" si="1108"/>
        <v>0</v>
      </c>
      <c r="K602" s="21">
        <f t="shared" si="1108"/>
        <v>0</v>
      </c>
      <c r="L602" s="21">
        <f t="shared" si="1108"/>
        <v>0</v>
      </c>
      <c r="M602" s="21">
        <f>16</f>
        <v>16</v>
      </c>
      <c r="N602" s="21">
        <f t="shared" ref="N602:N604" si="1111">0</f>
        <v>0</v>
      </c>
      <c r="O602" s="21">
        <f>16</f>
        <v>16</v>
      </c>
    </row>
    <row r="603">
      <c r="B603" s="20">
        <v>46248.0</v>
      </c>
      <c r="C603" s="21">
        <f t="shared" ref="C603:F603" si="1109">0</f>
        <v>0</v>
      </c>
      <c r="D603" s="21">
        <f t="shared" si="1109"/>
        <v>0</v>
      </c>
      <c r="E603" s="21">
        <f t="shared" si="1109"/>
        <v>0</v>
      </c>
      <c r="F603" s="21">
        <f t="shared" si="1109"/>
        <v>0</v>
      </c>
      <c r="G603" s="21">
        <f>17.6</f>
        <v>17.6</v>
      </c>
      <c r="H603" s="21">
        <f t="shared" ref="H603:L603" si="1110">0</f>
        <v>0</v>
      </c>
      <c r="I603" s="21">
        <f t="shared" si="1110"/>
        <v>0</v>
      </c>
      <c r="J603" s="21">
        <f t="shared" si="1110"/>
        <v>0</v>
      </c>
      <c r="K603" s="21">
        <f t="shared" si="1110"/>
        <v>0</v>
      </c>
      <c r="L603" s="21">
        <f t="shared" si="1110"/>
        <v>0</v>
      </c>
      <c r="M603" s="21">
        <f>4.4</f>
        <v>4.4</v>
      </c>
      <c r="N603" s="21">
        <f t="shared" si="1111"/>
        <v>0</v>
      </c>
      <c r="O603" s="21">
        <f t="shared" ref="O603:O604" si="1113">0</f>
        <v>0</v>
      </c>
    </row>
    <row r="604">
      <c r="B604" s="20">
        <v>46248.0</v>
      </c>
      <c r="C604" s="21">
        <f t="shared" ref="C604:C605" si="1114">0</f>
        <v>0</v>
      </c>
      <c r="D604" s="21">
        <f>25.6</f>
        <v>25.6</v>
      </c>
      <c r="E604" s="21">
        <f t="shared" ref="E604:L604" si="1112">0</f>
        <v>0</v>
      </c>
      <c r="F604" s="21">
        <f t="shared" si="1112"/>
        <v>0</v>
      </c>
      <c r="G604" s="21">
        <f t="shared" si="1112"/>
        <v>0</v>
      </c>
      <c r="H604" s="21">
        <f t="shared" si="1112"/>
        <v>0</v>
      </c>
      <c r="I604" s="21">
        <f t="shared" si="1112"/>
        <v>0</v>
      </c>
      <c r="J604" s="21">
        <f t="shared" si="1112"/>
        <v>0</v>
      </c>
      <c r="K604" s="21">
        <f t="shared" si="1112"/>
        <v>0</v>
      </c>
      <c r="L604" s="21">
        <f t="shared" si="1112"/>
        <v>0</v>
      </c>
      <c r="M604" s="21">
        <f>6.4</f>
        <v>6.4</v>
      </c>
      <c r="N604" s="21">
        <f t="shared" si="1111"/>
        <v>0</v>
      </c>
      <c r="O604" s="21">
        <f t="shared" si="1113"/>
        <v>0</v>
      </c>
    </row>
    <row r="605">
      <c r="B605" s="20">
        <v>46248.0</v>
      </c>
      <c r="C605" s="21">
        <f t="shared" si="1114"/>
        <v>0</v>
      </c>
      <c r="D605" s="21">
        <f t="shared" ref="D605:F605" si="1115">0</f>
        <v>0</v>
      </c>
      <c r="E605" s="21">
        <f t="shared" si="1115"/>
        <v>0</v>
      </c>
      <c r="F605" s="21">
        <f t="shared" si="1115"/>
        <v>0</v>
      </c>
      <c r="G605" s="21">
        <f>16</f>
        <v>16</v>
      </c>
      <c r="H605" s="21">
        <f t="shared" ref="H605:O605" si="1116">0</f>
        <v>0</v>
      </c>
      <c r="I605" s="21">
        <f t="shared" si="1116"/>
        <v>0</v>
      </c>
      <c r="J605" s="21">
        <f t="shared" si="1116"/>
        <v>0</v>
      </c>
      <c r="K605" s="21">
        <f t="shared" si="1116"/>
        <v>0</v>
      </c>
      <c r="L605" s="21">
        <f t="shared" si="1116"/>
        <v>0</v>
      </c>
      <c r="M605" s="21">
        <f t="shared" si="1116"/>
        <v>0</v>
      </c>
      <c r="N605" s="21">
        <f t="shared" si="1116"/>
        <v>0</v>
      </c>
      <c r="O605" s="21">
        <f t="shared" si="1116"/>
        <v>0</v>
      </c>
    </row>
    <row r="606">
      <c r="B606" s="20">
        <v>46248.0</v>
      </c>
      <c r="C606" s="21">
        <v>0.0</v>
      </c>
      <c r="D606" s="21">
        <v>0.0</v>
      </c>
      <c r="E606" s="21">
        <v>0.0</v>
      </c>
      <c r="F606" s="21">
        <v>0.0</v>
      </c>
      <c r="G606" s="21">
        <v>0.0</v>
      </c>
      <c r="H606" s="21">
        <v>0.0</v>
      </c>
      <c r="I606" s="21">
        <v>0.0</v>
      </c>
      <c r="J606" s="21">
        <v>0.0</v>
      </c>
      <c r="K606" s="21">
        <v>0.0</v>
      </c>
      <c r="L606" s="21">
        <v>0.0</v>
      </c>
      <c r="M606" s="21">
        <v>0.0</v>
      </c>
      <c r="N606" s="21">
        <v>0.0</v>
      </c>
      <c r="O606" s="21">
        <f>32</f>
        <v>32</v>
      </c>
    </row>
    <row r="607">
      <c r="B607" s="20">
        <v>46248.0</v>
      </c>
      <c r="C607" s="21">
        <f>15.2</f>
        <v>15.2</v>
      </c>
      <c r="D607" s="21">
        <f t="shared" ref="D607:F607" si="1117">0</f>
        <v>0</v>
      </c>
      <c r="E607" s="21">
        <f t="shared" si="1117"/>
        <v>0</v>
      </c>
      <c r="F607" s="21">
        <f t="shared" si="1117"/>
        <v>0</v>
      </c>
      <c r="G607" s="21">
        <f>3.8</f>
        <v>3.8</v>
      </c>
      <c r="H607" s="21">
        <f>0</f>
        <v>0</v>
      </c>
      <c r="I607" s="21">
        <f>19</f>
        <v>19</v>
      </c>
      <c r="J607" s="21">
        <f t="shared" ref="J607:O607" si="1118">0</f>
        <v>0</v>
      </c>
      <c r="K607" s="21">
        <f t="shared" si="1118"/>
        <v>0</v>
      </c>
      <c r="L607" s="21">
        <f t="shared" si="1118"/>
        <v>0</v>
      </c>
      <c r="M607" s="21">
        <f t="shared" si="1118"/>
        <v>0</v>
      </c>
      <c r="N607" s="21">
        <f t="shared" si="1118"/>
        <v>0</v>
      </c>
      <c r="O607" s="21">
        <f t="shared" si="1118"/>
        <v>0</v>
      </c>
    </row>
    <row r="608">
      <c r="B608" s="20">
        <v>46248.0</v>
      </c>
      <c r="C608" s="21">
        <f>15.8</f>
        <v>15.8</v>
      </c>
      <c r="D608" s="21">
        <f t="shared" ref="D608:H608" si="1119">0</f>
        <v>0</v>
      </c>
      <c r="E608" s="21">
        <f t="shared" si="1119"/>
        <v>0</v>
      </c>
      <c r="F608" s="21">
        <f t="shared" si="1119"/>
        <v>0</v>
      </c>
      <c r="G608" s="21">
        <f t="shared" si="1119"/>
        <v>0</v>
      </c>
      <c r="H608" s="21">
        <f t="shared" si="1119"/>
        <v>0</v>
      </c>
      <c r="I608" s="21">
        <f>55.3</f>
        <v>55.3</v>
      </c>
      <c r="J608" s="21">
        <f t="shared" ref="J608:N608" si="1120">0</f>
        <v>0</v>
      </c>
      <c r="K608" s="21">
        <f t="shared" si="1120"/>
        <v>0</v>
      </c>
      <c r="L608" s="21">
        <f t="shared" si="1120"/>
        <v>0</v>
      </c>
      <c r="M608" s="21">
        <f t="shared" si="1120"/>
        <v>0</v>
      </c>
      <c r="N608" s="21">
        <f t="shared" si="1120"/>
        <v>0</v>
      </c>
      <c r="O608" s="21">
        <f>7.9</f>
        <v>7.9</v>
      </c>
    </row>
    <row r="609">
      <c r="B609" s="20">
        <v>46248.0</v>
      </c>
      <c r="C609" s="21">
        <f>42</f>
        <v>42</v>
      </c>
      <c r="D609" s="21">
        <f>0</f>
        <v>0</v>
      </c>
      <c r="E609" s="21">
        <f>28</f>
        <v>28</v>
      </c>
      <c r="F609" s="21">
        <f t="shared" ref="F609:O609" si="1121">0</f>
        <v>0</v>
      </c>
      <c r="G609" s="21">
        <f t="shared" si="1121"/>
        <v>0</v>
      </c>
      <c r="H609" s="21">
        <f t="shared" si="1121"/>
        <v>0</v>
      </c>
      <c r="I609" s="21">
        <f t="shared" si="1121"/>
        <v>0</v>
      </c>
      <c r="J609" s="21">
        <f t="shared" si="1121"/>
        <v>0</v>
      </c>
      <c r="K609" s="21">
        <f t="shared" si="1121"/>
        <v>0</v>
      </c>
      <c r="L609" s="21">
        <f t="shared" si="1121"/>
        <v>0</v>
      </c>
      <c r="M609" s="21">
        <f t="shared" si="1121"/>
        <v>0</v>
      </c>
      <c r="N609" s="21">
        <f t="shared" si="1121"/>
        <v>0</v>
      </c>
      <c r="O609" s="21">
        <f t="shared" si="1121"/>
        <v>0</v>
      </c>
    </row>
    <row r="610">
      <c r="B610" s="20">
        <v>46248.0</v>
      </c>
      <c r="C610" s="21">
        <f>0</f>
        <v>0</v>
      </c>
      <c r="D610" s="21">
        <f>2.4</f>
        <v>2.4</v>
      </c>
      <c r="E610" s="21">
        <f t="shared" ref="E610:M610" si="1122">0</f>
        <v>0</v>
      </c>
      <c r="F610" s="21">
        <f t="shared" si="1122"/>
        <v>0</v>
      </c>
      <c r="G610" s="21">
        <f t="shared" si="1122"/>
        <v>0</v>
      </c>
      <c r="H610" s="21">
        <f t="shared" si="1122"/>
        <v>0</v>
      </c>
      <c r="I610" s="21">
        <f t="shared" si="1122"/>
        <v>0</v>
      </c>
      <c r="J610" s="21">
        <f t="shared" si="1122"/>
        <v>0</v>
      </c>
      <c r="K610" s="21">
        <f t="shared" si="1122"/>
        <v>0</v>
      </c>
      <c r="L610" s="21">
        <f t="shared" si="1122"/>
        <v>0</v>
      </c>
      <c r="M610" s="21">
        <f t="shared" si="1122"/>
        <v>0</v>
      </c>
      <c r="N610" s="21">
        <f>9.6</f>
        <v>9.6</v>
      </c>
      <c r="O610" s="21">
        <f>0</f>
        <v>0</v>
      </c>
    </row>
    <row r="611">
      <c r="B611" s="20">
        <v>46249.0</v>
      </c>
      <c r="C611" s="21">
        <v>0.0</v>
      </c>
      <c r="D611" s="21">
        <v>0.0</v>
      </c>
      <c r="E611" s="21">
        <v>0.0</v>
      </c>
      <c r="F611" s="21">
        <v>0.0</v>
      </c>
      <c r="G611" s="21">
        <v>0.0</v>
      </c>
      <c r="H611" s="21">
        <v>0.0</v>
      </c>
      <c r="I611" s="21">
        <f>58</f>
        <v>58</v>
      </c>
      <c r="J611" s="21">
        <v>0.0</v>
      </c>
      <c r="K611" s="21">
        <v>0.0</v>
      </c>
      <c r="L611" s="21">
        <v>0.0</v>
      </c>
      <c r="M611" s="21">
        <v>0.0</v>
      </c>
      <c r="N611" s="21">
        <v>0.0</v>
      </c>
      <c r="O611" s="21">
        <v>0.0</v>
      </c>
    </row>
    <row r="612">
      <c r="B612" s="20">
        <v>46249.0</v>
      </c>
      <c r="C612" s="21">
        <f t="shared" ref="C612:H612" si="1123">0</f>
        <v>0</v>
      </c>
      <c r="D612" s="21">
        <f t="shared" si="1123"/>
        <v>0</v>
      </c>
      <c r="E612" s="21">
        <f t="shared" si="1123"/>
        <v>0</v>
      </c>
      <c r="F612" s="21">
        <f t="shared" si="1123"/>
        <v>0</v>
      </c>
      <c r="G612" s="21">
        <f t="shared" si="1123"/>
        <v>0</v>
      </c>
      <c r="H612" s="21">
        <f t="shared" si="1123"/>
        <v>0</v>
      </c>
      <c r="I612" s="21">
        <f>37.8</f>
        <v>37.8</v>
      </c>
      <c r="J612" s="21">
        <f t="shared" ref="J612:M612" si="1124">0</f>
        <v>0</v>
      </c>
      <c r="K612" s="21">
        <f t="shared" si="1124"/>
        <v>0</v>
      </c>
      <c r="L612" s="21">
        <f t="shared" si="1124"/>
        <v>0</v>
      </c>
      <c r="M612" s="21">
        <f t="shared" si="1124"/>
        <v>0</v>
      </c>
      <c r="N612" s="21">
        <f>4.2</f>
        <v>4.2</v>
      </c>
      <c r="O612" s="21">
        <f>0</f>
        <v>0</v>
      </c>
    </row>
    <row r="613">
      <c r="B613" s="20">
        <v>46249.0</v>
      </c>
      <c r="C613" s="21">
        <v>0.0</v>
      </c>
      <c r="D613" s="21">
        <v>0.0</v>
      </c>
      <c r="E613" s="21">
        <v>0.0</v>
      </c>
      <c r="F613" s="21">
        <v>0.0</v>
      </c>
      <c r="G613" s="21">
        <v>0.0</v>
      </c>
      <c r="H613" s="21">
        <v>0.0</v>
      </c>
      <c r="I613" s="21">
        <f>37</f>
        <v>37</v>
      </c>
      <c r="J613" s="21">
        <v>0.0</v>
      </c>
      <c r="K613" s="21">
        <v>0.0</v>
      </c>
      <c r="L613" s="21">
        <v>0.0</v>
      </c>
      <c r="M613" s="21">
        <v>0.0</v>
      </c>
      <c r="N613" s="21">
        <v>0.0</v>
      </c>
      <c r="O613" s="21">
        <v>0.0</v>
      </c>
    </row>
    <row r="614">
      <c r="B614" s="20">
        <v>46249.0</v>
      </c>
      <c r="C614" s="21">
        <v>0.0</v>
      </c>
      <c r="D614" s="21">
        <v>0.0</v>
      </c>
      <c r="E614" s="21">
        <v>0.0</v>
      </c>
      <c r="F614" s="21">
        <v>0.0</v>
      </c>
      <c r="G614" s="21">
        <v>0.0</v>
      </c>
      <c r="H614" s="21">
        <v>0.0</v>
      </c>
      <c r="I614" s="21">
        <v>0.0</v>
      </c>
      <c r="J614" s="21">
        <v>0.0</v>
      </c>
      <c r="K614" s="21">
        <v>0.0</v>
      </c>
      <c r="L614" s="21">
        <v>0.0</v>
      </c>
      <c r="M614" s="21">
        <v>0.0</v>
      </c>
      <c r="N614" s="21">
        <v>0.0</v>
      </c>
      <c r="O614" s="21">
        <f>26</f>
        <v>26</v>
      </c>
    </row>
    <row r="615">
      <c r="B615" s="20">
        <v>46249.0</v>
      </c>
      <c r="C615" s="21">
        <f t="shared" ref="C615:F615" si="1125">0</f>
        <v>0</v>
      </c>
      <c r="D615" s="21">
        <f t="shared" si="1125"/>
        <v>0</v>
      </c>
      <c r="E615" s="21">
        <f t="shared" si="1125"/>
        <v>0</v>
      </c>
      <c r="F615" s="21">
        <f t="shared" si="1125"/>
        <v>0</v>
      </c>
      <c r="G615" s="21">
        <f>59.2</f>
        <v>59.2</v>
      </c>
      <c r="H615" s="21">
        <f>0</f>
        <v>0</v>
      </c>
      <c r="I615" s="21">
        <f>14.8</f>
        <v>14.8</v>
      </c>
      <c r="J615" s="21">
        <f t="shared" ref="J615:O615" si="1126">0</f>
        <v>0</v>
      </c>
      <c r="K615" s="21">
        <f t="shared" si="1126"/>
        <v>0</v>
      </c>
      <c r="L615" s="21">
        <f t="shared" si="1126"/>
        <v>0</v>
      </c>
      <c r="M615" s="21">
        <f t="shared" si="1126"/>
        <v>0</v>
      </c>
      <c r="N615" s="21">
        <f t="shared" si="1126"/>
        <v>0</v>
      </c>
      <c r="O615" s="21">
        <f t="shared" si="1126"/>
        <v>0</v>
      </c>
    </row>
    <row r="616">
      <c r="B616" s="20">
        <v>46249.0</v>
      </c>
      <c r="C616" s="21">
        <f>4.6</f>
        <v>4.6</v>
      </c>
      <c r="D616" s="21">
        <f>2.3</f>
        <v>2.3</v>
      </c>
      <c r="E616" s="21">
        <f t="shared" ref="E616:H616" si="1127">0</f>
        <v>0</v>
      </c>
      <c r="F616" s="21">
        <f t="shared" si="1127"/>
        <v>0</v>
      </c>
      <c r="G616" s="21">
        <f t="shared" si="1127"/>
        <v>0</v>
      </c>
      <c r="H616" s="21">
        <f t="shared" si="1127"/>
        <v>0</v>
      </c>
      <c r="I616" s="21">
        <f>4.6</f>
        <v>4.6</v>
      </c>
      <c r="J616" s="21">
        <f t="shared" ref="J616:L616" si="1128">0</f>
        <v>0</v>
      </c>
      <c r="K616" s="21">
        <f t="shared" si="1128"/>
        <v>0</v>
      </c>
      <c r="L616" s="21">
        <f t="shared" si="1128"/>
        <v>0</v>
      </c>
      <c r="M616" s="21">
        <f>4.6</f>
        <v>4.6</v>
      </c>
      <c r="N616" s="21">
        <f t="shared" ref="N616:N617" si="1130">0</f>
        <v>0</v>
      </c>
      <c r="O616" s="21">
        <f>6.9</f>
        <v>6.9</v>
      </c>
    </row>
    <row r="617">
      <c r="B617" s="20">
        <v>46249.0</v>
      </c>
      <c r="C617" s="21">
        <f t="shared" ref="C617:L617" si="1129">0</f>
        <v>0</v>
      </c>
      <c r="D617" s="21">
        <f t="shared" si="1129"/>
        <v>0</v>
      </c>
      <c r="E617" s="21">
        <f t="shared" si="1129"/>
        <v>0</v>
      </c>
      <c r="F617" s="21">
        <f t="shared" si="1129"/>
        <v>0</v>
      </c>
      <c r="G617" s="21">
        <f t="shared" si="1129"/>
        <v>0</v>
      </c>
      <c r="H617" s="21">
        <f t="shared" si="1129"/>
        <v>0</v>
      </c>
      <c r="I617" s="21">
        <f t="shared" si="1129"/>
        <v>0</v>
      </c>
      <c r="J617" s="21">
        <f t="shared" si="1129"/>
        <v>0</v>
      </c>
      <c r="K617" s="21">
        <f t="shared" si="1129"/>
        <v>0</v>
      </c>
      <c r="L617" s="21">
        <f t="shared" si="1129"/>
        <v>0</v>
      </c>
      <c r="M617" s="21">
        <f>18</f>
        <v>18</v>
      </c>
      <c r="N617" s="21">
        <f t="shared" si="1130"/>
        <v>0</v>
      </c>
      <c r="O617" s="21">
        <f>0</f>
        <v>0</v>
      </c>
    </row>
    <row r="618">
      <c r="B618" s="20">
        <v>46249.0</v>
      </c>
      <c r="C618" s="21">
        <f>7.8</f>
        <v>7.8</v>
      </c>
      <c r="D618" s="21">
        <f t="shared" ref="D618:L618" si="1131">0</f>
        <v>0</v>
      </c>
      <c r="E618" s="21">
        <f t="shared" si="1131"/>
        <v>0</v>
      </c>
      <c r="F618" s="21">
        <f t="shared" si="1131"/>
        <v>0</v>
      </c>
      <c r="G618" s="21">
        <f t="shared" si="1131"/>
        <v>0</v>
      </c>
      <c r="H618" s="21">
        <f t="shared" si="1131"/>
        <v>0</v>
      </c>
      <c r="I618" s="21">
        <f t="shared" si="1131"/>
        <v>0</v>
      </c>
      <c r="J618" s="21">
        <f t="shared" si="1131"/>
        <v>0</v>
      </c>
      <c r="K618" s="21">
        <f t="shared" si="1131"/>
        <v>0</v>
      </c>
      <c r="L618" s="21">
        <f t="shared" si="1131"/>
        <v>0</v>
      </c>
      <c r="M618" s="21">
        <f t="shared" ref="M618:N618" si="1132">7.8</f>
        <v>7.8</v>
      </c>
      <c r="N618" s="21">
        <f t="shared" si="1132"/>
        <v>7.8</v>
      </c>
      <c r="O618" s="21">
        <f>2.6</f>
        <v>2.6</v>
      </c>
    </row>
    <row r="619">
      <c r="B619" s="20">
        <v>46249.0</v>
      </c>
      <c r="C619" s="21">
        <f>19.2</f>
        <v>19.2</v>
      </c>
      <c r="D619" s="21">
        <f t="shared" ref="D619:H619" si="1133">0</f>
        <v>0</v>
      </c>
      <c r="E619" s="21">
        <f t="shared" si="1133"/>
        <v>0</v>
      </c>
      <c r="F619" s="21">
        <f t="shared" si="1133"/>
        <v>0</v>
      </c>
      <c r="G619" s="21">
        <f t="shared" si="1133"/>
        <v>0</v>
      </c>
      <c r="H619" s="21">
        <f t="shared" si="1133"/>
        <v>0</v>
      </c>
      <c r="I619" s="21">
        <f>1.2</f>
        <v>1.2</v>
      </c>
      <c r="J619" s="21">
        <f t="shared" ref="J619:L619" si="1134">0</f>
        <v>0</v>
      </c>
      <c r="K619" s="21">
        <f t="shared" si="1134"/>
        <v>0</v>
      </c>
      <c r="L619" s="21">
        <f t="shared" si="1134"/>
        <v>0</v>
      </c>
      <c r="M619" s="21">
        <f>3.6</f>
        <v>3.6</v>
      </c>
      <c r="N619" s="21">
        <f t="shared" ref="N619:O619" si="1135">0</f>
        <v>0</v>
      </c>
      <c r="O619" s="21">
        <f t="shared" si="1135"/>
        <v>0</v>
      </c>
    </row>
    <row r="620">
      <c r="B620" s="20">
        <v>46249.0</v>
      </c>
      <c r="C620" s="21">
        <f t="shared" ref="C620:F620" si="1136">0</f>
        <v>0</v>
      </c>
      <c r="D620" s="21">
        <f t="shared" si="1136"/>
        <v>0</v>
      </c>
      <c r="E620" s="21">
        <f t="shared" si="1136"/>
        <v>0</v>
      </c>
      <c r="F620" s="21">
        <f t="shared" si="1136"/>
        <v>0</v>
      </c>
      <c r="G620" s="21">
        <f>7.25</f>
        <v>7.25</v>
      </c>
      <c r="H620" s="21">
        <f t="shared" ref="H620:L620" si="1137">0</f>
        <v>0</v>
      </c>
      <c r="I620" s="21">
        <f t="shared" si="1137"/>
        <v>0</v>
      </c>
      <c r="J620" s="21">
        <f t="shared" si="1137"/>
        <v>0</v>
      </c>
      <c r="K620" s="21">
        <f t="shared" si="1137"/>
        <v>0</v>
      </c>
      <c r="L620" s="21">
        <f t="shared" si="1137"/>
        <v>0</v>
      </c>
      <c r="M620" s="21">
        <f>14.5</f>
        <v>14.5</v>
      </c>
      <c r="N620" s="21">
        <f>0</f>
        <v>0</v>
      </c>
      <c r="O620" s="21">
        <f>7.25</f>
        <v>7.25</v>
      </c>
    </row>
    <row r="621">
      <c r="B621" s="20">
        <v>46249.0</v>
      </c>
      <c r="C621" s="21">
        <v>0.0</v>
      </c>
      <c r="D621" s="21">
        <v>0.0</v>
      </c>
      <c r="E621" s="21">
        <v>0.0</v>
      </c>
      <c r="F621" s="21">
        <v>0.0</v>
      </c>
      <c r="G621" s="21">
        <v>0.0</v>
      </c>
      <c r="H621" s="21">
        <v>0.0</v>
      </c>
      <c r="I621" s="21">
        <f>34</f>
        <v>34</v>
      </c>
      <c r="J621" s="21">
        <v>0.0</v>
      </c>
      <c r="K621" s="21">
        <v>0.0</v>
      </c>
      <c r="L621" s="21">
        <v>0.0</v>
      </c>
      <c r="M621" s="21">
        <v>0.0</v>
      </c>
      <c r="N621" s="21">
        <v>0.0</v>
      </c>
      <c r="O621" s="21">
        <v>0.0</v>
      </c>
    </row>
    <row r="622">
      <c r="B622" s="20">
        <v>46249.0</v>
      </c>
      <c r="C622" s="21">
        <f t="shared" ref="C622:H622" si="1138">0</f>
        <v>0</v>
      </c>
      <c r="D622" s="21">
        <f t="shared" si="1138"/>
        <v>0</v>
      </c>
      <c r="E622" s="21">
        <f t="shared" si="1138"/>
        <v>0</v>
      </c>
      <c r="F622" s="21">
        <f t="shared" si="1138"/>
        <v>0</v>
      </c>
      <c r="G622" s="21">
        <f t="shared" si="1138"/>
        <v>0</v>
      </c>
      <c r="H622" s="21">
        <f t="shared" si="1138"/>
        <v>0</v>
      </c>
      <c r="I622" s="21">
        <f>66</f>
        <v>66</v>
      </c>
      <c r="J622" s="21">
        <f t="shared" ref="J622:O622" si="1139">0</f>
        <v>0</v>
      </c>
      <c r="K622" s="21">
        <f t="shared" si="1139"/>
        <v>0</v>
      </c>
      <c r="L622" s="21">
        <f t="shared" si="1139"/>
        <v>0</v>
      </c>
      <c r="M622" s="21">
        <f t="shared" si="1139"/>
        <v>0</v>
      </c>
      <c r="N622" s="21">
        <f t="shared" si="1139"/>
        <v>0</v>
      </c>
      <c r="O622" s="21">
        <f t="shared" si="1139"/>
        <v>0</v>
      </c>
    </row>
    <row r="623">
      <c r="B623" s="20">
        <v>46249.0</v>
      </c>
      <c r="C623" s="21">
        <f>0</f>
        <v>0</v>
      </c>
      <c r="D623" s="21">
        <f>1.6</f>
        <v>1.6</v>
      </c>
      <c r="E623" s="21">
        <f t="shared" ref="E623:L623" si="1140">0</f>
        <v>0</v>
      </c>
      <c r="F623" s="21">
        <f t="shared" si="1140"/>
        <v>0</v>
      </c>
      <c r="G623" s="21">
        <f t="shared" si="1140"/>
        <v>0</v>
      </c>
      <c r="H623" s="21">
        <f t="shared" si="1140"/>
        <v>0</v>
      </c>
      <c r="I623" s="21">
        <f t="shared" si="1140"/>
        <v>0</v>
      </c>
      <c r="J623" s="21">
        <f t="shared" si="1140"/>
        <v>0</v>
      </c>
      <c r="K623" s="21">
        <f t="shared" si="1140"/>
        <v>0</v>
      </c>
      <c r="L623" s="21">
        <f t="shared" si="1140"/>
        <v>0</v>
      </c>
      <c r="M623" s="21">
        <f>14.4</f>
        <v>14.4</v>
      </c>
      <c r="N623" s="21">
        <f t="shared" ref="N623:O623" si="1141">0</f>
        <v>0</v>
      </c>
      <c r="O623" s="21">
        <f t="shared" si="1141"/>
        <v>0</v>
      </c>
    </row>
    <row r="624">
      <c r="B624" s="20">
        <v>46249.0</v>
      </c>
      <c r="C624" s="21">
        <v>0.0</v>
      </c>
      <c r="D624" s="21">
        <v>0.0</v>
      </c>
      <c r="E624" s="21">
        <v>0.0</v>
      </c>
      <c r="F624" s="21">
        <v>0.0</v>
      </c>
      <c r="G624" s="21">
        <v>0.0</v>
      </c>
      <c r="H624" s="21">
        <v>0.0</v>
      </c>
      <c r="I624" s="21">
        <v>0.0</v>
      </c>
      <c r="J624" s="21">
        <v>0.0</v>
      </c>
      <c r="K624" s="21">
        <v>0.0</v>
      </c>
      <c r="L624" s="21">
        <v>0.0</v>
      </c>
      <c r="M624" s="21">
        <v>0.0</v>
      </c>
      <c r="N624" s="21">
        <v>0.0</v>
      </c>
      <c r="O624" s="21">
        <f>41</f>
        <v>41</v>
      </c>
    </row>
    <row r="625">
      <c r="B625" s="20">
        <v>46250.0</v>
      </c>
      <c r="C625" s="21">
        <f>24.6</f>
        <v>24.6</v>
      </c>
      <c r="D625" s="21">
        <f t="shared" ref="D625:N625" si="1142">0</f>
        <v>0</v>
      </c>
      <c r="E625" s="21">
        <f t="shared" si="1142"/>
        <v>0</v>
      </c>
      <c r="F625" s="21">
        <f t="shared" si="1142"/>
        <v>0</v>
      </c>
      <c r="G625" s="21">
        <f t="shared" si="1142"/>
        <v>0</v>
      </c>
      <c r="H625" s="21">
        <f t="shared" si="1142"/>
        <v>0</v>
      </c>
      <c r="I625" s="21">
        <f t="shared" si="1142"/>
        <v>0</v>
      </c>
      <c r="J625" s="21">
        <f t="shared" si="1142"/>
        <v>0</v>
      </c>
      <c r="K625" s="21">
        <f t="shared" si="1142"/>
        <v>0</v>
      </c>
      <c r="L625" s="21">
        <f t="shared" si="1142"/>
        <v>0</v>
      </c>
      <c r="M625" s="21">
        <f t="shared" si="1142"/>
        <v>0</v>
      </c>
      <c r="N625" s="21">
        <f t="shared" si="1142"/>
        <v>0</v>
      </c>
      <c r="O625" s="21">
        <f>16.4</f>
        <v>16.4</v>
      </c>
    </row>
    <row r="626">
      <c r="B626" s="20">
        <v>46250.0</v>
      </c>
      <c r="C626" s="21">
        <v>0.0</v>
      </c>
      <c r="D626" s="21">
        <v>0.0</v>
      </c>
      <c r="E626" s="21">
        <v>0.0</v>
      </c>
      <c r="F626" s="21">
        <v>0.0</v>
      </c>
      <c r="G626" s="21">
        <v>0.0</v>
      </c>
      <c r="H626" s="21">
        <v>0.0</v>
      </c>
      <c r="I626" s="21">
        <f>40</f>
        <v>40</v>
      </c>
      <c r="J626" s="21">
        <v>0.0</v>
      </c>
      <c r="K626" s="21">
        <v>0.0</v>
      </c>
      <c r="L626" s="21">
        <v>0.0</v>
      </c>
      <c r="M626" s="21">
        <v>0.0</v>
      </c>
      <c r="N626" s="21">
        <v>0.0</v>
      </c>
      <c r="O626" s="21">
        <v>0.0</v>
      </c>
    </row>
    <row r="627">
      <c r="B627" s="20">
        <v>46250.0</v>
      </c>
      <c r="C627" s="21">
        <f>10.8</f>
        <v>10.8</v>
      </c>
      <c r="D627" s="21">
        <f t="shared" ref="D627:N627" si="1143">0</f>
        <v>0</v>
      </c>
      <c r="E627" s="21">
        <f t="shared" si="1143"/>
        <v>0</v>
      </c>
      <c r="F627" s="21">
        <f t="shared" si="1143"/>
        <v>0</v>
      </c>
      <c r="G627" s="21">
        <f t="shared" si="1143"/>
        <v>0</v>
      </c>
      <c r="H627" s="21">
        <f t="shared" si="1143"/>
        <v>0</v>
      </c>
      <c r="I627" s="21">
        <f t="shared" si="1143"/>
        <v>0</v>
      </c>
      <c r="J627" s="21">
        <f t="shared" si="1143"/>
        <v>0</v>
      </c>
      <c r="K627" s="21">
        <f t="shared" si="1143"/>
        <v>0</v>
      </c>
      <c r="L627" s="21">
        <f t="shared" si="1143"/>
        <v>0</v>
      </c>
      <c r="M627" s="21">
        <f t="shared" si="1143"/>
        <v>0</v>
      </c>
      <c r="N627" s="21">
        <f t="shared" si="1143"/>
        <v>0</v>
      </c>
      <c r="O627" s="21">
        <f>43.2</f>
        <v>43.2</v>
      </c>
    </row>
    <row r="628">
      <c r="B628" s="20">
        <v>46250.0</v>
      </c>
      <c r="C628" s="21">
        <f t="shared" ref="C628:H628" si="1144">0</f>
        <v>0</v>
      </c>
      <c r="D628" s="21">
        <f t="shared" si="1144"/>
        <v>0</v>
      </c>
      <c r="E628" s="21">
        <f t="shared" si="1144"/>
        <v>0</v>
      </c>
      <c r="F628" s="21">
        <f t="shared" si="1144"/>
        <v>0</v>
      </c>
      <c r="G628" s="21">
        <f t="shared" si="1144"/>
        <v>0</v>
      </c>
      <c r="H628" s="21">
        <f t="shared" si="1144"/>
        <v>0</v>
      </c>
      <c r="I628" s="21">
        <f>38.7</f>
        <v>38.7</v>
      </c>
      <c r="J628" s="21">
        <f t="shared" ref="J628:L628" si="1145">0</f>
        <v>0</v>
      </c>
      <c r="K628" s="21">
        <f t="shared" si="1145"/>
        <v>0</v>
      </c>
      <c r="L628" s="21">
        <f t="shared" si="1145"/>
        <v>0</v>
      </c>
      <c r="M628" s="21">
        <f>4.3</f>
        <v>4.3</v>
      </c>
      <c r="N628" s="21">
        <f t="shared" ref="N628:O628" si="1146">0</f>
        <v>0</v>
      </c>
      <c r="O628" s="21">
        <f t="shared" si="1146"/>
        <v>0</v>
      </c>
    </row>
    <row r="629">
      <c r="B629" s="20">
        <v>46250.0</v>
      </c>
      <c r="C629" s="21">
        <v>0.0</v>
      </c>
      <c r="D629" s="21">
        <v>0.0</v>
      </c>
      <c r="E629" s="21">
        <v>0.0</v>
      </c>
      <c r="F629" s="21">
        <v>0.0</v>
      </c>
      <c r="G629" s="21">
        <v>0.0</v>
      </c>
      <c r="H629" s="21">
        <v>0.0</v>
      </c>
      <c r="I629" s="21">
        <f>40</f>
        <v>40</v>
      </c>
      <c r="J629" s="21">
        <v>0.0</v>
      </c>
      <c r="K629" s="21">
        <v>0.0</v>
      </c>
      <c r="L629" s="21">
        <v>0.0</v>
      </c>
      <c r="M629" s="21">
        <v>0.0</v>
      </c>
      <c r="N629" s="21">
        <v>0.0</v>
      </c>
      <c r="O629" s="21">
        <v>0.0</v>
      </c>
    </row>
    <row r="630">
      <c r="B630" s="20">
        <v>46250.0</v>
      </c>
      <c r="C630" s="21">
        <f t="shared" ref="C630:G630" si="1147">0</f>
        <v>0</v>
      </c>
      <c r="D630" s="21">
        <f t="shared" si="1147"/>
        <v>0</v>
      </c>
      <c r="E630" s="21">
        <f t="shared" si="1147"/>
        <v>0</v>
      </c>
      <c r="F630" s="21">
        <f t="shared" si="1147"/>
        <v>0</v>
      </c>
      <c r="G630" s="21">
        <f t="shared" si="1147"/>
        <v>0</v>
      </c>
      <c r="H630" s="21">
        <f t="shared" ref="H630:I630" si="1148">14.5</f>
        <v>14.5</v>
      </c>
      <c r="I630" s="21">
        <f t="shared" si="1148"/>
        <v>14.5</v>
      </c>
      <c r="J630" s="21">
        <f t="shared" ref="J630:O630" si="1149">0</f>
        <v>0</v>
      </c>
      <c r="K630" s="21">
        <f t="shared" si="1149"/>
        <v>0</v>
      </c>
      <c r="L630" s="21">
        <f t="shared" si="1149"/>
        <v>0</v>
      </c>
      <c r="M630" s="21">
        <f t="shared" si="1149"/>
        <v>0</v>
      </c>
      <c r="N630" s="21">
        <f t="shared" si="1149"/>
        <v>0</v>
      </c>
      <c r="O630" s="21">
        <f t="shared" si="1149"/>
        <v>0</v>
      </c>
    </row>
    <row r="631">
      <c r="B631" s="20">
        <v>46250.0</v>
      </c>
      <c r="C631" s="21">
        <f t="shared" ref="C631:G631" si="1150">0</f>
        <v>0</v>
      </c>
      <c r="D631" s="21">
        <f t="shared" si="1150"/>
        <v>0</v>
      </c>
      <c r="E631" s="21">
        <f t="shared" si="1150"/>
        <v>0</v>
      </c>
      <c r="F631" s="21">
        <f t="shared" si="1150"/>
        <v>0</v>
      </c>
      <c r="G631" s="21">
        <f t="shared" si="1150"/>
        <v>0</v>
      </c>
      <c r="H631" s="21">
        <f>14.5</f>
        <v>14.5</v>
      </c>
      <c r="I631" s="21">
        <f t="shared" ref="I631:N631" si="1151">0</f>
        <v>0</v>
      </c>
      <c r="J631" s="21">
        <f t="shared" si="1151"/>
        <v>0</v>
      </c>
      <c r="K631" s="21">
        <f t="shared" si="1151"/>
        <v>0</v>
      </c>
      <c r="L631" s="21">
        <f t="shared" si="1151"/>
        <v>0</v>
      </c>
      <c r="M631" s="21">
        <f t="shared" si="1151"/>
        <v>0</v>
      </c>
      <c r="N631" s="21">
        <f t="shared" si="1151"/>
        <v>0</v>
      </c>
      <c r="O631" s="21">
        <f>14.5</f>
        <v>14.5</v>
      </c>
    </row>
    <row r="632">
      <c r="B632" s="20">
        <v>46250.0</v>
      </c>
      <c r="C632" s="21">
        <v>0.0</v>
      </c>
      <c r="D632" s="21">
        <v>0.0</v>
      </c>
      <c r="E632" s="21">
        <v>0.0</v>
      </c>
      <c r="F632" s="21">
        <v>0.0</v>
      </c>
      <c r="G632" s="21">
        <v>0.0</v>
      </c>
      <c r="H632" s="21">
        <v>0.0</v>
      </c>
      <c r="I632" s="21">
        <v>0.0</v>
      </c>
      <c r="J632" s="21">
        <v>0.0</v>
      </c>
      <c r="K632" s="21">
        <v>0.0</v>
      </c>
      <c r="L632" s="21">
        <v>0.0</v>
      </c>
      <c r="M632" s="21">
        <v>0.0</v>
      </c>
      <c r="N632" s="21">
        <v>0.0</v>
      </c>
      <c r="O632" s="21">
        <f>19</f>
        <v>19</v>
      </c>
    </row>
    <row r="633">
      <c r="B633" s="20">
        <v>46250.0</v>
      </c>
      <c r="C633" s="21">
        <v>0.0</v>
      </c>
      <c r="D633" s="21">
        <v>0.0</v>
      </c>
      <c r="E633" s="21">
        <v>0.0</v>
      </c>
      <c r="F633" s="21">
        <v>0.0</v>
      </c>
      <c r="G633" s="21">
        <v>0.0</v>
      </c>
      <c r="H633" s="21">
        <v>0.0</v>
      </c>
      <c r="I633" s="21">
        <f>152</f>
        <v>152</v>
      </c>
      <c r="J633" s="21">
        <v>0.0</v>
      </c>
      <c r="K633" s="21">
        <v>0.0</v>
      </c>
      <c r="L633" s="21">
        <v>0.0</v>
      </c>
      <c r="M633" s="21">
        <v>0.0</v>
      </c>
      <c r="N633" s="21">
        <v>0.0</v>
      </c>
      <c r="O633" s="21">
        <v>0.0</v>
      </c>
    </row>
    <row r="634">
      <c r="B634" s="20">
        <v>46250.0</v>
      </c>
      <c r="C634" s="21">
        <v>0.0</v>
      </c>
      <c r="D634" s="21">
        <v>0.0</v>
      </c>
      <c r="E634" s="21">
        <v>0.0</v>
      </c>
      <c r="F634" s="21">
        <v>0.0</v>
      </c>
      <c r="G634" s="21">
        <v>0.0</v>
      </c>
      <c r="H634" s="21">
        <v>0.0</v>
      </c>
      <c r="I634" s="21">
        <v>0.0</v>
      </c>
      <c r="J634" s="21">
        <v>0.0</v>
      </c>
      <c r="K634" s="21">
        <v>0.0</v>
      </c>
      <c r="L634" s="21">
        <v>0.0</v>
      </c>
      <c r="M634" s="21">
        <v>0.0</v>
      </c>
      <c r="N634" s="21">
        <v>0.0</v>
      </c>
      <c r="O634" s="21">
        <f>21</f>
        <v>21</v>
      </c>
    </row>
    <row r="635">
      <c r="B635" s="20">
        <v>46250.0</v>
      </c>
      <c r="C635" s="21">
        <f t="shared" ref="C635:E635" si="1152">0</f>
        <v>0</v>
      </c>
      <c r="D635" s="21">
        <f t="shared" si="1152"/>
        <v>0</v>
      </c>
      <c r="E635" s="21">
        <f t="shared" si="1152"/>
        <v>0</v>
      </c>
      <c r="F635" s="21">
        <f>9</f>
        <v>9</v>
      </c>
      <c r="G635" s="21">
        <f t="shared" ref="G635:N635" si="1153">0</f>
        <v>0</v>
      </c>
      <c r="H635" s="21">
        <f t="shared" si="1153"/>
        <v>0</v>
      </c>
      <c r="I635" s="21">
        <f t="shared" si="1153"/>
        <v>0</v>
      </c>
      <c r="J635" s="21">
        <f t="shared" si="1153"/>
        <v>0</v>
      </c>
      <c r="K635" s="21">
        <f t="shared" si="1153"/>
        <v>0</v>
      </c>
      <c r="L635" s="21">
        <f t="shared" si="1153"/>
        <v>0</v>
      </c>
      <c r="M635" s="21">
        <f t="shared" si="1153"/>
        <v>0</v>
      </c>
      <c r="N635" s="21">
        <f t="shared" si="1153"/>
        <v>0</v>
      </c>
      <c r="O635" s="21">
        <f>9</f>
        <v>9</v>
      </c>
    </row>
    <row r="636">
      <c r="B636" s="20">
        <v>46250.0</v>
      </c>
      <c r="C636" s="21">
        <f t="shared" ref="C636:H636" si="1154">0</f>
        <v>0</v>
      </c>
      <c r="D636" s="21">
        <f t="shared" si="1154"/>
        <v>0</v>
      </c>
      <c r="E636" s="21">
        <f t="shared" si="1154"/>
        <v>0</v>
      </c>
      <c r="F636" s="21">
        <f t="shared" si="1154"/>
        <v>0</v>
      </c>
      <c r="G636" s="21">
        <f t="shared" si="1154"/>
        <v>0</v>
      </c>
      <c r="H636" s="21">
        <f t="shared" si="1154"/>
        <v>0</v>
      </c>
      <c r="I636" s="21">
        <f>5.2</f>
        <v>5.2</v>
      </c>
      <c r="J636" s="21">
        <f t="shared" ref="J636:N636" si="1155">0</f>
        <v>0</v>
      </c>
      <c r="K636" s="21">
        <f t="shared" si="1155"/>
        <v>0</v>
      </c>
      <c r="L636" s="21">
        <f t="shared" si="1155"/>
        <v>0</v>
      </c>
      <c r="M636" s="21">
        <f t="shared" si="1155"/>
        <v>0</v>
      </c>
      <c r="N636" s="21">
        <f t="shared" si="1155"/>
        <v>0</v>
      </c>
      <c r="O636" s="21">
        <f>20.8</f>
        <v>20.8</v>
      </c>
    </row>
    <row r="637">
      <c r="B637" s="20">
        <v>46250.0</v>
      </c>
      <c r="C637" s="21">
        <f>6.9</f>
        <v>6.9</v>
      </c>
      <c r="D637" s="21">
        <f t="shared" ref="D637:H637" si="1156">0</f>
        <v>0</v>
      </c>
      <c r="E637" s="21">
        <f t="shared" si="1156"/>
        <v>0</v>
      </c>
      <c r="F637" s="21">
        <f t="shared" si="1156"/>
        <v>0</v>
      </c>
      <c r="G637" s="21">
        <f t="shared" si="1156"/>
        <v>0</v>
      </c>
      <c r="H637" s="21">
        <f t="shared" si="1156"/>
        <v>0</v>
      </c>
      <c r="I637" s="21">
        <f>62.1</f>
        <v>62.1</v>
      </c>
      <c r="J637" s="21">
        <f t="shared" ref="J637:O637" si="1157">0</f>
        <v>0</v>
      </c>
      <c r="K637" s="21">
        <f t="shared" si="1157"/>
        <v>0</v>
      </c>
      <c r="L637" s="21">
        <f t="shared" si="1157"/>
        <v>0</v>
      </c>
      <c r="M637" s="21">
        <f t="shared" si="1157"/>
        <v>0</v>
      </c>
      <c r="N637" s="21">
        <f t="shared" si="1157"/>
        <v>0</v>
      </c>
      <c r="O637" s="21">
        <f t="shared" si="1157"/>
        <v>0</v>
      </c>
    </row>
    <row r="638">
      <c r="B638" s="20">
        <v>46251.0</v>
      </c>
      <c r="C638" s="21">
        <f t="shared" ref="C638:F638" si="1158">0</f>
        <v>0</v>
      </c>
      <c r="D638" s="21">
        <f t="shared" si="1158"/>
        <v>0</v>
      </c>
      <c r="E638" s="21">
        <f t="shared" si="1158"/>
        <v>0</v>
      </c>
      <c r="F638" s="21">
        <f t="shared" si="1158"/>
        <v>0</v>
      </c>
      <c r="G638" s="21">
        <f>14.5</f>
        <v>14.5</v>
      </c>
      <c r="H638" s="21">
        <f>0</f>
        <v>0</v>
      </c>
      <c r="I638" s="21">
        <f>14.5</f>
        <v>14.5</v>
      </c>
      <c r="J638" s="21">
        <f t="shared" ref="J638:O638" si="1159">0</f>
        <v>0</v>
      </c>
      <c r="K638" s="21">
        <f t="shared" si="1159"/>
        <v>0</v>
      </c>
      <c r="L638" s="21">
        <f t="shared" si="1159"/>
        <v>0</v>
      </c>
      <c r="M638" s="21">
        <f t="shared" si="1159"/>
        <v>0</v>
      </c>
      <c r="N638" s="21">
        <f t="shared" si="1159"/>
        <v>0</v>
      </c>
      <c r="O638" s="21">
        <f t="shared" si="1159"/>
        <v>0</v>
      </c>
    </row>
    <row r="639">
      <c r="B639" s="20">
        <v>46251.0</v>
      </c>
      <c r="C639" s="21">
        <f t="shared" ref="C639:H639" si="1160">0</f>
        <v>0</v>
      </c>
      <c r="D639" s="21">
        <f t="shared" si="1160"/>
        <v>0</v>
      </c>
      <c r="E639" s="21">
        <f t="shared" si="1160"/>
        <v>0</v>
      </c>
      <c r="F639" s="21">
        <f t="shared" si="1160"/>
        <v>0</v>
      </c>
      <c r="G639" s="21">
        <f t="shared" si="1160"/>
        <v>0</v>
      </c>
      <c r="H639" s="21">
        <f t="shared" si="1160"/>
        <v>0</v>
      </c>
      <c r="I639" s="21">
        <f>22</f>
        <v>22</v>
      </c>
      <c r="J639" s="21">
        <f t="shared" ref="J639:N639" si="1161">0</f>
        <v>0</v>
      </c>
      <c r="K639" s="21">
        <f t="shared" si="1161"/>
        <v>0</v>
      </c>
      <c r="L639" s="21">
        <f t="shared" si="1161"/>
        <v>0</v>
      </c>
      <c r="M639" s="21">
        <f t="shared" si="1161"/>
        <v>0</v>
      </c>
      <c r="N639" s="21">
        <f t="shared" si="1161"/>
        <v>0</v>
      </c>
      <c r="O639" s="21">
        <f>22</f>
        <v>22</v>
      </c>
    </row>
    <row r="640">
      <c r="B640" s="20">
        <v>46251.0</v>
      </c>
      <c r="C640" s="21">
        <f>13.6</f>
        <v>13.6</v>
      </c>
      <c r="D640" s="21">
        <f t="shared" ref="D640:F640" si="1162">0</f>
        <v>0</v>
      </c>
      <c r="E640" s="21">
        <f t="shared" si="1162"/>
        <v>0</v>
      </c>
      <c r="F640" s="21">
        <f t="shared" si="1162"/>
        <v>0</v>
      </c>
      <c r="G640" s="21">
        <f>13.6</f>
        <v>13.6</v>
      </c>
      <c r="H640" s="21">
        <f t="shared" ref="H640:I640" si="1163">0</f>
        <v>0</v>
      </c>
      <c r="I640" s="21">
        <f t="shared" si="1163"/>
        <v>0</v>
      </c>
      <c r="J640" s="21">
        <f>13.6</f>
        <v>13.6</v>
      </c>
      <c r="K640" s="21">
        <f t="shared" ref="K640:M640" si="1164">0</f>
        <v>0</v>
      </c>
      <c r="L640" s="21">
        <f t="shared" si="1164"/>
        <v>0</v>
      </c>
      <c r="M640" s="21">
        <f t="shared" si="1164"/>
        <v>0</v>
      </c>
      <c r="N640" s="21">
        <f>27.2</f>
        <v>27.2</v>
      </c>
      <c r="O640" s="21">
        <f>0</f>
        <v>0</v>
      </c>
    </row>
    <row r="641">
      <c r="B641" s="20">
        <v>46251.0</v>
      </c>
      <c r="C641" s="21">
        <f t="shared" ref="C641:D641" si="1165">0</f>
        <v>0</v>
      </c>
      <c r="D641" s="21">
        <f t="shared" si="1165"/>
        <v>0</v>
      </c>
      <c r="E641" s="21">
        <f>7.6</f>
        <v>7.6</v>
      </c>
      <c r="F641" s="21">
        <f t="shared" ref="F641:H641" si="1166">0</f>
        <v>0</v>
      </c>
      <c r="G641" s="21">
        <f t="shared" si="1166"/>
        <v>0</v>
      </c>
      <c r="H641" s="21">
        <f t="shared" si="1166"/>
        <v>0</v>
      </c>
      <c r="I641" s="21">
        <f>7.6</f>
        <v>7.6</v>
      </c>
      <c r="J641" s="21">
        <f t="shared" ref="J641:N641" si="1167">0</f>
        <v>0</v>
      </c>
      <c r="K641" s="21">
        <f t="shared" si="1167"/>
        <v>0</v>
      </c>
      <c r="L641" s="21">
        <f t="shared" si="1167"/>
        <v>0</v>
      </c>
      <c r="M641" s="21">
        <f t="shared" si="1167"/>
        <v>0</v>
      </c>
      <c r="N641" s="21">
        <f t="shared" si="1167"/>
        <v>0</v>
      </c>
      <c r="O641" s="21">
        <f>3.8</f>
        <v>3.8</v>
      </c>
    </row>
    <row r="642">
      <c r="B642" s="20">
        <v>46251.0</v>
      </c>
      <c r="C642" s="21">
        <f>18.4</f>
        <v>18.4</v>
      </c>
      <c r="D642" s="21">
        <f t="shared" ref="D642:H642" si="1168">0</f>
        <v>0</v>
      </c>
      <c r="E642" s="21">
        <f t="shared" si="1168"/>
        <v>0</v>
      </c>
      <c r="F642" s="21">
        <f t="shared" si="1168"/>
        <v>0</v>
      </c>
      <c r="G642" s="21">
        <f t="shared" si="1168"/>
        <v>0</v>
      </c>
      <c r="H642" s="21">
        <f t="shared" si="1168"/>
        <v>0</v>
      </c>
      <c r="I642" s="21">
        <f>27.6</f>
        <v>27.6</v>
      </c>
      <c r="J642" s="21">
        <f t="shared" ref="J642:O642" si="1169">0</f>
        <v>0</v>
      </c>
      <c r="K642" s="21">
        <f t="shared" si="1169"/>
        <v>0</v>
      </c>
      <c r="L642" s="21">
        <f t="shared" si="1169"/>
        <v>0</v>
      </c>
      <c r="M642" s="21">
        <f t="shared" si="1169"/>
        <v>0</v>
      </c>
      <c r="N642" s="21">
        <f t="shared" si="1169"/>
        <v>0</v>
      </c>
      <c r="O642" s="21">
        <f t="shared" si="1169"/>
        <v>0</v>
      </c>
    </row>
    <row r="643">
      <c r="B643" s="20">
        <v>46251.0</v>
      </c>
      <c r="C643" s="21">
        <f>5.7</f>
        <v>5.7</v>
      </c>
      <c r="D643" s="21">
        <f t="shared" ref="D643:H643" si="1170">0</f>
        <v>0</v>
      </c>
      <c r="E643" s="21">
        <f t="shared" si="1170"/>
        <v>0</v>
      </c>
      <c r="F643" s="21">
        <f t="shared" si="1170"/>
        <v>0</v>
      </c>
      <c r="G643" s="21">
        <f t="shared" si="1170"/>
        <v>0</v>
      </c>
      <c r="H643" s="21">
        <f t="shared" si="1170"/>
        <v>0</v>
      </c>
      <c r="I643" s="21">
        <f>45.6</f>
        <v>45.6</v>
      </c>
      <c r="J643" s="21">
        <f t="shared" ref="J643:L643" si="1171">0</f>
        <v>0</v>
      </c>
      <c r="K643" s="21">
        <f t="shared" si="1171"/>
        <v>0</v>
      </c>
      <c r="L643" s="21">
        <f t="shared" si="1171"/>
        <v>0</v>
      </c>
      <c r="M643" s="21">
        <f>5.7</f>
        <v>5.7</v>
      </c>
      <c r="N643" s="21">
        <f t="shared" ref="N643:O643" si="1172">0</f>
        <v>0</v>
      </c>
      <c r="O643" s="21">
        <f t="shared" si="1172"/>
        <v>0</v>
      </c>
    </row>
    <row r="644">
      <c r="B644" s="20">
        <v>46251.0</v>
      </c>
      <c r="C644" s="21">
        <f>39.6</f>
        <v>39.6</v>
      </c>
      <c r="D644" s="21">
        <f t="shared" ref="D644:H644" si="1173">0</f>
        <v>0</v>
      </c>
      <c r="E644" s="21">
        <f t="shared" si="1173"/>
        <v>0</v>
      </c>
      <c r="F644" s="21">
        <f t="shared" si="1173"/>
        <v>0</v>
      </c>
      <c r="G644" s="21">
        <f t="shared" si="1173"/>
        <v>0</v>
      </c>
      <c r="H644" s="21">
        <f t="shared" si="1173"/>
        <v>0</v>
      </c>
      <c r="I644" s="21">
        <f>59.4</f>
        <v>59.4</v>
      </c>
      <c r="J644" s="21">
        <f t="shared" ref="J644:O644" si="1174">0</f>
        <v>0</v>
      </c>
      <c r="K644" s="21">
        <f t="shared" si="1174"/>
        <v>0</v>
      </c>
      <c r="L644" s="21">
        <f t="shared" si="1174"/>
        <v>0</v>
      </c>
      <c r="M644" s="21">
        <f t="shared" si="1174"/>
        <v>0</v>
      </c>
      <c r="N644" s="21">
        <f t="shared" si="1174"/>
        <v>0</v>
      </c>
      <c r="O644" s="21">
        <f t="shared" si="1174"/>
        <v>0</v>
      </c>
    </row>
    <row r="645">
      <c r="B645" s="20">
        <v>46251.0</v>
      </c>
      <c r="C645" s="21">
        <f>24</f>
        <v>24</v>
      </c>
      <c r="D645" s="21">
        <f t="shared" ref="D645:O645" si="1175">0</f>
        <v>0</v>
      </c>
      <c r="E645" s="21">
        <f t="shared" si="1175"/>
        <v>0</v>
      </c>
      <c r="F645" s="21">
        <f t="shared" si="1175"/>
        <v>0</v>
      </c>
      <c r="G645" s="21">
        <f t="shared" si="1175"/>
        <v>0</v>
      </c>
      <c r="H645" s="21">
        <f t="shared" si="1175"/>
        <v>0</v>
      </c>
      <c r="I645" s="21">
        <f t="shared" si="1175"/>
        <v>0</v>
      </c>
      <c r="J645" s="21">
        <f t="shared" si="1175"/>
        <v>0</v>
      </c>
      <c r="K645" s="21">
        <f t="shared" si="1175"/>
        <v>0</v>
      </c>
      <c r="L645" s="21">
        <f t="shared" si="1175"/>
        <v>0</v>
      </c>
      <c r="M645" s="21">
        <f t="shared" si="1175"/>
        <v>0</v>
      </c>
      <c r="N645" s="21">
        <f t="shared" si="1175"/>
        <v>0</v>
      </c>
      <c r="O645" s="21">
        <f t="shared" si="1175"/>
        <v>0</v>
      </c>
    </row>
    <row r="646">
      <c r="B646" s="20">
        <v>46251.0</v>
      </c>
      <c r="C646" s="21">
        <f>20</f>
        <v>20</v>
      </c>
      <c r="D646" s="21">
        <f>2.5</f>
        <v>2.5</v>
      </c>
      <c r="E646" s="21">
        <f t="shared" ref="E646:L646" si="1176">0</f>
        <v>0</v>
      </c>
      <c r="F646" s="21">
        <f t="shared" si="1176"/>
        <v>0</v>
      </c>
      <c r="G646" s="21">
        <f t="shared" si="1176"/>
        <v>0</v>
      </c>
      <c r="H646" s="21">
        <f t="shared" si="1176"/>
        <v>0</v>
      </c>
      <c r="I646" s="21">
        <f t="shared" si="1176"/>
        <v>0</v>
      </c>
      <c r="J646" s="21">
        <f t="shared" si="1176"/>
        <v>0</v>
      </c>
      <c r="K646" s="21">
        <f t="shared" si="1176"/>
        <v>0</v>
      </c>
      <c r="L646" s="21">
        <f t="shared" si="1176"/>
        <v>0</v>
      </c>
      <c r="M646" s="21">
        <f>2.5</f>
        <v>2.5</v>
      </c>
      <c r="N646" s="21">
        <f t="shared" ref="N646:O646" si="1177">0</f>
        <v>0</v>
      </c>
      <c r="O646" s="21">
        <f t="shared" si="1177"/>
        <v>0</v>
      </c>
    </row>
    <row r="647">
      <c r="B647" s="20">
        <v>46251.0</v>
      </c>
      <c r="C647" s="21">
        <f>4</f>
        <v>4</v>
      </c>
      <c r="D647" s="21">
        <f t="shared" ref="D647:F647" si="1178">0</f>
        <v>0</v>
      </c>
      <c r="E647" s="21">
        <f t="shared" si="1178"/>
        <v>0</v>
      </c>
      <c r="F647" s="21">
        <f t="shared" si="1178"/>
        <v>0</v>
      </c>
      <c r="G647" s="21">
        <f>28</f>
        <v>28</v>
      </c>
      <c r="H647" s="21">
        <f t="shared" ref="H647:N647" si="1179">0</f>
        <v>0</v>
      </c>
      <c r="I647" s="21">
        <f t="shared" si="1179"/>
        <v>0</v>
      </c>
      <c r="J647" s="21">
        <f t="shared" si="1179"/>
        <v>0</v>
      </c>
      <c r="K647" s="21">
        <f t="shared" si="1179"/>
        <v>0</v>
      </c>
      <c r="L647" s="21">
        <f t="shared" si="1179"/>
        <v>0</v>
      </c>
      <c r="M647" s="21">
        <f t="shared" si="1179"/>
        <v>0</v>
      </c>
      <c r="N647" s="21">
        <f t="shared" si="1179"/>
        <v>0</v>
      </c>
      <c r="O647" s="21">
        <f>8</f>
        <v>8</v>
      </c>
    </row>
    <row r="648">
      <c r="B648" s="20">
        <v>46251.0</v>
      </c>
      <c r="C648" s="21">
        <f>27.3</f>
        <v>27.3</v>
      </c>
      <c r="D648" s="21">
        <f t="shared" ref="D648:H648" si="1180">0</f>
        <v>0</v>
      </c>
      <c r="E648" s="21">
        <f t="shared" si="1180"/>
        <v>0</v>
      </c>
      <c r="F648" s="21">
        <f t="shared" si="1180"/>
        <v>0</v>
      </c>
      <c r="G648" s="21">
        <f t="shared" si="1180"/>
        <v>0</v>
      </c>
      <c r="H648" s="21">
        <f t="shared" si="1180"/>
        <v>0</v>
      </c>
      <c r="I648" s="21">
        <f>9.75</f>
        <v>9.75</v>
      </c>
      <c r="J648" s="21">
        <f t="shared" ref="J648:N648" si="1181">0</f>
        <v>0</v>
      </c>
      <c r="K648" s="21">
        <f t="shared" si="1181"/>
        <v>0</v>
      </c>
      <c r="L648" s="21">
        <f t="shared" si="1181"/>
        <v>0</v>
      </c>
      <c r="M648" s="21">
        <f t="shared" si="1181"/>
        <v>0</v>
      </c>
      <c r="N648" s="21">
        <f t="shared" si="1181"/>
        <v>0</v>
      </c>
      <c r="O648" s="21">
        <f>1.95</f>
        <v>1.95</v>
      </c>
    </row>
    <row r="649">
      <c r="B649" s="20">
        <v>46251.0</v>
      </c>
      <c r="C649" s="21">
        <f>6.2</f>
        <v>6.2</v>
      </c>
      <c r="D649" s="21">
        <f t="shared" ref="D649:F649" si="1182">0</f>
        <v>0</v>
      </c>
      <c r="E649" s="21">
        <f t="shared" si="1182"/>
        <v>0</v>
      </c>
      <c r="F649" s="21">
        <f t="shared" si="1182"/>
        <v>0</v>
      </c>
      <c r="G649" s="21">
        <f>6.2</f>
        <v>6.2</v>
      </c>
      <c r="H649" s="21">
        <f>0</f>
        <v>0</v>
      </c>
      <c r="I649" s="21">
        <f>3.1</f>
        <v>3.1</v>
      </c>
      <c r="J649" s="21">
        <f t="shared" ref="J649:N649" si="1183">0</f>
        <v>0</v>
      </c>
      <c r="K649" s="21">
        <f t="shared" si="1183"/>
        <v>0</v>
      </c>
      <c r="L649" s="21">
        <f t="shared" si="1183"/>
        <v>0</v>
      </c>
      <c r="M649" s="21">
        <f t="shared" si="1183"/>
        <v>0</v>
      </c>
      <c r="N649" s="21">
        <f t="shared" si="1183"/>
        <v>0</v>
      </c>
      <c r="O649" s="21">
        <f>15.5</f>
        <v>15.5</v>
      </c>
    </row>
    <row r="650">
      <c r="B650" s="20">
        <v>46251.0</v>
      </c>
      <c r="C650" s="21">
        <f t="shared" ref="C650:H650" si="1184">0</f>
        <v>0</v>
      </c>
      <c r="D650" s="21">
        <f t="shared" si="1184"/>
        <v>0</v>
      </c>
      <c r="E650" s="21">
        <f t="shared" si="1184"/>
        <v>0</v>
      </c>
      <c r="F650" s="21">
        <f t="shared" si="1184"/>
        <v>0</v>
      </c>
      <c r="G650" s="21">
        <f t="shared" si="1184"/>
        <v>0</v>
      </c>
      <c r="H650" s="21">
        <f t="shared" si="1184"/>
        <v>0</v>
      </c>
      <c r="I650" s="21">
        <f>15.6</f>
        <v>15.6</v>
      </c>
      <c r="J650" s="21">
        <f t="shared" ref="J650:N650" si="1185">0</f>
        <v>0</v>
      </c>
      <c r="K650" s="21">
        <f t="shared" si="1185"/>
        <v>0</v>
      </c>
      <c r="L650" s="21">
        <f t="shared" si="1185"/>
        <v>0</v>
      </c>
      <c r="M650" s="21">
        <f t="shared" si="1185"/>
        <v>0</v>
      </c>
      <c r="N650" s="21">
        <f t="shared" si="1185"/>
        <v>0</v>
      </c>
      <c r="O650" s="21">
        <f>23.4</f>
        <v>23.4</v>
      </c>
    </row>
    <row r="651">
      <c r="B651" s="20">
        <v>46251.0</v>
      </c>
      <c r="C651" s="21">
        <f>0</f>
        <v>0</v>
      </c>
      <c r="D651" s="21">
        <f>13.2</f>
        <v>13.2</v>
      </c>
      <c r="E651" s="21">
        <f>0</f>
        <v>0</v>
      </c>
      <c r="F651" s="21">
        <f>13.2</f>
        <v>13.2</v>
      </c>
      <c r="G651" s="21">
        <f t="shared" ref="G651:L651" si="1186">0</f>
        <v>0</v>
      </c>
      <c r="H651" s="21">
        <f t="shared" si="1186"/>
        <v>0</v>
      </c>
      <c r="I651" s="21">
        <f t="shared" si="1186"/>
        <v>0</v>
      </c>
      <c r="J651" s="21">
        <f t="shared" si="1186"/>
        <v>0</v>
      </c>
      <c r="K651" s="21">
        <f t="shared" si="1186"/>
        <v>0</v>
      </c>
      <c r="L651" s="21">
        <f t="shared" si="1186"/>
        <v>0</v>
      </c>
      <c r="M651" s="21">
        <f t="shared" ref="M651:N651" si="1187">8.8</f>
        <v>8.8</v>
      </c>
      <c r="N651" s="21">
        <f t="shared" si="1187"/>
        <v>8.8</v>
      </c>
      <c r="O651" s="21">
        <f>0</f>
        <v>0</v>
      </c>
    </row>
    <row r="652">
      <c r="B652" s="20">
        <v>46251.0</v>
      </c>
      <c r="C652" s="21">
        <f>21</f>
        <v>21</v>
      </c>
      <c r="D652" s="21">
        <f t="shared" ref="D652:H652" si="1188">0</f>
        <v>0</v>
      </c>
      <c r="E652" s="21">
        <f t="shared" si="1188"/>
        <v>0</v>
      </c>
      <c r="F652" s="21">
        <f t="shared" si="1188"/>
        <v>0</v>
      </c>
      <c r="G652" s="21">
        <f t="shared" si="1188"/>
        <v>0</v>
      </c>
      <c r="H652" s="21">
        <f t="shared" si="1188"/>
        <v>0</v>
      </c>
      <c r="I652" s="21">
        <f>21</f>
        <v>21</v>
      </c>
      <c r="J652" s="21">
        <f t="shared" ref="J652:O652" si="1189">0</f>
        <v>0</v>
      </c>
      <c r="K652" s="21">
        <f t="shared" si="1189"/>
        <v>0</v>
      </c>
      <c r="L652" s="21">
        <f t="shared" si="1189"/>
        <v>0</v>
      </c>
      <c r="M652" s="21">
        <f t="shared" si="1189"/>
        <v>0</v>
      </c>
      <c r="N652" s="21">
        <f t="shared" si="1189"/>
        <v>0</v>
      </c>
      <c r="O652" s="21">
        <f t="shared" si="1189"/>
        <v>0</v>
      </c>
    </row>
    <row r="653">
      <c r="B653" s="20">
        <v>46251.0</v>
      </c>
      <c r="C653" s="21">
        <f t="shared" ref="C653:L653" si="1190">0</f>
        <v>0</v>
      </c>
      <c r="D653" s="21">
        <f t="shared" si="1190"/>
        <v>0</v>
      </c>
      <c r="E653" s="21">
        <f t="shared" si="1190"/>
        <v>0</v>
      </c>
      <c r="F653" s="21">
        <f t="shared" si="1190"/>
        <v>0</v>
      </c>
      <c r="G653" s="21">
        <f t="shared" si="1190"/>
        <v>0</v>
      </c>
      <c r="H653" s="21">
        <f t="shared" si="1190"/>
        <v>0</v>
      </c>
      <c r="I653" s="21">
        <f t="shared" si="1190"/>
        <v>0</v>
      </c>
      <c r="J653" s="21">
        <f t="shared" si="1190"/>
        <v>0</v>
      </c>
      <c r="K653" s="21">
        <f t="shared" si="1190"/>
        <v>0</v>
      </c>
      <c r="L653" s="21">
        <f t="shared" si="1190"/>
        <v>0</v>
      </c>
      <c r="M653" s="21">
        <f>3.6</f>
        <v>3.6</v>
      </c>
      <c r="N653" s="21">
        <f t="shared" ref="N653:N654" si="1193">0</f>
        <v>0</v>
      </c>
      <c r="O653" s="21">
        <f>32.4</f>
        <v>32.4</v>
      </c>
    </row>
    <row r="654">
      <c r="B654" s="20">
        <v>46251.0</v>
      </c>
      <c r="C654" s="21">
        <f t="shared" ref="C654:H654" si="1191">0</f>
        <v>0</v>
      </c>
      <c r="D654" s="21">
        <f t="shared" si="1191"/>
        <v>0</v>
      </c>
      <c r="E654" s="21">
        <f t="shared" si="1191"/>
        <v>0</v>
      </c>
      <c r="F654" s="21">
        <f t="shared" si="1191"/>
        <v>0</v>
      </c>
      <c r="G654" s="21">
        <f t="shared" si="1191"/>
        <v>0</v>
      </c>
      <c r="H654" s="21">
        <f t="shared" si="1191"/>
        <v>0</v>
      </c>
      <c r="I654" s="21">
        <f>43.2</f>
        <v>43.2</v>
      </c>
      <c r="J654" s="21">
        <f t="shared" ref="J654:L654" si="1192">0</f>
        <v>0</v>
      </c>
      <c r="K654" s="21">
        <f t="shared" si="1192"/>
        <v>0</v>
      </c>
      <c r="L654" s="21">
        <f t="shared" si="1192"/>
        <v>0</v>
      </c>
      <c r="M654" s="21">
        <f>10.8</f>
        <v>10.8</v>
      </c>
      <c r="N654" s="21">
        <f t="shared" si="1193"/>
        <v>0</v>
      </c>
      <c r="O654" s="21">
        <f>0</f>
        <v>0</v>
      </c>
    </row>
    <row r="655">
      <c r="B655" s="20">
        <v>46251.0</v>
      </c>
      <c r="C655" s="21">
        <f>15</f>
        <v>15</v>
      </c>
      <c r="D655" s="21">
        <f t="shared" ref="D655:D656" si="1195">0</f>
        <v>0</v>
      </c>
      <c r="E655" s="21">
        <f>15</f>
        <v>15</v>
      </c>
      <c r="F655" s="21">
        <f>0</f>
        <v>0</v>
      </c>
      <c r="G655" s="21">
        <f>30</f>
        <v>30</v>
      </c>
      <c r="H655" s="21">
        <f t="shared" ref="H655:H656" si="1197">0</f>
        <v>0</v>
      </c>
      <c r="I655" s="21">
        <f>15</f>
        <v>15</v>
      </c>
      <c r="J655" s="21">
        <f t="shared" ref="J655:O655" si="1194">0</f>
        <v>0</v>
      </c>
      <c r="K655" s="21">
        <f t="shared" si="1194"/>
        <v>0</v>
      </c>
      <c r="L655" s="21">
        <f t="shared" si="1194"/>
        <v>0</v>
      </c>
      <c r="M655" s="21">
        <f t="shared" si="1194"/>
        <v>0</v>
      </c>
      <c r="N655" s="21">
        <f t="shared" si="1194"/>
        <v>0</v>
      </c>
      <c r="O655" s="21">
        <f t="shared" si="1194"/>
        <v>0</v>
      </c>
    </row>
    <row r="656">
      <c r="B656" s="20">
        <v>46251.0</v>
      </c>
      <c r="C656" s="21">
        <f>13</f>
        <v>13</v>
      </c>
      <c r="D656" s="21">
        <f t="shared" si="1195"/>
        <v>0</v>
      </c>
      <c r="E656" s="21">
        <f t="shared" ref="E656:F656" si="1196">0</f>
        <v>0</v>
      </c>
      <c r="F656" s="21">
        <f t="shared" si="1196"/>
        <v>0</v>
      </c>
      <c r="G656" s="21">
        <f>52</f>
        <v>52</v>
      </c>
      <c r="H656" s="21">
        <f t="shared" si="1197"/>
        <v>0</v>
      </c>
      <c r="I656" s="21">
        <f t="shared" ref="I656:O656" si="1198">0</f>
        <v>0</v>
      </c>
      <c r="J656" s="21">
        <f t="shared" si="1198"/>
        <v>0</v>
      </c>
      <c r="K656" s="21">
        <f t="shared" si="1198"/>
        <v>0</v>
      </c>
      <c r="L656" s="21">
        <f t="shared" si="1198"/>
        <v>0</v>
      </c>
      <c r="M656" s="21">
        <f t="shared" si="1198"/>
        <v>0</v>
      </c>
      <c r="N656" s="21">
        <f t="shared" si="1198"/>
        <v>0</v>
      </c>
      <c r="O656" s="21">
        <f t="shared" si="1198"/>
        <v>0</v>
      </c>
    </row>
    <row r="657">
      <c r="B657" s="20">
        <v>46251.0</v>
      </c>
      <c r="C657" s="21">
        <f t="shared" ref="C657:E657" si="1199">0</f>
        <v>0</v>
      </c>
      <c r="D657" s="21">
        <f t="shared" si="1199"/>
        <v>0</v>
      </c>
      <c r="E657" s="21">
        <f t="shared" si="1199"/>
        <v>0</v>
      </c>
      <c r="F657" s="21">
        <f>10.8</f>
        <v>10.8</v>
      </c>
      <c r="G657" s="21">
        <f t="shared" ref="G657:L657" si="1200">0</f>
        <v>0</v>
      </c>
      <c r="H657" s="21">
        <f t="shared" si="1200"/>
        <v>0</v>
      </c>
      <c r="I657" s="21">
        <f t="shared" si="1200"/>
        <v>0</v>
      </c>
      <c r="J657" s="21">
        <f t="shared" si="1200"/>
        <v>0</v>
      </c>
      <c r="K657" s="21">
        <f t="shared" si="1200"/>
        <v>0</v>
      </c>
      <c r="L657" s="21">
        <f t="shared" si="1200"/>
        <v>0</v>
      </c>
      <c r="M657" s="21">
        <f>16.2</f>
        <v>16.2</v>
      </c>
      <c r="N657" s="21">
        <f t="shared" ref="N657:O657" si="1201">0</f>
        <v>0</v>
      </c>
      <c r="O657" s="21">
        <f t="shared" si="1201"/>
        <v>0</v>
      </c>
    </row>
    <row r="658">
      <c r="B658" s="20">
        <v>46251.0</v>
      </c>
      <c r="C658" s="21">
        <v>0.0</v>
      </c>
      <c r="D658" s="21">
        <v>0.0</v>
      </c>
      <c r="E658" s="21">
        <v>0.0</v>
      </c>
      <c r="F658" s="21">
        <v>0.0</v>
      </c>
      <c r="G658" s="21">
        <v>0.0</v>
      </c>
      <c r="H658" s="21">
        <v>0.0</v>
      </c>
      <c r="I658" s="21">
        <v>0.0</v>
      </c>
      <c r="J658" s="21">
        <v>0.0</v>
      </c>
      <c r="K658" s="21">
        <v>0.0</v>
      </c>
      <c r="L658" s="21">
        <v>0.0</v>
      </c>
      <c r="M658" s="21">
        <v>0.0</v>
      </c>
      <c r="N658" s="21">
        <v>0.0</v>
      </c>
      <c r="O658" s="21">
        <f>109</f>
        <v>109</v>
      </c>
    </row>
    <row r="659">
      <c r="B659" s="20">
        <v>46251.0</v>
      </c>
      <c r="C659" s="21">
        <v>0.0</v>
      </c>
      <c r="D659" s="21">
        <v>0.0</v>
      </c>
      <c r="E659" s="21">
        <v>0.0</v>
      </c>
      <c r="F659" s="21">
        <v>0.0</v>
      </c>
      <c r="G659" s="21">
        <v>0.0</v>
      </c>
      <c r="H659" s="21">
        <v>0.0</v>
      </c>
      <c r="I659" s="21">
        <v>0.0</v>
      </c>
      <c r="J659" s="21">
        <v>0.0</v>
      </c>
      <c r="K659" s="21">
        <v>0.0</v>
      </c>
      <c r="L659" s="21">
        <v>0.0</v>
      </c>
      <c r="M659" s="21">
        <v>0.0</v>
      </c>
      <c r="N659" s="21">
        <v>0.0</v>
      </c>
      <c r="O659" s="21">
        <f>31</f>
        <v>31</v>
      </c>
    </row>
    <row r="660">
      <c r="B660" s="20">
        <v>46251.0</v>
      </c>
      <c r="C660" s="21">
        <f t="shared" ref="C660:H660" si="1202">0</f>
        <v>0</v>
      </c>
      <c r="D660" s="21">
        <f t="shared" si="1202"/>
        <v>0</v>
      </c>
      <c r="E660" s="21">
        <f t="shared" si="1202"/>
        <v>0</v>
      </c>
      <c r="F660" s="21">
        <f t="shared" si="1202"/>
        <v>0</v>
      </c>
      <c r="G660" s="21">
        <f t="shared" si="1202"/>
        <v>0</v>
      </c>
      <c r="H660" s="21">
        <f t="shared" si="1202"/>
        <v>0</v>
      </c>
      <c r="I660" s="21">
        <f>18.6</f>
        <v>18.6</v>
      </c>
      <c r="J660" s="21">
        <f t="shared" ref="J660:L660" si="1203">0</f>
        <v>0</v>
      </c>
      <c r="K660" s="21">
        <f t="shared" si="1203"/>
        <v>0</v>
      </c>
      <c r="L660" s="21">
        <f t="shared" si="1203"/>
        <v>0</v>
      </c>
      <c r="M660" s="21">
        <f>12.4</f>
        <v>12.4</v>
      </c>
      <c r="N660" s="21">
        <f t="shared" ref="N660:O660" si="1204">0</f>
        <v>0</v>
      </c>
      <c r="O660" s="21">
        <f t="shared" si="1204"/>
        <v>0</v>
      </c>
    </row>
    <row r="661">
      <c r="B661" s="20">
        <v>46251.0</v>
      </c>
      <c r="C661" s="21">
        <v>0.0</v>
      </c>
      <c r="D661" s="21">
        <v>0.0</v>
      </c>
      <c r="E661" s="21">
        <v>0.0</v>
      </c>
      <c r="F661" s="21">
        <v>0.0</v>
      </c>
      <c r="G661" s="21">
        <v>0.0</v>
      </c>
      <c r="H661" s="21">
        <v>0.0</v>
      </c>
      <c r="I661" s="21">
        <v>0.0</v>
      </c>
      <c r="J661" s="21">
        <v>0.0</v>
      </c>
      <c r="K661" s="21">
        <v>0.0</v>
      </c>
      <c r="L661" s="21">
        <v>0.0</v>
      </c>
      <c r="M661" s="21">
        <v>0.0</v>
      </c>
      <c r="N661" s="21">
        <v>0.0</v>
      </c>
      <c r="O661" s="21">
        <f>28</f>
        <v>28</v>
      </c>
    </row>
    <row r="662">
      <c r="B662" s="20">
        <v>46252.0</v>
      </c>
      <c r="C662" s="21">
        <f>61</f>
        <v>61</v>
      </c>
      <c r="D662" s="21">
        <f t="shared" ref="D662:I662" si="1205">0</f>
        <v>0</v>
      </c>
      <c r="E662" s="21">
        <f t="shared" si="1205"/>
        <v>0</v>
      </c>
      <c r="F662" s="21">
        <f t="shared" si="1205"/>
        <v>0</v>
      </c>
      <c r="G662" s="21">
        <f t="shared" si="1205"/>
        <v>0</v>
      </c>
      <c r="H662" s="21">
        <f t="shared" si="1205"/>
        <v>0</v>
      </c>
      <c r="I662" s="21">
        <f t="shared" si="1205"/>
        <v>0</v>
      </c>
      <c r="J662" s="21">
        <f>61</f>
        <v>61</v>
      </c>
      <c r="K662" s="21">
        <f t="shared" ref="K662:O662" si="1206">0</f>
        <v>0</v>
      </c>
      <c r="L662" s="21">
        <f t="shared" si="1206"/>
        <v>0</v>
      </c>
      <c r="M662" s="21">
        <f t="shared" si="1206"/>
        <v>0</v>
      </c>
      <c r="N662" s="21">
        <f t="shared" si="1206"/>
        <v>0</v>
      </c>
      <c r="O662" s="21">
        <f t="shared" si="1206"/>
        <v>0</v>
      </c>
    </row>
    <row r="663">
      <c r="B663" s="20">
        <v>46252.0</v>
      </c>
      <c r="C663" s="21">
        <f t="shared" ref="C663:H663" si="1207">0</f>
        <v>0</v>
      </c>
      <c r="D663" s="21">
        <f t="shared" si="1207"/>
        <v>0</v>
      </c>
      <c r="E663" s="21">
        <f t="shared" si="1207"/>
        <v>0</v>
      </c>
      <c r="F663" s="21">
        <f t="shared" si="1207"/>
        <v>0</v>
      </c>
      <c r="G663" s="21">
        <f t="shared" si="1207"/>
        <v>0</v>
      </c>
      <c r="H663" s="21">
        <f t="shared" si="1207"/>
        <v>0</v>
      </c>
      <c r="I663" s="21">
        <f>4.5</f>
        <v>4.5</v>
      </c>
      <c r="J663" s="21">
        <f t="shared" ref="J663:L663" si="1208">0</f>
        <v>0</v>
      </c>
      <c r="K663" s="21">
        <f t="shared" si="1208"/>
        <v>0</v>
      </c>
      <c r="L663" s="21">
        <f t="shared" si="1208"/>
        <v>0</v>
      </c>
      <c r="M663" s="21">
        <f>4.5</f>
        <v>4.5</v>
      </c>
      <c r="N663" s="21">
        <f>0</f>
        <v>0</v>
      </c>
      <c r="O663" s="21">
        <f>6</f>
        <v>6</v>
      </c>
    </row>
    <row r="664">
      <c r="B664" s="20">
        <v>46252.0</v>
      </c>
      <c r="C664" s="21">
        <v>0.0</v>
      </c>
      <c r="D664" s="21">
        <v>0.0</v>
      </c>
      <c r="E664" s="21">
        <v>0.0</v>
      </c>
      <c r="F664" s="21">
        <v>0.0</v>
      </c>
      <c r="G664" s="21">
        <v>0.0</v>
      </c>
      <c r="H664" s="21">
        <v>0.0</v>
      </c>
      <c r="I664" s="21">
        <v>0.0</v>
      </c>
      <c r="J664" s="21">
        <v>0.0</v>
      </c>
      <c r="K664" s="21">
        <v>0.0</v>
      </c>
      <c r="L664" s="21">
        <v>0.0</v>
      </c>
      <c r="M664" s="21">
        <v>0.0</v>
      </c>
      <c r="N664" s="21">
        <v>0.0</v>
      </c>
      <c r="O664" s="21">
        <f>29</f>
        <v>29</v>
      </c>
    </row>
    <row r="665">
      <c r="B665" s="20">
        <v>46252.0</v>
      </c>
      <c r="C665" s="21">
        <v>0.0</v>
      </c>
      <c r="D665" s="21">
        <v>0.0</v>
      </c>
      <c r="E665" s="21">
        <v>0.0</v>
      </c>
      <c r="F665" s="21">
        <v>0.0</v>
      </c>
      <c r="G665" s="21">
        <v>0.0</v>
      </c>
      <c r="H665" s="21">
        <v>0.0</v>
      </c>
      <c r="I665" s="21">
        <v>0.0</v>
      </c>
      <c r="J665" s="21">
        <v>0.0</v>
      </c>
      <c r="K665" s="21">
        <v>0.0</v>
      </c>
      <c r="L665" s="21">
        <v>0.0</v>
      </c>
      <c r="M665" s="21">
        <v>0.0</v>
      </c>
      <c r="N665" s="21">
        <v>0.0</v>
      </c>
      <c r="O665" s="21">
        <f>20</f>
        <v>20</v>
      </c>
    </row>
    <row r="666">
      <c r="B666" s="20">
        <v>46252.0</v>
      </c>
      <c r="C666" s="21">
        <f>8.6</f>
        <v>8.6</v>
      </c>
      <c r="D666" s="21">
        <f t="shared" ref="D666:F666" si="1209">0</f>
        <v>0</v>
      </c>
      <c r="E666" s="21">
        <f t="shared" si="1209"/>
        <v>0</v>
      </c>
      <c r="F666" s="21">
        <f t="shared" si="1209"/>
        <v>0</v>
      </c>
      <c r="G666" s="21">
        <f>43</f>
        <v>43</v>
      </c>
      <c r="H666" s="21">
        <f t="shared" ref="H666:I666" si="1210">0</f>
        <v>0</v>
      </c>
      <c r="I666" s="21">
        <f t="shared" si="1210"/>
        <v>0</v>
      </c>
      <c r="J666" s="21">
        <f>17.2</f>
        <v>17.2</v>
      </c>
      <c r="K666" s="21">
        <f t="shared" ref="K666:M666" si="1211">0</f>
        <v>0</v>
      </c>
      <c r="L666" s="21">
        <f t="shared" si="1211"/>
        <v>0</v>
      </c>
      <c r="M666" s="21">
        <f t="shared" si="1211"/>
        <v>0</v>
      </c>
      <c r="N666" s="21">
        <f>17.2</f>
        <v>17.2</v>
      </c>
      <c r="O666" s="21">
        <f t="shared" ref="O666:O667" si="1214">0</f>
        <v>0</v>
      </c>
    </row>
    <row r="667">
      <c r="B667" s="20">
        <v>46252.0</v>
      </c>
      <c r="C667" s="21">
        <f t="shared" ref="C667:L667" si="1212">0</f>
        <v>0</v>
      </c>
      <c r="D667" s="21">
        <f t="shared" si="1212"/>
        <v>0</v>
      </c>
      <c r="E667" s="21">
        <f t="shared" si="1212"/>
        <v>0</v>
      </c>
      <c r="F667" s="21">
        <f t="shared" si="1212"/>
        <v>0</v>
      </c>
      <c r="G667" s="21">
        <f t="shared" si="1212"/>
        <v>0</v>
      </c>
      <c r="H667" s="21">
        <f t="shared" si="1212"/>
        <v>0</v>
      </c>
      <c r="I667" s="21">
        <f t="shared" si="1212"/>
        <v>0</v>
      </c>
      <c r="J667" s="21">
        <f t="shared" si="1212"/>
        <v>0</v>
      </c>
      <c r="K667" s="21">
        <f t="shared" si="1212"/>
        <v>0</v>
      </c>
      <c r="L667" s="21">
        <f t="shared" si="1212"/>
        <v>0</v>
      </c>
      <c r="M667" s="21">
        <f t="shared" ref="M667:N667" si="1213">15</f>
        <v>15</v>
      </c>
      <c r="N667" s="21">
        <f t="shared" si="1213"/>
        <v>15</v>
      </c>
      <c r="O667" s="21">
        <f t="shared" si="1214"/>
        <v>0</v>
      </c>
    </row>
    <row r="668">
      <c r="B668" s="20">
        <v>46252.0</v>
      </c>
      <c r="C668" s="21">
        <f t="shared" ref="C668:I668" si="1215">0</f>
        <v>0</v>
      </c>
      <c r="D668" s="21">
        <f t="shared" si="1215"/>
        <v>0</v>
      </c>
      <c r="E668" s="21">
        <f t="shared" si="1215"/>
        <v>0</v>
      </c>
      <c r="F668" s="21">
        <f t="shared" si="1215"/>
        <v>0</v>
      </c>
      <c r="G668" s="21">
        <f t="shared" si="1215"/>
        <v>0</v>
      </c>
      <c r="H668" s="21">
        <f t="shared" si="1215"/>
        <v>0</v>
      </c>
      <c r="I668" s="21">
        <f t="shared" si="1215"/>
        <v>0</v>
      </c>
      <c r="J668" s="21">
        <f>32.5</f>
        <v>32.5</v>
      </c>
      <c r="K668" s="21">
        <f t="shared" ref="K668:N668" si="1216">0</f>
        <v>0</v>
      </c>
      <c r="L668" s="21">
        <f t="shared" si="1216"/>
        <v>0</v>
      </c>
      <c r="M668" s="21">
        <f t="shared" si="1216"/>
        <v>0</v>
      </c>
      <c r="N668" s="21">
        <f t="shared" si="1216"/>
        <v>0</v>
      </c>
      <c r="O668" s="21">
        <f>32.5</f>
        <v>32.5</v>
      </c>
    </row>
    <row r="669">
      <c r="B669" s="20">
        <v>46252.0</v>
      </c>
      <c r="C669" s="21">
        <f>11.9</f>
        <v>11.9</v>
      </c>
      <c r="D669" s="21">
        <f t="shared" ref="D669:H669" si="1217">0</f>
        <v>0</v>
      </c>
      <c r="E669" s="21">
        <f t="shared" si="1217"/>
        <v>0</v>
      </c>
      <c r="F669" s="21">
        <f t="shared" si="1217"/>
        <v>0</v>
      </c>
      <c r="G669" s="21">
        <f t="shared" si="1217"/>
        <v>0</v>
      </c>
      <c r="H669" s="21">
        <f t="shared" si="1217"/>
        <v>0</v>
      </c>
      <c r="I669" s="21">
        <f>3.4</f>
        <v>3.4</v>
      </c>
      <c r="J669" s="21">
        <f t="shared" ref="J669:L669" si="1218">0</f>
        <v>0</v>
      </c>
      <c r="K669" s="21">
        <f t="shared" si="1218"/>
        <v>0</v>
      </c>
      <c r="L669" s="21">
        <f t="shared" si="1218"/>
        <v>0</v>
      </c>
      <c r="M669" s="21">
        <f>1.7</f>
        <v>1.7</v>
      </c>
      <c r="N669" s="21">
        <f t="shared" ref="N669:O669" si="1219">0</f>
        <v>0</v>
      </c>
      <c r="O669" s="21">
        <f t="shared" si="1219"/>
        <v>0</v>
      </c>
    </row>
    <row r="670">
      <c r="B670" s="20">
        <v>46252.0</v>
      </c>
      <c r="C670" s="21">
        <f t="shared" ref="C670:F670" si="1220">0</f>
        <v>0</v>
      </c>
      <c r="D670" s="21">
        <f t="shared" si="1220"/>
        <v>0</v>
      </c>
      <c r="E670" s="21">
        <f t="shared" si="1220"/>
        <v>0</v>
      </c>
      <c r="F670" s="21">
        <f t="shared" si="1220"/>
        <v>0</v>
      </c>
      <c r="G670" s="21">
        <f>7.2</f>
        <v>7.2</v>
      </c>
      <c r="H670" s="21">
        <f>0</f>
        <v>0</v>
      </c>
      <c r="I670" s="21">
        <f>7.2</f>
        <v>7.2</v>
      </c>
      <c r="J670" s="21">
        <f t="shared" ref="J670:L670" si="1221">0</f>
        <v>0</v>
      </c>
      <c r="K670" s="21">
        <f t="shared" si="1221"/>
        <v>0</v>
      </c>
      <c r="L670" s="21">
        <f t="shared" si="1221"/>
        <v>0</v>
      </c>
      <c r="M670" s="21">
        <f>9.6</f>
        <v>9.6</v>
      </c>
      <c r="N670" s="21">
        <f t="shared" ref="N670:O670" si="1222">0</f>
        <v>0</v>
      </c>
      <c r="O670" s="21">
        <f t="shared" si="1222"/>
        <v>0</v>
      </c>
    </row>
    <row r="671">
      <c r="B671" s="20">
        <v>46252.0</v>
      </c>
      <c r="C671" s="21">
        <f t="shared" ref="C671:D671" si="1223">0</f>
        <v>0</v>
      </c>
      <c r="D671" s="21">
        <f t="shared" si="1223"/>
        <v>0</v>
      </c>
      <c r="E671" s="21">
        <f>9.9</f>
        <v>9.9</v>
      </c>
      <c r="F671" s="21">
        <f t="shared" ref="F671:L671" si="1224">0</f>
        <v>0</v>
      </c>
      <c r="G671" s="21">
        <f t="shared" si="1224"/>
        <v>0</v>
      </c>
      <c r="H671" s="21">
        <f t="shared" si="1224"/>
        <v>0</v>
      </c>
      <c r="I671" s="21">
        <f t="shared" si="1224"/>
        <v>0</v>
      </c>
      <c r="J671" s="21">
        <f t="shared" si="1224"/>
        <v>0</v>
      </c>
      <c r="K671" s="21">
        <f t="shared" si="1224"/>
        <v>0</v>
      </c>
      <c r="L671" s="21">
        <f t="shared" si="1224"/>
        <v>0</v>
      </c>
      <c r="M671" s="21">
        <f>13.2</f>
        <v>13.2</v>
      </c>
      <c r="N671" s="21">
        <f t="shared" ref="N671:N672" si="1227">0</f>
        <v>0</v>
      </c>
      <c r="O671" s="21">
        <f>9.9</f>
        <v>9.9</v>
      </c>
    </row>
    <row r="672">
      <c r="B672" s="20">
        <v>46252.0</v>
      </c>
      <c r="C672" s="21">
        <f t="shared" ref="C672:D672" si="1225">0</f>
        <v>0</v>
      </c>
      <c r="D672" s="21">
        <f t="shared" si="1225"/>
        <v>0</v>
      </c>
      <c r="E672" s="21">
        <f>2.4</f>
        <v>2.4</v>
      </c>
      <c r="F672" s="21">
        <f t="shared" ref="F672:L672" si="1226">0</f>
        <v>0</v>
      </c>
      <c r="G672" s="21">
        <f t="shared" si="1226"/>
        <v>0</v>
      </c>
      <c r="H672" s="21">
        <f t="shared" si="1226"/>
        <v>0</v>
      </c>
      <c r="I672" s="21">
        <f t="shared" si="1226"/>
        <v>0</v>
      </c>
      <c r="J672" s="21">
        <f t="shared" si="1226"/>
        <v>0</v>
      </c>
      <c r="K672" s="21">
        <f t="shared" si="1226"/>
        <v>0</v>
      </c>
      <c r="L672" s="21">
        <f t="shared" si="1226"/>
        <v>0</v>
      </c>
      <c r="M672" s="21">
        <f>3.6</f>
        <v>3.6</v>
      </c>
      <c r="N672" s="21">
        <f t="shared" si="1227"/>
        <v>0</v>
      </c>
      <c r="O672" s="21">
        <f>0</f>
        <v>0</v>
      </c>
    </row>
    <row r="673">
      <c r="B673" s="20">
        <v>46252.0</v>
      </c>
      <c r="C673" s="21">
        <f>24</f>
        <v>24</v>
      </c>
      <c r="D673" s="21">
        <f t="shared" ref="D673:O673" si="1228">0</f>
        <v>0</v>
      </c>
      <c r="E673" s="21">
        <f t="shared" si="1228"/>
        <v>0</v>
      </c>
      <c r="F673" s="21">
        <f t="shared" si="1228"/>
        <v>0</v>
      </c>
      <c r="G673" s="21">
        <f t="shared" si="1228"/>
        <v>0</v>
      </c>
      <c r="H673" s="21">
        <f t="shared" si="1228"/>
        <v>0</v>
      </c>
      <c r="I673" s="21">
        <f t="shared" si="1228"/>
        <v>0</v>
      </c>
      <c r="J673" s="21">
        <f t="shared" si="1228"/>
        <v>0</v>
      </c>
      <c r="K673" s="21">
        <f t="shared" si="1228"/>
        <v>0</v>
      </c>
      <c r="L673" s="21">
        <f t="shared" si="1228"/>
        <v>0</v>
      </c>
      <c r="M673" s="21">
        <f t="shared" si="1228"/>
        <v>0</v>
      </c>
      <c r="N673" s="21">
        <f t="shared" si="1228"/>
        <v>0</v>
      </c>
      <c r="O673" s="21">
        <f t="shared" si="1228"/>
        <v>0</v>
      </c>
    </row>
    <row r="674">
      <c r="B674" s="20">
        <v>46252.0</v>
      </c>
      <c r="C674" s="21">
        <v>0.0</v>
      </c>
      <c r="D674" s="21">
        <v>0.0</v>
      </c>
      <c r="E674" s="21">
        <v>0.0</v>
      </c>
      <c r="F674" s="21">
        <v>0.0</v>
      </c>
      <c r="G674" s="21">
        <v>0.0</v>
      </c>
      <c r="H674" s="21">
        <v>0.0</v>
      </c>
      <c r="I674" s="21">
        <v>0.0</v>
      </c>
      <c r="J674" s="21">
        <v>0.0</v>
      </c>
      <c r="K674" s="21">
        <v>0.0</v>
      </c>
      <c r="L674" s="21">
        <v>0.0</v>
      </c>
      <c r="M674" s="21">
        <v>0.0</v>
      </c>
      <c r="N674" s="21">
        <v>0.0</v>
      </c>
      <c r="O674" s="21">
        <f>58</f>
        <v>58</v>
      </c>
    </row>
    <row r="675">
      <c r="B675" s="20">
        <v>46252.0</v>
      </c>
      <c r="C675" s="21">
        <f>52.5</f>
        <v>52.5</v>
      </c>
      <c r="D675" s="21">
        <f t="shared" ref="D675:L675" si="1229">0</f>
        <v>0</v>
      </c>
      <c r="E675" s="21">
        <f t="shared" si="1229"/>
        <v>0</v>
      </c>
      <c r="F675" s="21">
        <f t="shared" si="1229"/>
        <v>0</v>
      </c>
      <c r="G675" s="21">
        <f t="shared" si="1229"/>
        <v>0</v>
      </c>
      <c r="H675" s="21">
        <f t="shared" si="1229"/>
        <v>0</v>
      </c>
      <c r="I675" s="21">
        <f t="shared" si="1229"/>
        <v>0</v>
      </c>
      <c r="J675" s="21">
        <f t="shared" si="1229"/>
        <v>0</v>
      </c>
      <c r="K675" s="21">
        <f t="shared" si="1229"/>
        <v>0</v>
      </c>
      <c r="L675" s="21">
        <f t="shared" si="1229"/>
        <v>0</v>
      </c>
      <c r="M675" s="21">
        <f>7.5</f>
        <v>7.5</v>
      </c>
      <c r="N675" s="21">
        <f>0</f>
        <v>0</v>
      </c>
      <c r="O675" s="21">
        <f>15</f>
        <v>15</v>
      </c>
    </row>
    <row r="676">
      <c r="B676" s="20">
        <v>46252.0</v>
      </c>
      <c r="C676" s="21">
        <f t="shared" ref="C676:D676" si="1230">0</f>
        <v>0</v>
      </c>
      <c r="D676" s="21">
        <f t="shared" si="1230"/>
        <v>0</v>
      </c>
      <c r="E676" s="21">
        <f>4.3</f>
        <v>4.3</v>
      </c>
      <c r="F676" s="21">
        <f t="shared" ref="F676:H676" si="1231">0</f>
        <v>0</v>
      </c>
      <c r="G676" s="21">
        <f t="shared" si="1231"/>
        <v>0</v>
      </c>
      <c r="H676" s="21">
        <f t="shared" si="1231"/>
        <v>0</v>
      </c>
      <c r="I676" s="21">
        <f>38.7</f>
        <v>38.7</v>
      </c>
      <c r="J676" s="21">
        <f t="shared" ref="J676:O676" si="1232">0</f>
        <v>0</v>
      </c>
      <c r="K676" s="21">
        <f t="shared" si="1232"/>
        <v>0</v>
      </c>
      <c r="L676" s="21">
        <f t="shared" si="1232"/>
        <v>0</v>
      </c>
      <c r="M676" s="21">
        <f t="shared" si="1232"/>
        <v>0</v>
      </c>
      <c r="N676" s="21">
        <f t="shared" si="1232"/>
        <v>0</v>
      </c>
      <c r="O676" s="21">
        <f t="shared" si="1232"/>
        <v>0</v>
      </c>
    </row>
    <row r="677">
      <c r="B677" s="20">
        <v>46252.0</v>
      </c>
      <c r="C677" s="21">
        <f t="shared" ref="C677:D677" si="1233">0</f>
        <v>0</v>
      </c>
      <c r="D677" s="21">
        <f t="shared" si="1233"/>
        <v>0</v>
      </c>
      <c r="E677" s="21">
        <f>23.6</f>
        <v>23.6</v>
      </c>
      <c r="F677" s="21">
        <f t="shared" ref="F677:H677" si="1234">0</f>
        <v>0</v>
      </c>
      <c r="G677" s="21">
        <f t="shared" si="1234"/>
        <v>0</v>
      </c>
      <c r="H677" s="21">
        <f t="shared" si="1234"/>
        <v>0</v>
      </c>
      <c r="I677" s="21">
        <f>23.6</f>
        <v>23.6</v>
      </c>
      <c r="J677" s="21">
        <f t="shared" ref="J677:N677" si="1235">0</f>
        <v>0</v>
      </c>
      <c r="K677" s="21">
        <f t="shared" si="1235"/>
        <v>0</v>
      </c>
      <c r="L677" s="21">
        <f t="shared" si="1235"/>
        <v>0</v>
      </c>
      <c r="M677" s="21">
        <f t="shared" si="1235"/>
        <v>0</v>
      </c>
      <c r="N677" s="21">
        <f t="shared" si="1235"/>
        <v>0</v>
      </c>
      <c r="O677" s="21">
        <f>11.8</f>
        <v>11.8</v>
      </c>
    </row>
    <row r="678">
      <c r="B678" s="20">
        <v>46253.0</v>
      </c>
      <c r="C678" s="21">
        <f t="shared" ref="C678:E678" si="1236">0</f>
        <v>0</v>
      </c>
      <c r="D678" s="21">
        <f t="shared" si="1236"/>
        <v>0</v>
      </c>
      <c r="E678" s="21">
        <f t="shared" si="1236"/>
        <v>0</v>
      </c>
      <c r="F678" s="21">
        <f>12.8</f>
        <v>12.8</v>
      </c>
      <c r="G678" s="21">
        <f t="shared" ref="G678:M678" si="1237">0</f>
        <v>0</v>
      </c>
      <c r="H678" s="21">
        <f t="shared" si="1237"/>
        <v>0</v>
      </c>
      <c r="I678" s="21">
        <f t="shared" si="1237"/>
        <v>0</v>
      </c>
      <c r="J678" s="21">
        <f t="shared" si="1237"/>
        <v>0</v>
      </c>
      <c r="K678" s="21">
        <f t="shared" si="1237"/>
        <v>0</v>
      </c>
      <c r="L678" s="21">
        <f t="shared" si="1237"/>
        <v>0</v>
      </c>
      <c r="M678" s="21">
        <f t="shared" si="1237"/>
        <v>0</v>
      </c>
      <c r="N678" s="21">
        <f>51.2</f>
        <v>51.2</v>
      </c>
      <c r="O678" s="21">
        <f>0</f>
        <v>0</v>
      </c>
    </row>
    <row r="679">
      <c r="B679" s="20">
        <v>46253.0</v>
      </c>
      <c r="C679" s="21">
        <f>15.2</f>
        <v>15.2</v>
      </c>
      <c r="D679" s="21">
        <f t="shared" ref="D679:L679" si="1238">0</f>
        <v>0</v>
      </c>
      <c r="E679" s="21">
        <f t="shared" si="1238"/>
        <v>0</v>
      </c>
      <c r="F679" s="21">
        <f t="shared" si="1238"/>
        <v>0</v>
      </c>
      <c r="G679" s="21">
        <f t="shared" si="1238"/>
        <v>0</v>
      </c>
      <c r="H679" s="21">
        <f t="shared" si="1238"/>
        <v>0</v>
      </c>
      <c r="I679" s="21">
        <f t="shared" si="1238"/>
        <v>0</v>
      </c>
      <c r="J679" s="21">
        <f t="shared" si="1238"/>
        <v>0</v>
      </c>
      <c r="K679" s="21">
        <f t="shared" si="1238"/>
        <v>0</v>
      </c>
      <c r="L679" s="21">
        <f t="shared" si="1238"/>
        <v>0</v>
      </c>
      <c r="M679" s="21">
        <f>3.8</f>
        <v>3.8</v>
      </c>
      <c r="N679" s="21">
        <f t="shared" ref="N679:O679" si="1239">0</f>
        <v>0</v>
      </c>
      <c r="O679" s="21">
        <f t="shared" si="1239"/>
        <v>0</v>
      </c>
    </row>
    <row r="680">
      <c r="B680" s="20">
        <v>46253.0</v>
      </c>
      <c r="C680" s="21">
        <f t="shared" ref="C680:M680" si="1240">0</f>
        <v>0</v>
      </c>
      <c r="D680" s="21">
        <f t="shared" si="1240"/>
        <v>0</v>
      </c>
      <c r="E680" s="21">
        <f t="shared" si="1240"/>
        <v>0</v>
      </c>
      <c r="F680" s="21">
        <f t="shared" si="1240"/>
        <v>0</v>
      </c>
      <c r="G680" s="21">
        <f t="shared" si="1240"/>
        <v>0</v>
      </c>
      <c r="H680" s="21">
        <f t="shared" si="1240"/>
        <v>0</v>
      </c>
      <c r="I680" s="21">
        <f t="shared" si="1240"/>
        <v>0</v>
      </c>
      <c r="J680" s="21">
        <f t="shared" si="1240"/>
        <v>0</v>
      </c>
      <c r="K680" s="21">
        <f t="shared" si="1240"/>
        <v>0</v>
      </c>
      <c r="L680" s="21">
        <f t="shared" si="1240"/>
        <v>0</v>
      </c>
      <c r="M680" s="21">
        <f t="shared" si="1240"/>
        <v>0</v>
      </c>
      <c r="N680" s="21">
        <f>24</f>
        <v>24</v>
      </c>
      <c r="O680" s="21">
        <f>0</f>
        <v>0</v>
      </c>
    </row>
    <row r="681">
      <c r="B681" s="20">
        <v>46253.0</v>
      </c>
      <c r="C681" s="21">
        <f t="shared" ref="C681:H681" si="1241">0</f>
        <v>0</v>
      </c>
      <c r="D681" s="21">
        <f t="shared" si="1241"/>
        <v>0</v>
      </c>
      <c r="E681" s="21">
        <f t="shared" si="1241"/>
        <v>0</v>
      </c>
      <c r="F681" s="21">
        <f t="shared" si="1241"/>
        <v>0</v>
      </c>
      <c r="G681" s="21">
        <f t="shared" si="1241"/>
        <v>0</v>
      </c>
      <c r="H681" s="21">
        <f t="shared" si="1241"/>
        <v>0</v>
      </c>
      <c r="I681" s="21">
        <f>17.5</f>
        <v>17.5</v>
      </c>
      <c r="J681" s="21">
        <f t="shared" ref="J681:L681" si="1242">0</f>
        <v>0</v>
      </c>
      <c r="K681" s="21">
        <f t="shared" si="1242"/>
        <v>0</v>
      </c>
      <c r="L681" s="21">
        <f t="shared" si="1242"/>
        <v>0</v>
      </c>
      <c r="M681" s="21">
        <f>17.5</f>
        <v>17.5</v>
      </c>
      <c r="N681" s="21">
        <f t="shared" ref="N681:O681" si="1243">0</f>
        <v>0</v>
      </c>
      <c r="O681" s="21">
        <f t="shared" si="1243"/>
        <v>0</v>
      </c>
    </row>
    <row r="682">
      <c r="B682" s="20">
        <v>46253.0</v>
      </c>
      <c r="C682" s="21">
        <f t="shared" ref="C682:F682" si="1244">0</f>
        <v>0</v>
      </c>
      <c r="D682" s="21">
        <f t="shared" si="1244"/>
        <v>0</v>
      </c>
      <c r="E682" s="21">
        <f t="shared" si="1244"/>
        <v>0</v>
      </c>
      <c r="F682" s="21">
        <f t="shared" si="1244"/>
        <v>0</v>
      </c>
      <c r="G682" s="21">
        <f>25.2</f>
        <v>25.2</v>
      </c>
      <c r="H682" s="21">
        <f>0</f>
        <v>0</v>
      </c>
      <c r="I682" s="21">
        <f>31.5</f>
        <v>31.5</v>
      </c>
      <c r="J682" s="21">
        <f t="shared" ref="J682:L682" si="1245">0</f>
        <v>0</v>
      </c>
      <c r="K682" s="21">
        <f t="shared" si="1245"/>
        <v>0</v>
      </c>
      <c r="L682" s="21">
        <f t="shared" si="1245"/>
        <v>0</v>
      </c>
      <c r="M682" s="21">
        <f>6.3</f>
        <v>6.3</v>
      </c>
      <c r="N682" s="21">
        <f t="shared" ref="N682:O682" si="1246">0</f>
        <v>0</v>
      </c>
      <c r="O682" s="21">
        <f t="shared" si="1246"/>
        <v>0</v>
      </c>
    </row>
    <row r="683">
      <c r="B683" s="20">
        <v>46253.0</v>
      </c>
      <c r="C683" s="21">
        <f t="shared" ref="C683:H683" si="1247">0</f>
        <v>0</v>
      </c>
      <c r="D683" s="21">
        <f t="shared" si="1247"/>
        <v>0</v>
      </c>
      <c r="E683" s="21">
        <f t="shared" si="1247"/>
        <v>0</v>
      </c>
      <c r="F683" s="21">
        <f t="shared" si="1247"/>
        <v>0</v>
      </c>
      <c r="G683" s="21">
        <f t="shared" si="1247"/>
        <v>0</v>
      </c>
      <c r="H683" s="21">
        <f t="shared" si="1247"/>
        <v>0</v>
      </c>
      <c r="I683" s="21">
        <f>32.4</f>
        <v>32.4</v>
      </c>
      <c r="J683" s="21">
        <f t="shared" ref="J683:L683" si="1248">0</f>
        <v>0</v>
      </c>
      <c r="K683" s="21">
        <f t="shared" si="1248"/>
        <v>0</v>
      </c>
      <c r="L683" s="21">
        <f t="shared" si="1248"/>
        <v>0</v>
      </c>
      <c r="M683" s="21">
        <f>3.6</f>
        <v>3.6</v>
      </c>
      <c r="N683" s="21">
        <f t="shared" ref="N683:O683" si="1249">0</f>
        <v>0</v>
      </c>
      <c r="O683" s="21">
        <f t="shared" si="1249"/>
        <v>0</v>
      </c>
    </row>
    <row r="684">
      <c r="B684" s="20">
        <v>46253.0</v>
      </c>
      <c r="C684" s="21">
        <f t="shared" ref="C684:H684" si="1250">0</f>
        <v>0</v>
      </c>
      <c r="D684" s="21">
        <f t="shared" si="1250"/>
        <v>0</v>
      </c>
      <c r="E684" s="21">
        <f t="shared" si="1250"/>
        <v>0</v>
      </c>
      <c r="F684" s="21">
        <f t="shared" si="1250"/>
        <v>0</v>
      </c>
      <c r="G684" s="21">
        <f t="shared" si="1250"/>
        <v>0</v>
      </c>
      <c r="H684" s="21">
        <f t="shared" si="1250"/>
        <v>0</v>
      </c>
      <c r="I684" s="21">
        <f>68</f>
        <v>68</v>
      </c>
      <c r="J684" s="21">
        <f t="shared" ref="J684:N684" si="1251">0</f>
        <v>0</v>
      </c>
      <c r="K684" s="21">
        <f t="shared" si="1251"/>
        <v>0</v>
      </c>
      <c r="L684" s="21">
        <f t="shared" si="1251"/>
        <v>0</v>
      </c>
      <c r="M684" s="21">
        <f t="shared" si="1251"/>
        <v>0</v>
      </c>
      <c r="N684" s="21">
        <f t="shared" si="1251"/>
        <v>0</v>
      </c>
      <c r="O684" s="21">
        <f>68</f>
        <v>68</v>
      </c>
    </row>
    <row r="685">
      <c r="B685" s="20">
        <v>46253.0</v>
      </c>
      <c r="C685" s="21">
        <f t="shared" ref="C685:F685" si="1252">0</f>
        <v>0</v>
      </c>
      <c r="D685" s="21">
        <f t="shared" si="1252"/>
        <v>0</v>
      </c>
      <c r="E685" s="21">
        <f t="shared" si="1252"/>
        <v>0</v>
      </c>
      <c r="F685" s="21">
        <f t="shared" si="1252"/>
        <v>0</v>
      </c>
      <c r="G685" s="21">
        <f>37</f>
        <v>37</v>
      </c>
      <c r="H685" s="21">
        <f t="shared" ref="H685:O685" si="1253">0</f>
        <v>0</v>
      </c>
      <c r="I685" s="21">
        <f t="shared" si="1253"/>
        <v>0</v>
      </c>
      <c r="J685" s="21">
        <f t="shared" si="1253"/>
        <v>0</v>
      </c>
      <c r="K685" s="21">
        <f t="shared" si="1253"/>
        <v>0</v>
      </c>
      <c r="L685" s="21">
        <f t="shared" si="1253"/>
        <v>0</v>
      </c>
      <c r="M685" s="21">
        <f t="shared" si="1253"/>
        <v>0</v>
      </c>
      <c r="N685" s="21">
        <f t="shared" si="1253"/>
        <v>0</v>
      </c>
      <c r="O685" s="21">
        <f t="shared" si="1253"/>
        <v>0</v>
      </c>
    </row>
    <row r="686">
      <c r="B686" s="20">
        <v>46253.0</v>
      </c>
      <c r="C686" s="21">
        <v>0.0</v>
      </c>
      <c r="D686" s="21">
        <v>0.0</v>
      </c>
      <c r="E686" s="21">
        <v>0.0</v>
      </c>
      <c r="F686" s="21">
        <v>0.0</v>
      </c>
      <c r="G686" s="21">
        <v>0.0</v>
      </c>
      <c r="H686" s="21">
        <v>0.0</v>
      </c>
      <c r="I686" s="21">
        <f t="shared" ref="I686:I687" si="1254">24</f>
        <v>24</v>
      </c>
      <c r="J686" s="21">
        <v>0.0</v>
      </c>
      <c r="K686" s="21">
        <v>0.0</v>
      </c>
      <c r="L686" s="21">
        <v>0.0</v>
      </c>
      <c r="M686" s="21">
        <v>0.0</v>
      </c>
      <c r="N686" s="21">
        <v>0.0</v>
      </c>
      <c r="O686" s="21">
        <v>0.0</v>
      </c>
    </row>
    <row r="687">
      <c r="B687" s="20">
        <v>46253.0</v>
      </c>
      <c r="C687" s="21">
        <v>0.0</v>
      </c>
      <c r="D687" s="21">
        <v>0.0</v>
      </c>
      <c r="E687" s="21">
        <v>0.0</v>
      </c>
      <c r="F687" s="21">
        <v>0.0</v>
      </c>
      <c r="G687" s="21">
        <v>0.0</v>
      </c>
      <c r="H687" s="21">
        <v>0.0</v>
      </c>
      <c r="I687" s="21">
        <f t="shared" si="1254"/>
        <v>24</v>
      </c>
      <c r="J687" s="21">
        <v>0.0</v>
      </c>
      <c r="K687" s="21">
        <v>0.0</v>
      </c>
      <c r="L687" s="21">
        <v>0.0</v>
      </c>
      <c r="M687" s="21">
        <v>0.0</v>
      </c>
      <c r="N687" s="21">
        <v>0.0</v>
      </c>
      <c r="O687" s="21">
        <v>0.0</v>
      </c>
    </row>
    <row r="688">
      <c r="B688" s="20">
        <v>46253.0</v>
      </c>
      <c r="C688" s="21">
        <f t="shared" ref="C688:I688" si="1255">0</f>
        <v>0</v>
      </c>
      <c r="D688" s="21">
        <f t="shared" si="1255"/>
        <v>0</v>
      </c>
      <c r="E688" s="21">
        <f t="shared" si="1255"/>
        <v>0</v>
      </c>
      <c r="F688" s="21">
        <f t="shared" si="1255"/>
        <v>0</v>
      </c>
      <c r="G688" s="21">
        <f t="shared" si="1255"/>
        <v>0</v>
      </c>
      <c r="H688" s="21">
        <f t="shared" si="1255"/>
        <v>0</v>
      </c>
      <c r="I688" s="21">
        <f t="shared" si="1255"/>
        <v>0</v>
      </c>
      <c r="J688" s="21">
        <f>64</f>
        <v>64</v>
      </c>
      <c r="K688" s="21">
        <f t="shared" ref="K688:O688" si="1256">0</f>
        <v>0</v>
      </c>
      <c r="L688" s="21">
        <f t="shared" si="1256"/>
        <v>0</v>
      </c>
      <c r="M688" s="21">
        <f t="shared" si="1256"/>
        <v>0</v>
      </c>
      <c r="N688" s="21">
        <f t="shared" si="1256"/>
        <v>0</v>
      </c>
      <c r="O688" s="21">
        <f t="shared" si="1256"/>
        <v>0</v>
      </c>
    </row>
    <row r="689">
      <c r="B689" s="20">
        <v>46253.0</v>
      </c>
      <c r="C689" s="21">
        <f t="shared" ref="C689:F689" si="1257">0</f>
        <v>0</v>
      </c>
      <c r="D689" s="21">
        <f t="shared" si="1257"/>
        <v>0</v>
      </c>
      <c r="E689" s="21">
        <f t="shared" si="1257"/>
        <v>0</v>
      </c>
      <c r="F689" s="21">
        <f t="shared" si="1257"/>
        <v>0</v>
      </c>
      <c r="G689" s="21">
        <f>3.7</f>
        <v>3.7</v>
      </c>
      <c r="H689" s="21">
        <f>0</f>
        <v>0</v>
      </c>
      <c r="I689" s="21">
        <f>7.4</f>
        <v>7.4</v>
      </c>
      <c r="J689" s="21">
        <f t="shared" ref="J689:J691" si="1259">0</f>
        <v>0</v>
      </c>
      <c r="K689" s="21">
        <f>7.4</f>
        <v>7.4</v>
      </c>
      <c r="L689" s="21">
        <f>0</f>
        <v>0</v>
      </c>
      <c r="M689" s="21">
        <f>7.4</f>
        <v>7.4</v>
      </c>
      <c r="N689" s="21">
        <f>0</f>
        <v>0</v>
      </c>
      <c r="O689" s="21">
        <f>11.1</f>
        <v>11.1</v>
      </c>
    </row>
    <row r="690">
      <c r="B690" s="20">
        <v>46253.0</v>
      </c>
      <c r="C690" s="21">
        <f>44.8</f>
        <v>44.8</v>
      </c>
      <c r="D690" s="21">
        <f t="shared" ref="D690:H690" si="1258">0</f>
        <v>0</v>
      </c>
      <c r="E690" s="21">
        <f t="shared" si="1258"/>
        <v>0</v>
      </c>
      <c r="F690" s="21">
        <f t="shared" si="1258"/>
        <v>0</v>
      </c>
      <c r="G690" s="21">
        <f t="shared" si="1258"/>
        <v>0</v>
      </c>
      <c r="H690" s="21">
        <f t="shared" si="1258"/>
        <v>0</v>
      </c>
      <c r="I690" s="21">
        <f>6.4</f>
        <v>6.4</v>
      </c>
      <c r="J690" s="21">
        <f t="shared" si="1259"/>
        <v>0</v>
      </c>
      <c r="K690" s="21">
        <f t="shared" ref="K690:N690" si="1260">0</f>
        <v>0</v>
      </c>
      <c r="L690" s="21">
        <f t="shared" si="1260"/>
        <v>0</v>
      </c>
      <c r="M690" s="21">
        <f t="shared" si="1260"/>
        <v>0</v>
      </c>
      <c r="N690" s="21">
        <f t="shared" si="1260"/>
        <v>0</v>
      </c>
      <c r="O690" s="21">
        <f>12.8</f>
        <v>12.8</v>
      </c>
    </row>
    <row r="691">
      <c r="B691" s="20">
        <v>46254.0</v>
      </c>
      <c r="C691" s="21">
        <f>4.6</f>
        <v>4.6</v>
      </c>
      <c r="D691" s="21">
        <f t="shared" ref="D691:H691" si="1261">0</f>
        <v>0</v>
      </c>
      <c r="E691" s="21">
        <f t="shared" si="1261"/>
        <v>0</v>
      </c>
      <c r="F691" s="21">
        <f t="shared" si="1261"/>
        <v>0</v>
      </c>
      <c r="G691" s="21">
        <f t="shared" si="1261"/>
        <v>0</v>
      </c>
      <c r="H691" s="21">
        <f t="shared" si="1261"/>
        <v>0</v>
      </c>
      <c r="I691" s="21">
        <f>9.2</f>
        <v>9.2</v>
      </c>
      <c r="J691" s="21">
        <f t="shared" si="1259"/>
        <v>0</v>
      </c>
      <c r="K691" s="21">
        <f>32.2</f>
        <v>32.2</v>
      </c>
      <c r="L691" s="21">
        <f t="shared" ref="L691:O691" si="1262">0</f>
        <v>0</v>
      </c>
      <c r="M691" s="21">
        <f t="shared" si="1262"/>
        <v>0</v>
      </c>
      <c r="N691" s="21">
        <f t="shared" si="1262"/>
        <v>0</v>
      </c>
      <c r="O691" s="21">
        <f t="shared" si="1262"/>
        <v>0</v>
      </c>
    </row>
    <row r="692">
      <c r="B692" s="20">
        <v>46254.0</v>
      </c>
      <c r="C692" s="21">
        <f>38</f>
        <v>38</v>
      </c>
      <c r="D692" s="21">
        <f t="shared" ref="D692:O692" si="1263">0</f>
        <v>0</v>
      </c>
      <c r="E692" s="21">
        <f t="shared" si="1263"/>
        <v>0</v>
      </c>
      <c r="F692" s="21">
        <f t="shared" si="1263"/>
        <v>0</v>
      </c>
      <c r="G692" s="21">
        <f t="shared" si="1263"/>
        <v>0</v>
      </c>
      <c r="H692" s="21">
        <f t="shared" si="1263"/>
        <v>0</v>
      </c>
      <c r="I692" s="21">
        <f t="shared" si="1263"/>
        <v>0</v>
      </c>
      <c r="J692" s="21">
        <f t="shared" si="1263"/>
        <v>0</v>
      </c>
      <c r="K692" s="21">
        <f t="shared" si="1263"/>
        <v>0</v>
      </c>
      <c r="L692" s="21">
        <f t="shared" si="1263"/>
        <v>0</v>
      </c>
      <c r="M692" s="21">
        <f t="shared" si="1263"/>
        <v>0</v>
      </c>
      <c r="N692" s="21">
        <f t="shared" si="1263"/>
        <v>0</v>
      </c>
      <c r="O692" s="21">
        <f t="shared" si="1263"/>
        <v>0</v>
      </c>
    </row>
    <row r="693">
      <c r="B693" s="20">
        <v>46254.0</v>
      </c>
      <c r="C693" s="21">
        <f>44.8</f>
        <v>44.8</v>
      </c>
      <c r="D693" s="21">
        <f t="shared" ref="D693:N693" si="1264">0</f>
        <v>0</v>
      </c>
      <c r="E693" s="21">
        <f t="shared" si="1264"/>
        <v>0</v>
      </c>
      <c r="F693" s="21">
        <f t="shared" si="1264"/>
        <v>0</v>
      </c>
      <c r="G693" s="21">
        <f t="shared" si="1264"/>
        <v>0</v>
      </c>
      <c r="H693" s="21">
        <f t="shared" si="1264"/>
        <v>0</v>
      </c>
      <c r="I693" s="21">
        <f t="shared" si="1264"/>
        <v>0</v>
      </c>
      <c r="J693" s="21">
        <f t="shared" si="1264"/>
        <v>0</v>
      </c>
      <c r="K693" s="21">
        <f t="shared" si="1264"/>
        <v>0</v>
      </c>
      <c r="L693" s="21">
        <f t="shared" si="1264"/>
        <v>0</v>
      </c>
      <c r="M693" s="21">
        <f t="shared" si="1264"/>
        <v>0</v>
      </c>
      <c r="N693" s="21">
        <f t="shared" si="1264"/>
        <v>0</v>
      </c>
      <c r="O693" s="21">
        <f>11.2</f>
        <v>11.2</v>
      </c>
    </row>
    <row r="694">
      <c r="B694" s="20">
        <v>46254.0</v>
      </c>
      <c r="C694" s="21">
        <f>7.2</f>
        <v>7.2</v>
      </c>
      <c r="D694" s="21">
        <f t="shared" ref="D694:H694" si="1265">0</f>
        <v>0</v>
      </c>
      <c r="E694" s="21">
        <f t="shared" si="1265"/>
        <v>0</v>
      </c>
      <c r="F694" s="21">
        <f t="shared" si="1265"/>
        <v>0</v>
      </c>
      <c r="G694" s="21">
        <f t="shared" si="1265"/>
        <v>0</v>
      </c>
      <c r="H694" s="21">
        <f t="shared" si="1265"/>
        <v>0</v>
      </c>
      <c r="I694" s="21">
        <f>16.8</f>
        <v>16.8</v>
      </c>
      <c r="J694" s="21">
        <f t="shared" ref="J694:O694" si="1266">0</f>
        <v>0</v>
      </c>
      <c r="K694" s="21">
        <f t="shared" si="1266"/>
        <v>0</v>
      </c>
      <c r="L694" s="21">
        <f t="shared" si="1266"/>
        <v>0</v>
      </c>
      <c r="M694" s="21">
        <f t="shared" si="1266"/>
        <v>0</v>
      </c>
      <c r="N694" s="21">
        <f t="shared" si="1266"/>
        <v>0</v>
      </c>
      <c r="O694" s="21">
        <f t="shared" si="1266"/>
        <v>0</v>
      </c>
    </row>
    <row r="695">
      <c r="B695" s="20">
        <v>46254.0</v>
      </c>
      <c r="C695" s="21">
        <f t="shared" ref="C695:H695" si="1267">0</f>
        <v>0</v>
      </c>
      <c r="D695" s="21">
        <f t="shared" si="1267"/>
        <v>0</v>
      </c>
      <c r="E695" s="21">
        <f t="shared" si="1267"/>
        <v>0</v>
      </c>
      <c r="F695" s="21">
        <f t="shared" si="1267"/>
        <v>0</v>
      </c>
      <c r="G695" s="21">
        <f t="shared" si="1267"/>
        <v>0</v>
      </c>
      <c r="H695" s="21">
        <f t="shared" si="1267"/>
        <v>0</v>
      </c>
      <c r="I695" s="21">
        <f>43.2</f>
        <v>43.2</v>
      </c>
      <c r="J695" s="21">
        <f t="shared" ref="J695:L695" si="1268">0</f>
        <v>0</v>
      </c>
      <c r="K695" s="21">
        <f t="shared" si="1268"/>
        <v>0</v>
      </c>
      <c r="L695" s="21">
        <f t="shared" si="1268"/>
        <v>0</v>
      </c>
      <c r="M695" s="21">
        <f t="shared" ref="M695:N695" si="1269">5.4</f>
        <v>5.4</v>
      </c>
      <c r="N695" s="21">
        <f t="shared" si="1269"/>
        <v>5.4</v>
      </c>
      <c r="O695" s="21">
        <f>0</f>
        <v>0</v>
      </c>
    </row>
    <row r="696">
      <c r="B696" s="20">
        <v>46254.0</v>
      </c>
      <c r="C696" s="21">
        <f>49.6</f>
        <v>49.6</v>
      </c>
      <c r="D696" s="21">
        <f t="shared" ref="D696:L696" si="1270">0</f>
        <v>0</v>
      </c>
      <c r="E696" s="21">
        <f t="shared" si="1270"/>
        <v>0</v>
      </c>
      <c r="F696" s="21">
        <f t="shared" si="1270"/>
        <v>0</v>
      </c>
      <c r="G696" s="21">
        <f t="shared" si="1270"/>
        <v>0</v>
      </c>
      <c r="H696" s="21">
        <f t="shared" si="1270"/>
        <v>0</v>
      </c>
      <c r="I696" s="21">
        <f t="shared" si="1270"/>
        <v>0</v>
      </c>
      <c r="J696" s="21">
        <f t="shared" si="1270"/>
        <v>0</v>
      </c>
      <c r="K696" s="21">
        <f t="shared" si="1270"/>
        <v>0</v>
      </c>
      <c r="L696" s="21">
        <f t="shared" si="1270"/>
        <v>0</v>
      </c>
      <c r="M696" s="21">
        <f>12.4</f>
        <v>12.4</v>
      </c>
      <c r="N696" s="21">
        <f t="shared" ref="N696:O696" si="1271">0</f>
        <v>0</v>
      </c>
      <c r="O696" s="21">
        <f t="shared" si="1271"/>
        <v>0</v>
      </c>
    </row>
    <row r="697">
      <c r="B697" s="20">
        <v>46254.0</v>
      </c>
      <c r="C697" s="21">
        <f>2.9</f>
        <v>2.9</v>
      </c>
      <c r="D697" s="21">
        <f t="shared" ref="D697:H697" si="1272">0</f>
        <v>0</v>
      </c>
      <c r="E697" s="21">
        <f t="shared" si="1272"/>
        <v>0</v>
      </c>
      <c r="F697" s="21">
        <f t="shared" si="1272"/>
        <v>0</v>
      </c>
      <c r="G697" s="21">
        <f t="shared" si="1272"/>
        <v>0</v>
      </c>
      <c r="H697" s="21">
        <f t="shared" si="1272"/>
        <v>0</v>
      </c>
      <c r="I697" s="21">
        <f>17.4</f>
        <v>17.4</v>
      </c>
      <c r="J697" s="21">
        <f t="shared" ref="J697:L697" si="1273">0</f>
        <v>0</v>
      </c>
      <c r="K697" s="21">
        <f t="shared" si="1273"/>
        <v>0</v>
      </c>
      <c r="L697" s="21">
        <f t="shared" si="1273"/>
        <v>0</v>
      </c>
      <c r="M697" s="21">
        <f>5.8</f>
        <v>5.8</v>
      </c>
      <c r="N697" s="21">
        <f>2.9</f>
        <v>2.9</v>
      </c>
      <c r="O697" s="21">
        <f>0</f>
        <v>0</v>
      </c>
    </row>
    <row r="698">
      <c r="B698" s="20">
        <v>46254.0</v>
      </c>
      <c r="C698" s="21">
        <f>7.8</f>
        <v>7.8</v>
      </c>
      <c r="D698" s="21">
        <f t="shared" ref="D698:F698" si="1274">0</f>
        <v>0</v>
      </c>
      <c r="E698" s="21">
        <f t="shared" si="1274"/>
        <v>0</v>
      </c>
      <c r="F698" s="21">
        <f t="shared" si="1274"/>
        <v>0</v>
      </c>
      <c r="G698" s="21">
        <f>3.9</f>
        <v>3.9</v>
      </c>
      <c r="H698" s="21">
        <f>0</f>
        <v>0</v>
      </c>
      <c r="I698" s="21">
        <f>27.3</f>
        <v>27.3</v>
      </c>
      <c r="J698" s="21">
        <f t="shared" ref="J698:O698" si="1275">0</f>
        <v>0</v>
      </c>
      <c r="K698" s="21">
        <f t="shared" si="1275"/>
        <v>0</v>
      </c>
      <c r="L698" s="21">
        <f t="shared" si="1275"/>
        <v>0</v>
      </c>
      <c r="M698" s="21">
        <f t="shared" si="1275"/>
        <v>0</v>
      </c>
      <c r="N698" s="21">
        <f t="shared" si="1275"/>
        <v>0</v>
      </c>
      <c r="O698" s="21">
        <f t="shared" si="1275"/>
        <v>0</v>
      </c>
    </row>
    <row r="699">
      <c r="B699" s="20">
        <v>46254.0</v>
      </c>
      <c r="C699" s="21">
        <f>5.4</f>
        <v>5.4</v>
      </c>
      <c r="D699" s="21">
        <f t="shared" ref="D699:H699" si="1276">0</f>
        <v>0</v>
      </c>
      <c r="E699" s="21">
        <f t="shared" si="1276"/>
        <v>0</v>
      </c>
      <c r="F699" s="21">
        <f t="shared" si="1276"/>
        <v>0</v>
      </c>
      <c r="G699" s="21">
        <f t="shared" si="1276"/>
        <v>0</v>
      </c>
      <c r="H699" s="21">
        <f t="shared" si="1276"/>
        <v>0</v>
      </c>
      <c r="I699" s="21">
        <f>43.2</f>
        <v>43.2</v>
      </c>
      <c r="J699" s="21">
        <f t="shared" ref="J699:L699" si="1277">0</f>
        <v>0</v>
      </c>
      <c r="K699" s="21">
        <f t="shared" si="1277"/>
        <v>0</v>
      </c>
      <c r="L699" s="21">
        <f t="shared" si="1277"/>
        <v>0</v>
      </c>
      <c r="M699" s="21">
        <f>5.4</f>
        <v>5.4</v>
      </c>
      <c r="N699" s="21">
        <f t="shared" ref="N699:O699" si="1278">0</f>
        <v>0</v>
      </c>
      <c r="O699" s="21">
        <f t="shared" si="1278"/>
        <v>0</v>
      </c>
    </row>
    <row r="700">
      <c r="B700" s="20">
        <v>46254.0</v>
      </c>
      <c r="C700" s="21">
        <f>4.4</f>
        <v>4.4</v>
      </c>
      <c r="D700" s="21">
        <f t="shared" ref="D700:E700" si="1279">0</f>
        <v>0</v>
      </c>
      <c r="E700" s="21">
        <f t="shared" si="1279"/>
        <v>0</v>
      </c>
      <c r="F700" s="21">
        <f>4.4</f>
        <v>4.4</v>
      </c>
      <c r="G700" s="21">
        <f>2.2</f>
        <v>2.2</v>
      </c>
      <c r="H700" s="21">
        <f t="shared" ref="H700:L700" si="1280">0</f>
        <v>0</v>
      </c>
      <c r="I700" s="21">
        <f t="shared" si="1280"/>
        <v>0</v>
      </c>
      <c r="J700" s="21">
        <f t="shared" si="1280"/>
        <v>0</v>
      </c>
      <c r="K700" s="21">
        <f t="shared" si="1280"/>
        <v>0</v>
      </c>
      <c r="L700" s="21">
        <f t="shared" si="1280"/>
        <v>0</v>
      </c>
      <c r="M700" s="21">
        <f>4.4</f>
        <v>4.4</v>
      </c>
      <c r="N700" s="21">
        <f>0</f>
        <v>0</v>
      </c>
      <c r="O700" s="21">
        <f>6.6</f>
        <v>6.6</v>
      </c>
    </row>
    <row r="701">
      <c r="B701" s="20">
        <v>46254.0</v>
      </c>
      <c r="C701" s="21">
        <f t="shared" ref="C701:L701" si="1281">0</f>
        <v>0</v>
      </c>
      <c r="D701" s="21">
        <f t="shared" si="1281"/>
        <v>0</v>
      </c>
      <c r="E701" s="21">
        <f t="shared" si="1281"/>
        <v>0</v>
      </c>
      <c r="F701" s="21">
        <f t="shared" si="1281"/>
        <v>0</v>
      </c>
      <c r="G701" s="21">
        <f t="shared" si="1281"/>
        <v>0</v>
      </c>
      <c r="H701" s="21">
        <f t="shared" si="1281"/>
        <v>0</v>
      </c>
      <c r="I701" s="21">
        <f t="shared" si="1281"/>
        <v>0</v>
      </c>
      <c r="J701" s="21">
        <f t="shared" si="1281"/>
        <v>0</v>
      </c>
      <c r="K701" s="21">
        <f t="shared" si="1281"/>
        <v>0</v>
      </c>
      <c r="L701" s="21">
        <f t="shared" si="1281"/>
        <v>0</v>
      </c>
      <c r="M701" s="21">
        <f>13.2</f>
        <v>13.2</v>
      </c>
      <c r="N701" s="21">
        <f>8.8</f>
        <v>8.8</v>
      </c>
      <c r="O701" s="21">
        <f>22</f>
        <v>22</v>
      </c>
    </row>
    <row r="702">
      <c r="B702" s="20">
        <v>46254.0</v>
      </c>
      <c r="C702" s="21">
        <f t="shared" ref="C702:K702" si="1282">0</f>
        <v>0</v>
      </c>
      <c r="D702" s="21">
        <f t="shared" si="1282"/>
        <v>0</v>
      </c>
      <c r="E702" s="21">
        <f t="shared" si="1282"/>
        <v>0</v>
      </c>
      <c r="F702" s="21">
        <f t="shared" si="1282"/>
        <v>0</v>
      </c>
      <c r="G702" s="21">
        <f t="shared" si="1282"/>
        <v>0</v>
      </c>
      <c r="H702" s="21">
        <f t="shared" si="1282"/>
        <v>0</v>
      </c>
      <c r="I702" s="21">
        <f t="shared" si="1282"/>
        <v>0</v>
      </c>
      <c r="J702" s="21">
        <f t="shared" si="1282"/>
        <v>0</v>
      </c>
      <c r="K702" s="21">
        <f t="shared" si="1282"/>
        <v>0</v>
      </c>
      <c r="L702" s="21">
        <f>28.8</f>
        <v>28.8</v>
      </c>
      <c r="M702" s="21">
        <f t="shared" ref="M702:N702" si="1283">0</f>
        <v>0</v>
      </c>
      <c r="N702" s="21">
        <f t="shared" si="1283"/>
        <v>0</v>
      </c>
      <c r="O702" s="21">
        <f>7.2</f>
        <v>7.2</v>
      </c>
    </row>
    <row r="703">
      <c r="B703" s="20">
        <v>46254.0</v>
      </c>
      <c r="C703" s="21">
        <f t="shared" ref="C703:L703" si="1284">0</f>
        <v>0</v>
      </c>
      <c r="D703" s="21">
        <f t="shared" si="1284"/>
        <v>0</v>
      </c>
      <c r="E703" s="21">
        <f t="shared" si="1284"/>
        <v>0</v>
      </c>
      <c r="F703" s="21">
        <f t="shared" si="1284"/>
        <v>0</v>
      </c>
      <c r="G703" s="21">
        <f t="shared" si="1284"/>
        <v>0</v>
      </c>
      <c r="H703" s="21">
        <f t="shared" si="1284"/>
        <v>0</v>
      </c>
      <c r="I703" s="21">
        <f t="shared" si="1284"/>
        <v>0</v>
      </c>
      <c r="J703" s="21">
        <f t="shared" si="1284"/>
        <v>0</v>
      </c>
      <c r="K703" s="21">
        <f t="shared" si="1284"/>
        <v>0</v>
      </c>
      <c r="L703" s="21">
        <f t="shared" si="1284"/>
        <v>0</v>
      </c>
      <c r="M703" s="21">
        <f>13</f>
        <v>13</v>
      </c>
      <c r="N703" s="21">
        <f t="shared" ref="N703:O703" si="1285">0</f>
        <v>0</v>
      </c>
      <c r="O703" s="21">
        <f t="shared" si="1285"/>
        <v>0</v>
      </c>
    </row>
    <row r="704">
      <c r="B704" s="20">
        <v>46254.0</v>
      </c>
      <c r="C704" s="21">
        <f>12.6</f>
        <v>12.6</v>
      </c>
      <c r="D704" s="21">
        <f t="shared" ref="D704:H704" si="1286">0</f>
        <v>0</v>
      </c>
      <c r="E704" s="21">
        <f t="shared" si="1286"/>
        <v>0</v>
      </c>
      <c r="F704" s="21">
        <f t="shared" si="1286"/>
        <v>0</v>
      </c>
      <c r="G704" s="21">
        <f t="shared" si="1286"/>
        <v>0</v>
      </c>
      <c r="H704" s="21">
        <f t="shared" si="1286"/>
        <v>0</v>
      </c>
      <c r="I704" s="21">
        <f>21</f>
        <v>21</v>
      </c>
      <c r="J704" s="21">
        <f t="shared" ref="J704:N704" si="1287">0</f>
        <v>0</v>
      </c>
      <c r="K704" s="21">
        <f t="shared" si="1287"/>
        <v>0</v>
      </c>
      <c r="L704" s="21">
        <f t="shared" si="1287"/>
        <v>0</v>
      </c>
      <c r="M704" s="21">
        <f t="shared" si="1287"/>
        <v>0</v>
      </c>
      <c r="N704" s="21">
        <f t="shared" si="1287"/>
        <v>0</v>
      </c>
      <c r="O704" s="21">
        <f>8.4</f>
        <v>8.4</v>
      </c>
    </row>
    <row r="705">
      <c r="B705" s="20">
        <v>46254.0</v>
      </c>
      <c r="C705" s="21">
        <f t="shared" ref="C705:H705" si="1288">0</f>
        <v>0</v>
      </c>
      <c r="D705" s="21">
        <f t="shared" si="1288"/>
        <v>0</v>
      </c>
      <c r="E705" s="21">
        <f t="shared" si="1288"/>
        <v>0</v>
      </c>
      <c r="F705" s="21">
        <f t="shared" si="1288"/>
        <v>0</v>
      </c>
      <c r="G705" s="21">
        <f t="shared" si="1288"/>
        <v>0</v>
      </c>
      <c r="H705" s="21">
        <f t="shared" si="1288"/>
        <v>0</v>
      </c>
      <c r="I705" s="21">
        <f>45.9</f>
        <v>45.9</v>
      </c>
      <c r="J705" s="21">
        <f t="shared" ref="J705:N705" si="1289">0</f>
        <v>0</v>
      </c>
      <c r="K705" s="21">
        <f t="shared" si="1289"/>
        <v>0</v>
      </c>
      <c r="L705" s="21">
        <f t="shared" si="1289"/>
        <v>0</v>
      </c>
      <c r="M705" s="21">
        <f t="shared" si="1289"/>
        <v>0</v>
      </c>
      <c r="N705" s="21">
        <f t="shared" si="1289"/>
        <v>0</v>
      </c>
      <c r="O705" s="21">
        <f>5.1</f>
        <v>5.1</v>
      </c>
    </row>
    <row r="706">
      <c r="B706" s="20">
        <v>46255.0</v>
      </c>
      <c r="C706" s="21">
        <f t="shared" ref="C706:H706" si="1290">0</f>
        <v>0</v>
      </c>
      <c r="D706" s="21">
        <f t="shared" si="1290"/>
        <v>0</v>
      </c>
      <c r="E706" s="21">
        <f t="shared" si="1290"/>
        <v>0</v>
      </c>
      <c r="F706" s="21">
        <f t="shared" si="1290"/>
        <v>0</v>
      </c>
      <c r="G706" s="21">
        <f t="shared" si="1290"/>
        <v>0</v>
      </c>
      <c r="H706" s="21">
        <f t="shared" si="1290"/>
        <v>0</v>
      </c>
      <c r="I706" s="21">
        <f>26.5</f>
        <v>26.5</v>
      </c>
      <c r="J706" s="21">
        <f t="shared" ref="J706:N706" si="1291">0</f>
        <v>0</v>
      </c>
      <c r="K706" s="21">
        <f t="shared" si="1291"/>
        <v>0</v>
      </c>
      <c r="L706" s="21">
        <f t="shared" si="1291"/>
        <v>0</v>
      </c>
      <c r="M706" s="21">
        <f t="shared" si="1291"/>
        <v>0</v>
      </c>
      <c r="N706" s="21">
        <f t="shared" si="1291"/>
        <v>0</v>
      </c>
      <c r="O706" s="21">
        <f>26.5</f>
        <v>26.5</v>
      </c>
    </row>
    <row r="707">
      <c r="B707" s="20">
        <v>46255.0</v>
      </c>
      <c r="C707" s="21">
        <f>19.2</f>
        <v>19.2</v>
      </c>
      <c r="D707" s="21">
        <f t="shared" ref="D707:L707" si="1292">0</f>
        <v>0</v>
      </c>
      <c r="E707" s="21">
        <f t="shared" si="1292"/>
        <v>0</v>
      </c>
      <c r="F707" s="21">
        <f t="shared" si="1292"/>
        <v>0</v>
      </c>
      <c r="G707" s="21">
        <f t="shared" si="1292"/>
        <v>0</v>
      </c>
      <c r="H707" s="21">
        <f t="shared" si="1292"/>
        <v>0</v>
      </c>
      <c r="I707" s="21">
        <f t="shared" si="1292"/>
        <v>0</v>
      </c>
      <c r="J707" s="21">
        <f t="shared" si="1292"/>
        <v>0</v>
      </c>
      <c r="K707" s="21">
        <f t="shared" si="1292"/>
        <v>0</v>
      </c>
      <c r="L707" s="21">
        <f t="shared" si="1292"/>
        <v>0</v>
      </c>
      <c r="M707" s="21">
        <f>4.8</f>
        <v>4.8</v>
      </c>
      <c r="N707" s="21">
        <f t="shared" ref="N707:O707" si="1293">0</f>
        <v>0</v>
      </c>
      <c r="O707" s="21">
        <f t="shared" si="1293"/>
        <v>0</v>
      </c>
    </row>
    <row r="708">
      <c r="B708" s="20">
        <v>46255.0</v>
      </c>
      <c r="C708" s="21">
        <f>7.8</f>
        <v>7.8</v>
      </c>
      <c r="D708" s="21">
        <f t="shared" ref="D708:L708" si="1294">0</f>
        <v>0</v>
      </c>
      <c r="E708" s="21">
        <f t="shared" si="1294"/>
        <v>0</v>
      </c>
      <c r="F708" s="21">
        <f t="shared" si="1294"/>
        <v>0</v>
      </c>
      <c r="G708" s="21">
        <f t="shared" si="1294"/>
        <v>0</v>
      </c>
      <c r="H708" s="21">
        <f t="shared" si="1294"/>
        <v>0</v>
      </c>
      <c r="I708" s="21">
        <f t="shared" si="1294"/>
        <v>0</v>
      </c>
      <c r="J708" s="21">
        <f t="shared" si="1294"/>
        <v>0</v>
      </c>
      <c r="K708" s="21">
        <f t="shared" si="1294"/>
        <v>0</v>
      </c>
      <c r="L708" s="21">
        <f t="shared" si="1294"/>
        <v>0</v>
      </c>
      <c r="M708" s="21">
        <f>18.2</f>
        <v>18.2</v>
      </c>
      <c r="N708" s="21">
        <f t="shared" ref="N708:O708" si="1295">0</f>
        <v>0</v>
      </c>
      <c r="O708" s="21">
        <f t="shared" si="1295"/>
        <v>0</v>
      </c>
    </row>
    <row r="709">
      <c r="B709" s="20">
        <v>46255.0</v>
      </c>
      <c r="C709" s="21">
        <v>0.0</v>
      </c>
      <c r="D709" s="21">
        <v>0.0</v>
      </c>
      <c r="E709" s="21">
        <v>0.0</v>
      </c>
      <c r="F709" s="21">
        <v>0.0</v>
      </c>
      <c r="G709" s="21">
        <v>0.0</v>
      </c>
      <c r="H709" s="21">
        <v>0.0</v>
      </c>
      <c r="I709" s="21">
        <v>0.0</v>
      </c>
      <c r="J709" s="21">
        <v>0.0</v>
      </c>
      <c r="K709" s="21">
        <v>0.0</v>
      </c>
      <c r="L709" s="21">
        <v>0.0</v>
      </c>
      <c r="M709" s="21">
        <v>0.0</v>
      </c>
      <c r="N709" s="21">
        <v>0.0</v>
      </c>
      <c r="O709" s="21">
        <f>25</f>
        <v>25</v>
      </c>
    </row>
    <row r="710">
      <c r="B710" s="20">
        <v>46255.0</v>
      </c>
      <c r="C710" s="21">
        <f>9</f>
        <v>9</v>
      </c>
      <c r="D710" s="21">
        <f t="shared" ref="D710:H710" si="1296">0</f>
        <v>0</v>
      </c>
      <c r="E710" s="21">
        <f t="shared" si="1296"/>
        <v>0</v>
      </c>
      <c r="F710" s="21">
        <f t="shared" si="1296"/>
        <v>0</v>
      </c>
      <c r="G710" s="21">
        <f t="shared" si="1296"/>
        <v>0</v>
      </c>
      <c r="H710" s="21">
        <f t="shared" si="1296"/>
        <v>0</v>
      </c>
      <c r="I710" s="21">
        <f>6</f>
        <v>6</v>
      </c>
      <c r="J710" s="21">
        <f t="shared" ref="J710:O710" si="1297">0</f>
        <v>0</v>
      </c>
      <c r="K710" s="21">
        <f t="shared" si="1297"/>
        <v>0</v>
      </c>
      <c r="L710" s="21">
        <f t="shared" si="1297"/>
        <v>0</v>
      </c>
      <c r="M710" s="21">
        <f t="shared" si="1297"/>
        <v>0</v>
      </c>
      <c r="N710" s="21">
        <f t="shared" si="1297"/>
        <v>0</v>
      </c>
      <c r="O710" s="21">
        <f t="shared" si="1297"/>
        <v>0</v>
      </c>
    </row>
    <row r="711">
      <c r="B711" s="20">
        <v>46255.0</v>
      </c>
      <c r="C711" s="21">
        <f>10.8</f>
        <v>10.8</v>
      </c>
      <c r="D711" s="21">
        <f t="shared" ref="D711:H711" si="1298">0</f>
        <v>0</v>
      </c>
      <c r="E711" s="21">
        <f t="shared" si="1298"/>
        <v>0</v>
      </c>
      <c r="F711" s="21">
        <f t="shared" si="1298"/>
        <v>0</v>
      </c>
      <c r="G711" s="21">
        <f t="shared" si="1298"/>
        <v>0</v>
      </c>
      <c r="H711" s="21">
        <f t="shared" si="1298"/>
        <v>0</v>
      </c>
      <c r="I711" s="21">
        <f>25.2</f>
        <v>25.2</v>
      </c>
      <c r="J711" s="21">
        <f t="shared" ref="J711:O711" si="1299">0</f>
        <v>0</v>
      </c>
      <c r="K711" s="21">
        <f t="shared" si="1299"/>
        <v>0</v>
      </c>
      <c r="L711" s="21">
        <f t="shared" si="1299"/>
        <v>0</v>
      </c>
      <c r="M711" s="21">
        <f t="shared" si="1299"/>
        <v>0</v>
      </c>
      <c r="N711" s="21">
        <f t="shared" si="1299"/>
        <v>0</v>
      </c>
      <c r="O711" s="21">
        <f t="shared" si="1299"/>
        <v>0</v>
      </c>
    </row>
    <row r="712">
      <c r="B712" s="20">
        <v>46255.0</v>
      </c>
      <c r="C712" s="21">
        <f>23.7</f>
        <v>23.7</v>
      </c>
      <c r="D712" s="21">
        <f t="shared" ref="D712:H712" si="1300">0</f>
        <v>0</v>
      </c>
      <c r="E712" s="21">
        <f t="shared" si="1300"/>
        <v>0</v>
      </c>
      <c r="F712" s="21">
        <f t="shared" si="1300"/>
        <v>0</v>
      </c>
      <c r="G712" s="21">
        <f t="shared" si="1300"/>
        <v>0</v>
      </c>
      <c r="H712" s="21">
        <f t="shared" si="1300"/>
        <v>0</v>
      </c>
      <c r="I712" s="21">
        <f>55.3</f>
        <v>55.3</v>
      </c>
      <c r="J712" s="21">
        <f t="shared" ref="J712:O712" si="1301">0</f>
        <v>0</v>
      </c>
      <c r="K712" s="21">
        <f t="shared" si="1301"/>
        <v>0</v>
      </c>
      <c r="L712" s="21">
        <f t="shared" si="1301"/>
        <v>0</v>
      </c>
      <c r="M712" s="21">
        <f t="shared" si="1301"/>
        <v>0</v>
      </c>
      <c r="N712" s="21">
        <f t="shared" si="1301"/>
        <v>0</v>
      </c>
      <c r="O712" s="21">
        <f t="shared" si="1301"/>
        <v>0</v>
      </c>
    </row>
    <row r="713">
      <c r="B713" s="20">
        <v>46255.0</v>
      </c>
      <c r="C713" s="21">
        <f>6.4</f>
        <v>6.4</v>
      </c>
      <c r="D713" s="21">
        <f t="shared" ref="D713:F713" si="1302">0</f>
        <v>0</v>
      </c>
      <c r="E713" s="21">
        <f t="shared" si="1302"/>
        <v>0</v>
      </c>
      <c r="F713" s="21">
        <f t="shared" si="1302"/>
        <v>0</v>
      </c>
      <c r="G713" s="21">
        <f>12.8</f>
        <v>12.8</v>
      </c>
      <c r="H713" s="21">
        <f>0</f>
        <v>0</v>
      </c>
      <c r="I713" s="21">
        <f>44.8</f>
        <v>44.8</v>
      </c>
      <c r="J713" s="21">
        <f t="shared" ref="J713:O713" si="1303">0</f>
        <v>0</v>
      </c>
      <c r="K713" s="21">
        <f t="shared" si="1303"/>
        <v>0</v>
      </c>
      <c r="L713" s="21">
        <f t="shared" si="1303"/>
        <v>0</v>
      </c>
      <c r="M713" s="21">
        <f t="shared" si="1303"/>
        <v>0</v>
      </c>
      <c r="N713" s="21">
        <f t="shared" si="1303"/>
        <v>0</v>
      </c>
      <c r="O713" s="21">
        <f t="shared" si="1303"/>
        <v>0</v>
      </c>
    </row>
    <row r="714">
      <c r="B714" s="20">
        <v>46255.0</v>
      </c>
      <c r="C714" s="21">
        <f t="shared" ref="C714:H714" si="1304">0</f>
        <v>0</v>
      </c>
      <c r="D714" s="21">
        <f t="shared" si="1304"/>
        <v>0</v>
      </c>
      <c r="E714" s="21">
        <f t="shared" si="1304"/>
        <v>0</v>
      </c>
      <c r="F714" s="21">
        <f t="shared" si="1304"/>
        <v>0</v>
      </c>
      <c r="G714" s="21">
        <f t="shared" si="1304"/>
        <v>0</v>
      </c>
      <c r="H714" s="21">
        <f t="shared" si="1304"/>
        <v>0</v>
      </c>
      <c r="I714" s="21">
        <f>18.5</f>
        <v>18.5</v>
      </c>
      <c r="J714" s="21">
        <f t="shared" ref="J714:N714" si="1305">0</f>
        <v>0</v>
      </c>
      <c r="K714" s="21">
        <f t="shared" si="1305"/>
        <v>0</v>
      </c>
      <c r="L714" s="21">
        <f t="shared" si="1305"/>
        <v>0</v>
      </c>
      <c r="M714" s="21">
        <f t="shared" si="1305"/>
        <v>0</v>
      </c>
      <c r="N714" s="21">
        <f t="shared" si="1305"/>
        <v>0</v>
      </c>
      <c r="O714" s="21">
        <f>18.5</f>
        <v>18.5</v>
      </c>
    </row>
    <row r="715">
      <c r="B715" s="20">
        <v>46255.0</v>
      </c>
      <c r="C715" s="21">
        <f t="shared" ref="C715:C716" si="1307">0</f>
        <v>0</v>
      </c>
      <c r="D715" s="21">
        <f>2.8</f>
        <v>2.8</v>
      </c>
      <c r="E715" s="21">
        <f t="shared" ref="E715:N715" si="1306">0</f>
        <v>0</v>
      </c>
      <c r="F715" s="21">
        <f t="shared" si="1306"/>
        <v>0</v>
      </c>
      <c r="G715" s="21">
        <f t="shared" si="1306"/>
        <v>0</v>
      </c>
      <c r="H715" s="21">
        <f t="shared" si="1306"/>
        <v>0</v>
      </c>
      <c r="I715" s="21">
        <f t="shared" si="1306"/>
        <v>0</v>
      </c>
      <c r="J715" s="21">
        <f t="shared" si="1306"/>
        <v>0</v>
      </c>
      <c r="K715" s="21">
        <f t="shared" si="1306"/>
        <v>0</v>
      </c>
      <c r="L715" s="21">
        <f t="shared" si="1306"/>
        <v>0</v>
      </c>
      <c r="M715" s="21">
        <f t="shared" si="1306"/>
        <v>0</v>
      </c>
      <c r="N715" s="21">
        <f t="shared" si="1306"/>
        <v>0</v>
      </c>
      <c r="O715" s="21">
        <f>11.2</f>
        <v>11.2</v>
      </c>
    </row>
    <row r="716">
      <c r="B716" s="20">
        <v>46255.0</v>
      </c>
      <c r="C716" s="21">
        <f t="shared" si="1307"/>
        <v>0</v>
      </c>
      <c r="D716" s="21">
        <f t="shared" ref="D716:H716" si="1308">0</f>
        <v>0</v>
      </c>
      <c r="E716" s="21">
        <f t="shared" si="1308"/>
        <v>0</v>
      </c>
      <c r="F716" s="21">
        <f t="shared" si="1308"/>
        <v>0</v>
      </c>
      <c r="G716" s="21">
        <f t="shared" si="1308"/>
        <v>0</v>
      </c>
      <c r="H716" s="21">
        <f t="shared" si="1308"/>
        <v>0</v>
      </c>
      <c r="I716" s="21">
        <f>29.6</f>
        <v>29.6</v>
      </c>
      <c r="J716" s="21">
        <f t="shared" ref="J716:L716" si="1309">0</f>
        <v>0</v>
      </c>
      <c r="K716" s="21">
        <f t="shared" si="1309"/>
        <v>0</v>
      </c>
      <c r="L716" s="21">
        <f t="shared" si="1309"/>
        <v>0</v>
      </c>
      <c r="M716" s="21">
        <f>7.4</f>
        <v>7.4</v>
      </c>
      <c r="N716" s="21">
        <f t="shared" ref="N716:O716" si="1310">0</f>
        <v>0</v>
      </c>
      <c r="O716" s="21">
        <f t="shared" si="1310"/>
        <v>0</v>
      </c>
    </row>
    <row r="717">
      <c r="B717" s="20">
        <v>46255.0</v>
      </c>
      <c r="C717" s="21">
        <f>28</f>
        <v>28</v>
      </c>
      <c r="D717" s="21">
        <f t="shared" ref="D717:H717" si="1311">0</f>
        <v>0</v>
      </c>
      <c r="E717" s="21">
        <f t="shared" si="1311"/>
        <v>0</v>
      </c>
      <c r="F717" s="21">
        <f t="shared" si="1311"/>
        <v>0</v>
      </c>
      <c r="G717" s="21">
        <f t="shared" si="1311"/>
        <v>0</v>
      </c>
      <c r="H717" s="21">
        <f t="shared" si="1311"/>
        <v>0</v>
      </c>
      <c r="I717" s="21">
        <f>28</f>
        <v>28</v>
      </c>
      <c r="J717" s="21">
        <f t="shared" ref="J717:O717" si="1312">0</f>
        <v>0</v>
      </c>
      <c r="K717" s="21">
        <f t="shared" si="1312"/>
        <v>0</v>
      </c>
      <c r="L717" s="21">
        <f t="shared" si="1312"/>
        <v>0</v>
      </c>
      <c r="M717" s="21">
        <f t="shared" si="1312"/>
        <v>0</v>
      </c>
      <c r="N717" s="21">
        <f t="shared" si="1312"/>
        <v>0</v>
      </c>
      <c r="O717" s="21">
        <f t="shared" si="1312"/>
        <v>0</v>
      </c>
    </row>
    <row r="718">
      <c r="B718" s="20">
        <v>46256.0</v>
      </c>
      <c r="C718" s="21">
        <f t="shared" ref="C718:H718" si="1313">0</f>
        <v>0</v>
      </c>
      <c r="D718" s="21">
        <f t="shared" si="1313"/>
        <v>0</v>
      </c>
      <c r="E718" s="21">
        <f t="shared" si="1313"/>
        <v>0</v>
      </c>
      <c r="F718" s="21">
        <f t="shared" si="1313"/>
        <v>0</v>
      </c>
      <c r="G718" s="21">
        <f t="shared" si="1313"/>
        <v>0</v>
      </c>
      <c r="H718" s="21">
        <f t="shared" si="1313"/>
        <v>0</v>
      </c>
      <c r="I718" s="21">
        <f>145.8</f>
        <v>145.8</v>
      </c>
      <c r="J718" s="21">
        <f t="shared" ref="J718:M718" si="1314">0</f>
        <v>0</v>
      </c>
      <c r="K718" s="21">
        <f t="shared" si="1314"/>
        <v>0</v>
      </c>
      <c r="L718" s="21">
        <f t="shared" si="1314"/>
        <v>0</v>
      </c>
      <c r="M718" s="21">
        <f t="shared" si="1314"/>
        <v>0</v>
      </c>
      <c r="N718" s="21">
        <f>16.2</f>
        <v>16.2</v>
      </c>
      <c r="O718" s="21">
        <f>0</f>
        <v>0</v>
      </c>
    </row>
    <row r="719">
      <c r="B719" s="20">
        <v>46256.0</v>
      </c>
      <c r="C719" s="21">
        <f t="shared" ref="C719:H719" si="1315">0</f>
        <v>0</v>
      </c>
      <c r="D719" s="21">
        <f t="shared" si="1315"/>
        <v>0</v>
      </c>
      <c r="E719" s="21">
        <f t="shared" si="1315"/>
        <v>0</v>
      </c>
      <c r="F719" s="21">
        <f t="shared" si="1315"/>
        <v>0</v>
      </c>
      <c r="G719" s="21">
        <f t="shared" si="1315"/>
        <v>0</v>
      </c>
      <c r="H719" s="21">
        <f t="shared" si="1315"/>
        <v>0</v>
      </c>
      <c r="I719" s="21">
        <f>23.8</f>
        <v>23.8</v>
      </c>
      <c r="J719" s="21">
        <f t="shared" ref="J719:N719" si="1316">0</f>
        <v>0</v>
      </c>
      <c r="K719" s="21">
        <f t="shared" si="1316"/>
        <v>0</v>
      </c>
      <c r="L719" s="21">
        <f t="shared" si="1316"/>
        <v>0</v>
      </c>
      <c r="M719" s="21">
        <f t="shared" si="1316"/>
        <v>0</v>
      </c>
      <c r="N719" s="21">
        <f t="shared" si="1316"/>
        <v>0</v>
      </c>
      <c r="O719" s="21">
        <f>10.2</f>
        <v>10.2</v>
      </c>
    </row>
    <row r="720">
      <c r="B720" s="20">
        <v>46256.0</v>
      </c>
      <c r="C720" s="21">
        <f t="shared" ref="C720:M720" si="1317">0</f>
        <v>0</v>
      </c>
      <c r="D720" s="21">
        <f t="shared" si="1317"/>
        <v>0</v>
      </c>
      <c r="E720" s="21">
        <f t="shared" si="1317"/>
        <v>0</v>
      </c>
      <c r="F720" s="21">
        <f t="shared" si="1317"/>
        <v>0</v>
      </c>
      <c r="G720" s="21">
        <f t="shared" si="1317"/>
        <v>0</v>
      </c>
      <c r="H720" s="21">
        <f t="shared" si="1317"/>
        <v>0</v>
      </c>
      <c r="I720" s="21">
        <f t="shared" si="1317"/>
        <v>0</v>
      </c>
      <c r="J720" s="21">
        <f t="shared" si="1317"/>
        <v>0</v>
      </c>
      <c r="K720" s="21">
        <f t="shared" si="1317"/>
        <v>0</v>
      </c>
      <c r="L720" s="21">
        <f t="shared" si="1317"/>
        <v>0</v>
      </c>
      <c r="M720" s="21">
        <f t="shared" si="1317"/>
        <v>0</v>
      </c>
      <c r="N720" s="21">
        <f>23</f>
        <v>23</v>
      </c>
      <c r="O720" s="21">
        <f>0</f>
        <v>0</v>
      </c>
    </row>
    <row r="721">
      <c r="B721" s="20">
        <v>46256.0</v>
      </c>
      <c r="C721" s="21">
        <f t="shared" ref="C721:F721" si="1318">0</f>
        <v>0</v>
      </c>
      <c r="D721" s="21">
        <f t="shared" si="1318"/>
        <v>0</v>
      </c>
      <c r="E721" s="21">
        <f t="shared" si="1318"/>
        <v>0</v>
      </c>
      <c r="F721" s="21">
        <f t="shared" si="1318"/>
        <v>0</v>
      </c>
      <c r="G721" s="21">
        <f>13.6</f>
        <v>13.6</v>
      </c>
      <c r="H721" s="21">
        <f>0</f>
        <v>0</v>
      </c>
      <c r="I721" s="21">
        <f>3.4</f>
        <v>3.4</v>
      </c>
      <c r="J721" s="21">
        <f t="shared" ref="J721:O721" si="1319">0</f>
        <v>0</v>
      </c>
      <c r="K721" s="21">
        <f t="shared" si="1319"/>
        <v>0</v>
      </c>
      <c r="L721" s="21">
        <f t="shared" si="1319"/>
        <v>0</v>
      </c>
      <c r="M721" s="21">
        <f t="shared" si="1319"/>
        <v>0</v>
      </c>
      <c r="N721" s="21">
        <f t="shared" si="1319"/>
        <v>0</v>
      </c>
      <c r="O721" s="21">
        <f t="shared" si="1319"/>
        <v>0</v>
      </c>
    </row>
    <row r="722">
      <c r="B722" s="20">
        <v>46256.0</v>
      </c>
      <c r="C722" s="21">
        <v>0.0</v>
      </c>
      <c r="D722" s="21">
        <v>0.0</v>
      </c>
      <c r="E722" s="21">
        <v>0.0</v>
      </c>
      <c r="F722" s="21">
        <v>0.0</v>
      </c>
      <c r="G722" s="21">
        <v>0.0</v>
      </c>
      <c r="H722" s="21">
        <v>0.0</v>
      </c>
      <c r="I722" s="21">
        <v>0.0</v>
      </c>
      <c r="J722" s="21">
        <v>0.0</v>
      </c>
      <c r="K722" s="21">
        <v>0.0</v>
      </c>
      <c r="L722" s="21">
        <v>0.0</v>
      </c>
      <c r="M722" s="21">
        <v>0.0</v>
      </c>
      <c r="N722" s="21">
        <v>0.0</v>
      </c>
      <c r="O722" s="21">
        <f>59</f>
        <v>59</v>
      </c>
    </row>
    <row r="723">
      <c r="B723" s="20">
        <v>46256.0</v>
      </c>
      <c r="C723" s="21">
        <f>15.9</f>
        <v>15.9</v>
      </c>
      <c r="D723" s="21">
        <f t="shared" ref="D723:F723" si="1320">0</f>
        <v>0</v>
      </c>
      <c r="E723" s="21">
        <f t="shared" si="1320"/>
        <v>0</v>
      </c>
      <c r="F723" s="21">
        <f t="shared" si="1320"/>
        <v>0</v>
      </c>
      <c r="G723" s="21">
        <f>37.1</f>
        <v>37.1</v>
      </c>
      <c r="H723" s="21">
        <f t="shared" ref="H723:O723" si="1321">0</f>
        <v>0</v>
      </c>
      <c r="I723" s="21">
        <f t="shared" si="1321"/>
        <v>0</v>
      </c>
      <c r="J723" s="21">
        <f t="shared" si="1321"/>
        <v>0</v>
      </c>
      <c r="K723" s="21">
        <f t="shared" si="1321"/>
        <v>0</v>
      </c>
      <c r="L723" s="21">
        <f t="shared" si="1321"/>
        <v>0</v>
      </c>
      <c r="M723" s="21">
        <f t="shared" si="1321"/>
        <v>0</v>
      </c>
      <c r="N723" s="21">
        <f t="shared" si="1321"/>
        <v>0</v>
      </c>
      <c r="O723" s="21">
        <f t="shared" si="1321"/>
        <v>0</v>
      </c>
    </row>
    <row r="724">
      <c r="B724" s="20">
        <v>46256.0</v>
      </c>
      <c r="C724" s="21">
        <f t="shared" ref="C724:G724" si="1322">0</f>
        <v>0</v>
      </c>
      <c r="D724" s="21">
        <f t="shared" si="1322"/>
        <v>0</v>
      </c>
      <c r="E724" s="21">
        <f t="shared" si="1322"/>
        <v>0</v>
      </c>
      <c r="F724" s="21">
        <f t="shared" si="1322"/>
        <v>0</v>
      </c>
      <c r="G724" s="21">
        <f t="shared" si="1322"/>
        <v>0</v>
      </c>
      <c r="H724" s="21">
        <f>40</f>
        <v>40</v>
      </c>
      <c r="I724" s="21">
        <f t="shared" ref="I724:O724" si="1323">0</f>
        <v>0</v>
      </c>
      <c r="J724" s="21">
        <f t="shared" si="1323"/>
        <v>0</v>
      </c>
      <c r="K724" s="21">
        <f t="shared" si="1323"/>
        <v>0</v>
      </c>
      <c r="L724" s="21">
        <f t="shared" si="1323"/>
        <v>0</v>
      </c>
      <c r="M724" s="21">
        <f t="shared" si="1323"/>
        <v>0</v>
      </c>
      <c r="N724" s="21">
        <f t="shared" si="1323"/>
        <v>0</v>
      </c>
      <c r="O724" s="21">
        <f t="shared" si="1323"/>
        <v>0</v>
      </c>
    </row>
    <row r="725">
      <c r="B725" s="20">
        <v>46256.0</v>
      </c>
      <c r="C725" s="21">
        <f t="shared" ref="C725:G725" si="1324">0</f>
        <v>0</v>
      </c>
      <c r="D725" s="21">
        <f t="shared" si="1324"/>
        <v>0</v>
      </c>
      <c r="E725" s="21">
        <f t="shared" si="1324"/>
        <v>0</v>
      </c>
      <c r="F725" s="21">
        <f t="shared" si="1324"/>
        <v>0</v>
      </c>
      <c r="G725" s="21">
        <f t="shared" si="1324"/>
        <v>0</v>
      </c>
      <c r="H725" s="21">
        <f>70</f>
        <v>70</v>
      </c>
      <c r="I725" s="21">
        <f t="shared" ref="I725:O725" si="1325">0</f>
        <v>0</v>
      </c>
      <c r="J725" s="21">
        <f t="shared" si="1325"/>
        <v>0</v>
      </c>
      <c r="K725" s="21">
        <f t="shared" si="1325"/>
        <v>0</v>
      </c>
      <c r="L725" s="21">
        <f t="shared" si="1325"/>
        <v>0</v>
      </c>
      <c r="M725" s="21">
        <f t="shared" si="1325"/>
        <v>0</v>
      </c>
      <c r="N725" s="21">
        <f t="shared" si="1325"/>
        <v>0</v>
      </c>
      <c r="O725" s="21">
        <f t="shared" si="1325"/>
        <v>0</v>
      </c>
    </row>
    <row r="726">
      <c r="B726" s="20">
        <v>46256.0</v>
      </c>
      <c r="C726" s="21">
        <f t="shared" ref="C726:E726" si="1326">0</f>
        <v>0</v>
      </c>
      <c r="D726" s="21">
        <f t="shared" si="1326"/>
        <v>0</v>
      </c>
      <c r="E726" s="21">
        <f t="shared" si="1326"/>
        <v>0</v>
      </c>
      <c r="F726" s="21">
        <f>25</f>
        <v>25</v>
      </c>
      <c r="G726" s="21">
        <f t="shared" ref="G726:O726" si="1327">0</f>
        <v>0</v>
      </c>
      <c r="H726" s="21">
        <f t="shared" si="1327"/>
        <v>0</v>
      </c>
      <c r="I726" s="21">
        <f t="shared" si="1327"/>
        <v>0</v>
      </c>
      <c r="J726" s="21">
        <f t="shared" si="1327"/>
        <v>0</v>
      </c>
      <c r="K726" s="21">
        <f t="shared" si="1327"/>
        <v>0</v>
      </c>
      <c r="L726" s="21">
        <f t="shared" si="1327"/>
        <v>0</v>
      </c>
      <c r="M726" s="21">
        <f t="shared" si="1327"/>
        <v>0</v>
      </c>
      <c r="N726" s="21">
        <f t="shared" si="1327"/>
        <v>0</v>
      </c>
      <c r="O726" s="21">
        <f t="shared" si="1327"/>
        <v>0</v>
      </c>
    </row>
    <row r="727">
      <c r="B727" s="20">
        <v>46256.0</v>
      </c>
      <c r="C727" s="21">
        <f t="shared" ref="C727:H727" si="1328">0</f>
        <v>0</v>
      </c>
      <c r="D727" s="21">
        <f t="shared" si="1328"/>
        <v>0</v>
      </c>
      <c r="E727" s="21">
        <f t="shared" si="1328"/>
        <v>0</v>
      </c>
      <c r="F727" s="21">
        <f t="shared" si="1328"/>
        <v>0</v>
      </c>
      <c r="G727" s="21">
        <f t="shared" si="1328"/>
        <v>0</v>
      </c>
      <c r="H727" s="21">
        <f t="shared" si="1328"/>
        <v>0</v>
      </c>
      <c r="I727" s="21">
        <f>39.6</f>
        <v>39.6</v>
      </c>
      <c r="J727" s="21">
        <f t="shared" ref="J727:M727" si="1329">0</f>
        <v>0</v>
      </c>
      <c r="K727" s="21">
        <f t="shared" si="1329"/>
        <v>0</v>
      </c>
      <c r="L727" s="21">
        <f t="shared" si="1329"/>
        <v>0</v>
      </c>
      <c r="M727" s="21">
        <f t="shared" si="1329"/>
        <v>0</v>
      </c>
      <c r="N727" s="21">
        <f>92.4</f>
        <v>92.4</v>
      </c>
      <c r="O727" s="21">
        <f>0</f>
        <v>0</v>
      </c>
    </row>
    <row r="728">
      <c r="B728" s="20">
        <v>46257.0</v>
      </c>
      <c r="C728" s="21">
        <v>0.0</v>
      </c>
      <c r="D728" s="21">
        <v>0.0</v>
      </c>
      <c r="E728" s="21">
        <v>0.0</v>
      </c>
      <c r="F728" s="21">
        <v>0.0</v>
      </c>
      <c r="G728" s="21">
        <v>0.0</v>
      </c>
      <c r="H728" s="21">
        <v>0.0</v>
      </c>
      <c r="I728" s="21">
        <f>33</f>
        <v>33</v>
      </c>
      <c r="J728" s="21">
        <v>0.0</v>
      </c>
      <c r="K728" s="21">
        <v>0.0</v>
      </c>
      <c r="L728" s="21">
        <v>0.0</v>
      </c>
      <c r="M728" s="21">
        <v>0.0</v>
      </c>
      <c r="N728" s="21">
        <v>0.0</v>
      </c>
      <c r="O728" s="21">
        <v>0.0</v>
      </c>
    </row>
    <row r="729">
      <c r="B729" s="20">
        <v>46257.0</v>
      </c>
      <c r="C729" s="21">
        <f t="shared" ref="C729:G729" si="1330">0</f>
        <v>0</v>
      </c>
      <c r="D729" s="21">
        <f t="shared" si="1330"/>
        <v>0</v>
      </c>
      <c r="E729" s="21">
        <f t="shared" si="1330"/>
        <v>0</v>
      </c>
      <c r="F729" s="21">
        <f t="shared" si="1330"/>
        <v>0</v>
      </c>
      <c r="G729" s="21">
        <f t="shared" si="1330"/>
        <v>0</v>
      </c>
      <c r="H729" s="21">
        <f t="shared" ref="H729:I729" si="1331">8.5</f>
        <v>8.5</v>
      </c>
      <c r="I729" s="21">
        <f t="shared" si="1331"/>
        <v>8.5</v>
      </c>
      <c r="J729" s="21">
        <f t="shared" ref="J729:O729" si="1332">0</f>
        <v>0</v>
      </c>
      <c r="K729" s="21">
        <f t="shared" si="1332"/>
        <v>0</v>
      </c>
      <c r="L729" s="21">
        <f t="shared" si="1332"/>
        <v>0</v>
      </c>
      <c r="M729" s="21">
        <f t="shared" si="1332"/>
        <v>0</v>
      </c>
      <c r="N729" s="21">
        <f t="shared" si="1332"/>
        <v>0</v>
      </c>
      <c r="O729" s="21">
        <f t="shared" si="1332"/>
        <v>0</v>
      </c>
    </row>
    <row r="730">
      <c r="B730" s="20">
        <v>46257.0</v>
      </c>
      <c r="C730" s="21">
        <f>15.4</f>
        <v>15.4</v>
      </c>
      <c r="D730" s="21">
        <f t="shared" ref="D730:F730" si="1333">0</f>
        <v>0</v>
      </c>
      <c r="E730" s="21">
        <f t="shared" si="1333"/>
        <v>0</v>
      </c>
      <c r="F730" s="21">
        <f t="shared" si="1333"/>
        <v>0</v>
      </c>
      <c r="G730" s="21">
        <f>3.3</f>
        <v>3.3</v>
      </c>
      <c r="H730" s="21">
        <f t="shared" ref="H730:L730" si="1334">0</f>
        <v>0</v>
      </c>
      <c r="I730" s="21">
        <f t="shared" si="1334"/>
        <v>0</v>
      </c>
      <c r="J730" s="21">
        <f t="shared" si="1334"/>
        <v>0</v>
      </c>
      <c r="K730" s="21">
        <f t="shared" si="1334"/>
        <v>0</v>
      </c>
      <c r="L730" s="21">
        <f t="shared" si="1334"/>
        <v>0</v>
      </c>
      <c r="M730" s="21">
        <f>3.3</f>
        <v>3.3</v>
      </c>
      <c r="N730" s="21">
        <f t="shared" ref="N730:O730" si="1335">0</f>
        <v>0</v>
      </c>
      <c r="O730" s="21">
        <f t="shared" si="1335"/>
        <v>0</v>
      </c>
    </row>
    <row r="731">
      <c r="B731" s="20">
        <v>46257.0</v>
      </c>
      <c r="C731" s="21">
        <f t="shared" ref="C731:F731" si="1336">0</f>
        <v>0</v>
      </c>
      <c r="D731" s="21">
        <f t="shared" si="1336"/>
        <v>0</v>
      </c>
      <c r="E731" s="21">
        <f t="shared" si="1336"/>
        <v>0</v>
      </c>
      <c r="F731" s="21">
        <f t="shared" si="1336"/>
        <v>0</v>
      </c>
      <c r="G731" s="21">
        <f>16.8</f>
        <v>16.8</v>
      </c>
      <c r="H731" s="21">
        <f t="shared" ref="H731:N731" si="1337">0</f>
        <v>0</v>
      </c>
      <c r="I731" s="21">
        <f t="shared" si="1337"/>
        <v>0</v>
      </c>
      <c r="J731" s="21">
        <f t="shared" si="1337"/>
        <v>0</v>
      </c>
      <c r="K731" s="21">
        <f t="shared" si="1337"/>
        <v>0</v>
      </c>
      <c r="L731" s="21">
        <f t="shared" si="1337"/>
        <v>0</v>
      </c>
      <c r="M731" s="21">
        <f t="shared" si="1337"/>
        <v>0</v>
      </c>
      <c r="N731" s="21">
        <f t="shared" si="1337"/>
        <v>0</v>
      </c>
      <c r="O731" s="21">
        <f>11.2</f>
        <v>11.2</v>
      </c>
    </row>
    <row r="732">
      <c r="B732" s="20">
        <v>46257.0</v>
      </c>
      <c r="C732" s="21">
        <f t="shared" ref="C732:H732" si="1338">0</f>
        <v>0</v>
      </c>
      <c r="D732" s="21">
        <f t="shared" si="1338"/>
        <v>0</v>
      </c>
      <c r="E732" s="21">
        <f t="shared" si="1338"/>
        <v>0</v>
      </c>
      <c r="F732" s="21">
        <f t="shared" si="1338"/>
        <v>0</v>
      </c>
      <c r="G732" s="21">
        <f t="shared" si="1338"/>
        <v>0</v>
      </c>
      <c r="H732" s="21">
        <f t="shared" si="1338"/>
        <v>0</v>
      </c>
      <c r="I732" s="21">
        <f>48</f>
        <v>48</v>
      </c>
      <c r="J732" s="21">
        <f t="shared" ref="J732:N732" si="1339">0</f>
        <v>0</v>
      </c>
      <c r="K732" s="21">
        <f t="shared" si="1339"/>
        <v>0</v>
      </c>
      <c r="L732" s="21">
        <f t="shared" si="1339"/>
        <v>0</v>
      </c>
      <c r="M732" s="21">
        <f t="shared" si="1339"/>
        <v>0</v>
      </c>
      <c r="N732" s="21">
        <f t="shared" si="1339"/>
        <v>0</v>
      </c>
      <c r="O732" s="21">
        <f>48</f>
        <v>48</v>
      </c>
    </row>
    <row r="733">
      <c r="B733" s="20">
        <v>46257.0</v>
      </c>
      <c r="C733" s="21">
        <v>0.0</v>
      </c>
      <c r="D733" s="21">
        <v>0.0</v>
      </c>
      <c r="E733" s="21">
        <v>0.0</v>
      </c>
      <c r="F733" s="21">
        <v>0.0</v>
      </c>
      <c r="G733" s="21">
        <v>0.0</v>
      </c>
      <c r="H733" s="21">
        <v>0.0</v>
      </c>
      <c r="I733" s="21">
        <v>0.0</v>
      </c>
      <c r="J733" s="21">
        <v>0.0</v>
      </c>
      <c r="K733" s="21">
        <v>0.0</v>
      </c>
      <c r="L733" s="21">
        <v>0.0</v>
      </c>
      <c r="M733" s="21">
        <v>0.0</v>
      </c>
      <c r="N733" s="21">
        <v>0.0</v>
      </c>
      <c r="O733" s="21">
        <f>112</f>
        <v>112</v>
      </c>
    </row>
    <row r="734">
      <c r="B734" s="20">
        <v>46257.0</v>
      </c>
      <c r="C734" s="21">
        <f t="shared" ref="C734:F734" si="1340">0</f>
        <v>0</v>
      </c>
      <c r="D734" s="21">
        <f t="shared" si="1340"/>
        <v>0</v>
      </c>
      <c r="E734" s="21">
        <f t="shared" si="1340"/>
        <v>0</v>
      </c>
      <c r="F734" s="21">
        <f t="shared" si="1340"/>
        <v>0</v>
      </c>
      <c r="G734" s="21">
        <f>18.48</f>
        <v>18.48</v>
      </c>
      <c r="H734" s="21">
        <f>0</f>
        <v>0</v>
      </c>
      <c r="I734" s="21">
        <f>18.48</f>
        <v>18.48</v>
      </c>
      <c r="J734" s="21">
        <f t="shared" ref="J734:N734" si="1341">0</f>
        <v>0</v>
      </c>
      <c r="K734" s="21">
        <f t="shared" si="1341"/>
        <v>0</v>
      </c>
      <c r="L734" s="21">
        <f t="shared" si="1341"/>
        <v>0</v>
      </c>
      <c r="M734" s="21">
        <f t="shared" si="1341"/>
        <v>0</v>
      </c>
      <c r="N734" s="21">
        <f t="shared" si="1341"/>
        <v>0</v>
      </c>
      <c r="O734" s="21">
        <f>19.04</f>
        <v>19.04</v>
      </c>
    </row>
    <row r="735">
      <c r="B735" s="20">
        <v>46257.0</v>
      </c>
      <c r="C735" s="21">
        <v>0.0</v>
      </c>
      <c r="D735" s="21">
        <v>0.0</v>
      </c>
      <c r="E735" s="21">
        <v>0.0</v>
      </c>
      <c r="F735" s="21">
        <v>0.0</v>
      </c>
      <c r="G735" s="21">
        <v>0.0</v>
      </c>
      <c r="H735" s="21">
        <v>0.0</v>
      </c>
      <c r="I735" s="21">
        <f>42</f>
        <v>42</v>
      </c>
      <c r="J735" s="21">
        <v>0.0</v>
      </c>
      <c r="K735" s="21">
        <v>0.0</v>
      </c>
      <c r="L735" s="21">
        <v>0.0</v>
      </c>
      <c r="M735" s="21">
        <v>0.0</v>
      </c>
      <c r="N735" s="21">
        <v>0.0</v>
      </c>
      <c r="O735" s="21">
        <v>0.0</v>
      </c>
    </row>
    <row r="736">
      <c r="B736" s="20">
        <v>46257.0</v>
      </c>
      <c r="C736" s="21">
        <f t="shared" ref="C736:H736" si="1342">0</f>
        <v>0</v>
      </c>
      <c r="D736" s="21">
        <f t="shared" si="1342"/>
        <v>0</v>
      </c>
      <c r="E736" s="21">
        <f t="shared" si="1342"/>
        <v>0</v>
      </c>
      <c r="F736" s="21">
        <f t="shared" si="1342"/>
        <v>0</v>
      </c>
      <c r="G736" s="21">
        <f t="shared" si="1342"/>
        <v>0</v>
      </c>
      <c r="H736" s="21">
        <f t="shared" si="1342"/>
        <v>0</v>
      </c>
      <c r="I736" s="21">
        <f>28</f>
        <v>28</v>
      </c>
      <c r="J736" s="21">
        <f t="shared" ref="J736:L736" si="1343">0</f>
        <v>0</v>
      </c>
      <c r="K736" s="21">
        <f t="shared" si="1343"/>
        <v>0</v>
      </c>
      <c r="L736" s="21">
        <f t="shared" si="1343"/>
        <v>0</v>
      </c>
      <c r="M736" s="21">
        <f>7</f>
        <v>7</v>
      </c>
      <c r="N736" s="21">
        <f t="shared" ref="N736:O736" si="1344">0</f>
        <v>0</v>
      </c>
      <c r="O736" s="21">
        <f t="shared" si="1344"/>
        <v>0</v>
      </c>
    </row>
    <row r="737">
      <c r="B737" s="20">
        <v>46257.0</v>
      </c>
      <c r="C737" s="21">
        <f>6.5</f>
        <v>6.5</v>
      </c>
      <c r="D737" s="21">
        <f t="shared" ref="D737:H737" si="1345">0</f>
        <v>0</v>
      </c>
      <c r="E737" s="21">
        <f t="shared" si="1345"/>
        <v>0</v>
      </c>
      <c r="F737" s="21">
        <f t="shared" si="1345"/>
        <v>0</v>
      </c>
      <c r="G737" s="21">
        <f t="shared" si="1345"/>
        <v>0</v>
      </c>
      <c r="H737" s="21">
        <f t="shared" si="1345"/>
        <v>0</v>
      </c>
      <c r="I737" s="21">
        <f>58.5</f>
        <v>58.5</v>
      </c>
      <c r="J737" s="21">
        <f t="shared" ref="J737:O737" si="1346">0</f>
        <v>0</v>
      </c>
      <c r="K737" s="21">
        <f t="shared" si="1346"/>
        <v>0</v>
      </c>
      <c r="L737" s="21">
        <f t="shared" si="1346"/>
        <v>0</v>
      </c>
      <c r="M737" s="21">
        <f t="shared" si="1346"/>
        <v>0</v>
      </c>
      <c r="N737" s="21">
        <f t="shared" si="1346"/>
        <v>0</v>
      </c>
      <c r="O737" s="21">
        <f t="shared" si="1346"/>
        <v>0</v>
      </c>
    </row>
    <row r="738">
      <c r="B738" s="20">
        <v>46257.0</v>
      </c>
      <c r="C738" s="21">
        <f t="shared" ref="C738:E738" si="1347">0</f>
        <v>0</v>
      </c>
      <c r="D738" s="21">
        <f t="shared" si="1347"/>
        <v>0</v>
      </c>
      <c r="E738" s="21">
        <f t="shared" si="1347"/>
        <v>0</v>
      </c>
      <c r="F738" s="21">
        <f>17</f>
        <v>17</v>
      </c>
      <c r="G738" s="21">
        <f t="shared" ref="G738:O738" si="1348">0</f>
        <v>0</v>
      </c>
      <c r="H738" s="21">
        <f t="shared" si="1348"/>
        <v>0</v>
      </c>
      <c r="I738" s="21">
        <f t="shared" si="1348"/>
        <v>0</v>
      </c>
      <c r="J738" s="21">
        <f t="shared" si="1348"/>
        <v>0</v>
      </c>
      <c r="K738" s="21">
        <f t="shared" si="1348"/>
        <v>0</v>
      </c>
      <c r="L738" s="21">
        <f t="shared" si="1348"/>
        <v>0</v>
      </c>
      <c r="M738" s="21">
        <f t="shared" si="1348"/>
        <v>0</v>
      </c>
      <c r="N738" s="21">
        <f t="shared" si="1348"/>
        <v>0</v>
      </c>
      <c r="O738" s="21">
        <f t="shared" si="1348"/>
        <v>0</v>
      </c>
    </row>
    <row r="739">
      <c r="B739" s="20">
        <v>46257.0</v>
      </c>
      <c r="C739" s="21">
        <v>0.0</v>
      </c>
      <c r="D739" s="21">
        <v>0.0</v>
      </c>
      <c r="E739" s="21">
        <v>0.0</v>
      </c>
      <c r="F739" s="21">
        <v>0.0</v>
      </c>
      <c r="G739" s="21">
        <v>0.0</v>
      </c>
      <c r="H739" s="21">
        <v>0.0</v>
      </c>
      <c r="I739" s="21">
        <f>38</f>
        <v>38</v>
      </c>
      <c r="J739" s="21">
        <v>0.0</v>
      </c>
      <c r="K739" s="21">
        <v>0.0</v>
      </c>
      <c r="L739" s="21">
        <v>0.0</v>
      </c>
      <c r="M739" s="21">
        <v>0.0</v>
      </c>
      <c r="N739" s="21">
        <v>0.0</v>
      </c>
      <c r="O739" s="21">
        <v>0.0</v>
      </c>
    </row>
    <row r="740">
      <c r="B740" s="20">
        <v>46257.0</v>
      </c>
      <c r="C740" s="21">
        <f t="shared" ref="C740:L740" si="1349">0</f>
        <v>0</v>
      </c>
      <c r="D740" s="21">
        <f t="shared" si="1349"/>
        <v>0</v>
      </c>
      <c r="E740" s="21">
        <f t="shared" si="1349"/>
        <v>0</v>
      </c>
      <c r="F740" s="21">
        <f t="shared" si="1349"/>
        <v>0</v>
      </c>
      <c r="G740" s="21">
        <f t="shared" si="1349"/>
        <v>0</v>
      </c>
      <c r="H740" s="21">
        <f t="shared" si="1349"/>
        <v>0</v>
      </c>
      <c r="I740" s="21">
        <f t="shared" si="1349"/>
        <v>0</v>
      </c>
      <c r="J740" s="21">
        <f t="shared" si="1349"/>
        <v>0</v>
      </c>
      <c r="K740" s="21">
        <f t="shared" si="1349"/>
        <v>0</v>
      </c>
      <c r="L740" s="21">
        <f t="shared" si="1349"/>
        <v>0</v>
      </c>
      <c r="M740" s="21">
        <f>20</f>
        <v>20</v>
      </c>
      <c r="N740" s="21">
        <f t="shared" ref="N740:O740" si="1350">0</f>
        <v>0</v>
      </c>
      <c r="O740" s="21">
        <f t="shared" si="1350"/>
        <v>0</v>
      </c>
    </row>
    <row r="741">
      <c r="B741" s="20">
        <v>46258.0</v>
      </c>
      <c r="C741" s="21">
        <f t="shared" ref="C741:E741" si="1351">0</f>
        <v>0</v>
      </c>
      <c r="D741" s="21">
        <f t="shared" si="1351"/>
        <v>0</v>
      </c>
      <c r="E741" s="21">
        <f t="shared" si="1351"/>
        <v>0</v>
      </c>
      <c r="F741" s="21">
        <f>10.1</f>
        <v>10.1</v>
      </c>
      <c r="G741" s="21">
        <f t="shared" ref="G741:H741" si="1352">0</f>
        <v>0</v>
      </c>
      <c r="H741" s="21">
        <f t="shared" si="1352"/>
        <v>0</v>
      </c>
      <c r="I741" s="21">
        <f>90.9</f>
        <v>90.9</v>
      </c>
      <c r="J741" s="21">
        <f t="shared" ref="J741:O741" si="1353">0</f>
        <v>0</v>
      </c>
      <c r="K741" s="21">
        <f t="shared" si="1353"/>
        <v>0</v>
      </c>
      <c r="L741" s="21">
        <f t="shared" si="1353"/>
        <v>0</v>
      </c>
      <c r="M741" s="21">
        <f t="shared" si="1353"/>
        <v>0</v>
      </c>
      <c r="N741" s="21">
        <f t="shared" si="1353"/>
        <v>0</v>
      </c>
      <c r="O741" s="21">
        <f t="shared" si="1353"/>
        <v>0</v>
      </c>
    </row>
    <row r="742">
      <c r="B742" s="20">
        <v>46258.0</v>
      </c>
      <c r="C742" s="21">
        <f t="shared" ref="C742:H742" si="1354">0</f>
        <v>0</v>
      </c>
      <c r="D742" s="21">
        <f t="shared" si="1354"/>
        <v>0</v>
      </c>
      <c r="E742" s="21">
        <f t="shared" si="1354"/>
        <v>0</v>
      </c>
      <c r="F742" s="21">
        <f t="shared" si="1354"/>
        <v>0</v>
      </c>
      <c r="G742" s="21">
        <f t="shared" si="1354"/>
        <v>0</v>
      </c>
      <c r="H742" s="21">
        <f t="shared" si="1354"/>
        <v>0</v>
      </c>
      <c r="I742" s="21">
        <f>32.4</f>
        <v>32.4</v>
      </c>
      <c r="J742" s="21">
        <f t="shared" ref="J742:M742" si="1355">0</f>
        <v>0</v>
      </c>
      <c r="K742" s="21">
        <f t="shared" si="1355"/>
        <v>0</v>
      </c>
      <c r="L742" s="21">
        <f t="shared" si="1355"/>
        <v>0</v>
      </c>
      <c r="M742" s="21">
        <f t="shared" si="1355"/>
        <v>0</v>
      </c>
      <c r="N742" s="21">
        <f>21.6</f>
        <v>21.6</v>
      </c>
      <c r="O742" s="21">
        <f>0</f>
        <v>0</v>
      </c>
    </row>
    <row r="743">
      <c r="B743" s="20">
        <v>46258.0</v>
      </c>
      <c r="C743" s="21">
        <f t="shared" ref="C743:G743" si="1356">0</f>
        <v>0</v>
      </c>
      <c r="D743" s="21">
        <f t="shared" si="1356"/>
        <v>0</v>
      </c>
      <c r="E743" s="21">
        <f t="shared" si="1356"/>
        <v>0</v>
      </c>
      <c r="F743" s="21">
        <f t="shared" si="1356"/>
        <v>0</v>
      </c>
      <c r="G743" s="21">
        <f t="shared" si="1356"/>
        <v>0</v>
      </c>
      <c r="H743" s="21">
        <f>25</f>
        <v>25</v>
      </c>
      <c r="I743" s="21">
        <f t="shared" ref="I743:O743" si="1357">0</f>
        <v>0</v>
      </c>
      <c r="J743" s="21">
        <f t="shared" si="1357"/>
        <v>0</v>
      </c>
      <c r="K743" s="21">
        <f t="shared" si="1357"/>
        <v>0</v>
      </c>
      <c r="L743" s="21">
        <f t="shared" si="1357"/>
        <v>0</v>
      </c>
      <c r="M743" s="21">
        <f t="shared" si="1357"/>
        <v>0</v>
      </c>
      <c r="N743" s="21">
        <f t="shared" si="1357"/>
        <v>0</v>
      </c>
      <c r="O743" s="21">
        <f t="shared" si="1357"/>
        <v>0</v>
      </c>
    </row>
    <row r="744">
      <c r="B744" s="20">
        <v>46258.0</v>
      </c>
      <c r="C744" s="21">
        <f t="shared" ref="C744:F744" si="1358">0</f>
        <v>0</v>
      </c>
      <c r="D744" s="21">
        <f t="shared" si="1358"/>
        <v>0</v>
      </c>
      <c r="E744" s="21">
        <f t="shared" si="1358"/>
        <v>0</v>
      </c>
      <c r="F744" s="21">
        <f t="shared" si="1358"/>
        <v>0</v>
      </c>
      <c r="G744" s="21">
        <f>14.4</f>
        <v>14.4</v>
      </c>
      <c r="H744" s="21">
        <f t="shared" ref="H744:L744" si="1359">0</f>
        <v>0</v>
      </c>
      <c r="I744" s="21">
        <f t="shared" si="1359"/>
        <v>0</v>
      </c>
      <c r="J744" s="21">
        <f t="shared" si="1359"/>
        <v>0</v>
      </c>
      <c r="K744" s="21">
        <f t="shared" si="1359"/>
        <v>0</v>
      </c>
      <c r="L744" s="21">
        <f t="shared" si="1359"/>
        <v>0</v>
      </c>
      <c r="M744" s="21">
        <f>28.8</f>
        <v>28.8</v>
      </c>
      <c r="N744" s="21">
        <f>0</f>
        <v>0</v>
      </c>
      <c r="O744" s="21">
        <f>4.8</f>
        <v>4.8</v>
      </c>
    </row>
    <row r="745">
      <c r="B745" s="20">
        <v>46258.0</v>
      </c>
      <c r="C745" s="21">
        <f>30.8</f>
        <v>30.8</v>
      </c>
      <c r="D745" s="21">
        <f t="shared" ref="D745:H745" si="1360">0</f>
        <v>0</v>
      </c>
      <c r="E745" s="21">
        <f t="shared" si="1360"/>
        <v>0</v>
      </c>
      <c r="F745" s="21">
        <f t="shared" si="1360"/>
        <v>0</v>
      </c>
      <c r="G745" s="21">
        <f t="shared" si="1360"/>
        <v>0</v>
      </c>
      <c r="H745" s="21">
        <f t="shared" si="1360"/>
        <v>0</v>
      </c>
      <c r="I745" s="21">
        <f>13.2</f>
        <v>13.2</v>
      </c>
      <c r="J745" s="21">
        <f t="shared" ref="J745:O745" si="1361">0</f>
        <v>0</v>
      </c>
      <c r="K745" s="21">
        <f t="shared" si="1361"/>
        <v>0</v>
      </c>
      <c r="L745" s="21">
        <f t="shared" si="1361"/>
        <v>0</v>
      </c>
      <c r="M745" s="21">
        <f t="shared" si="1361"/>
        <v>0</v>
      </c>
      <c r="N745" s="21">
        <f t="shared" si="1361"/>
        <v>0</v>
      </c>
      <c r="O745" s="21">
        <f t="shared" si="1361"/>
        <v>0</v>
      </c>
    </row>
    <row r="746">
      <c r="B746" s="20">
        <v>46258.0</v>
      </c>
      <c r="C746" s="21">
        <f>8.1</f>
        <v>8.1</v>
      </c>
      <c r="D746" s="21">
        <f t="shared" ref="D746:F746" si="1362">0</f>
        <v>0</v>
      </c>
      <c r="E746" s="21">
        <f t="shared" si="1362"/>
        <v>0</v>
      </c>
      <c r="F746" s="21">
        <f t="shared" si="1362"/>
        <v>0</v>
      </c>
      <c r="G746" s="21">
        <f>2.7</f>
        <v>2.7</v>
      </c>
      <c r="H746" s="21">
        <f t="shared" ref="H746:H748" si="1365">0</f>
        <v>0</v>
      </c>
      <c r="I746" s="21">
        <f>16.2</f>
        <v>16.2</v>
      </c>
      <c r="J746" s="21">
        <f t="shared" ref="J746:O746" si="1363">0</f>
        <v>0</v>
      </c>
      <c r="K746" s="21">
        <f t="shared" si="1363"/>
        <v>0</v>
      </c>
      <c r="L746" s="21">
        <f t="shared" si="1363"/>
        <v>0</v>
      </c>
      <c r="M746" s="21">
        <f t="shared" si="1363"/>
        <v>0</v>
      </c>
      <c r="N746" s="21">
        <f t="shared" si="1363"/>
        <v>0</v>
      </c>
      <c r="O746" s="21">
        <f t="shared" si="1363"/>
        <v>0</v>
      </c>
    </row>
    <row r="747">
      <c r="B747" s="20">
        <v>46258.0</v>
      </c>
      <c r="C747" s="21">
        <f>22.8</f>
        <v>22.8</v>
      </c>
      <c r="D747" s="21">
        <f t="shared" ref="D747:F747" si="1364">0</f>
        <v>0</v>
      </c>
      <c r="E747" s="21">
        <f t="shared" si="1364"/>
        <v>0</v>
      </c>
      <c r="F747" s="21">
        <f t="shared" si="1364"/>
        <v>0</v>
      </c>
      <c r="G747" s="21">
        <f>3.8</f>
        <v>3.8</v>
      </c>
      <c r="H747" s="21">
        <f t="shared" si="1365"/>
        <v>0</v>
      </c>
      <c r="I747" s="21">
        <f>7.6</f>
        <v>7.6</v>
      </c>
      <c r="J747" s="21">
        <f t="shared" ref="J747:L747" si="1366">0</f>
        <v>0</v>
      </c>
      <c r="K747" s="21">
        <f t="shared" si="1366"/>
        <v>0</v>
      </c>
      <c r="L747" s="21">
        <f t="shared" si="1366"/>
        <v>0</v>
      </c>
      <c r="M747" s="21">
        <f>3.8</f>
        <v>3.8</v>
      </c>
      <c r="N747" s="21">
        <f t="shared" ref="N747:O747" si="1367">0</f>
        <v>0</v>
      </c>
      <c r="O747" s="21">
        <f t="shared" si="1367"/>
        <v>0</v>
      </c>
    </row>
    <row r="748">
      <c r="B748" s="20">
        <v>46258.0</v>
      </c>
      <c r="C748" s="21">
        <f>10</f>
        <v>10</v>
      </c>
      <c r="D748" s="21">
        <f t="shared" ref="D748:F748" si="1368">0</f>
        <v>0</v>
      </c>
      <c r="E748" s="21">
        <f t="shared" si="1368"/>
        <v>0</v>
      </c>
      <c r="F748" s="21">
        <f t="shared" si="1368"/>
        <v>0</v>
      </c>
      <c r="G748" s="21">
        <f>5</f>
        <v>5</v>
      </c>
      <c r="H748" s="21">
        <f t="shared" si="1365"/>
        <v>0</v>
      </c>
      <c r="I748" s="21">
        <f>10</f>
        <v>10</v>
      </c>
      <c r="J748" s="21">
        <f t="shared" ref="J748:K748" si="1369">0</f>
        <v>0</v>
      </c>
      <c r="K748" s="21">
        <f t="shared" si="1369"/>
        <v>0</v>
      </c>
      <c r="L748" s="21">
        <f>5</f>
        <v>5</v>
      </c>
      <c r="M748" s="21">
        <f>20</f>
        <v>20</v>
      </c>
      <c r="N748" s="21">
        <f t="shared" ref="N748:O748" si="1370">0</f>
        <v>0</v>
      </c>
      <c r="O748" s="21">
        <f t="shared" si="1370"/>
        <v>0</v>
      </c>
    </row>
    <row r="749">
      <c r="B749" s="20">
        <v>46259.0</v>
      </c>
      <c r="C749" s="21">
        <f t="shared" ref="C749:K749" si="1371">0</f>
        <v>0</v>
      </c>
      <c r="D749" s="21">
        <f t="shared" si="1371"/>
        <v>0</v>
      </c>
      <c r="E749" s="21">
        <f t="shared" si="1371"/>
        <v>0</v>
      </c>
      <c r="F749" s="21">
        <f t="shared" si="1371"/>
        <v>0</v>
      </c>
      <c r="G749" s="21">
        <f t="shared" si="1371"/>
        <v>0</v>
      </c>
      <c r="H749" s="21">
        <f t="shared" si="1371"/>
        <v>0</v>
      </c>
      <c r="I749" s="21">
        <f t="shared" si="1371"/>
        <v>0</v>
      </c>
      <c r="J749" s="21">
        <f t="shared" si="1371"/>
        <v>0</v>
      </c>
      <c r="K749" s="21">
        <f t="shared" si="1371"/>
        <v>0</v>
      </c>
      <c r="L749" s="21">
        <f>18</f>
        <v>18</v>
      </c>
      <c r="M749" s="21">
        <f t="shared" ref="M749:N749" si="1372">0</f>
        <v>0</v>
      </c>
      <c r="N749" s="21">
        <f t="shared" si="1372"/>
        <v>0</v>
      </c>
      <c r="O749" s="21">
        <f>18</f>
        <v>18</v>
      </c>
    </row>
    <row r="750">
      <c r="B750" s="20">
        <v>46259.0</v>
      </c>
      <c r="C750" s="21">
        <f t="shared" ref="C750:H750" si="1373">0</f>
        <v>0</v>
      </c>
      <c r="D750" s="21">
        <f t="shared" si="1373"/>
        <v>0</v>
      </c>
      <c r="E750" s="21">
        <f t="shared" si="1373"/>
        <v>0</v>
      </c>
      <c r="F750" s="21">
        <f t="shared" si="1373"/>
        <v>0</v>
      </c>
      <c r="G750" s="21">
        <f t="shared" si="1373"/>
        <v>0</v>
      </c>
      <c r="H750" s="21">
        <f t="shared" si="1373"/>
        <v>0</v>
      </c>
      <c r="I750" s="21">
        <f>47.4</f>
        <v>47.4</v>
      </c>
      <c r="J750" s="21">
        <f t="shared" ref="J750:L750" si="1374">0</f>
        <v>0</v>
      </c>
      <c r="K750" s="21">
        <f t="shared" si="1374"/>
        <v>0</v>
      </c>
      <c r="L750" s="21">
        <f t="shared" si="1374"/>
        <v>0</v>
      </c>
      <c r="M750" s="21">
        <f>31.6</f>
        <v>31.6</v>
      </c>
      <c r="N750" s="21">
        <f t="shared" ref="N750:O750" si="1375">0</f>
        <v>0</v>
      </c>
      <c r="O750" s="21">
        <f t="shared" si="1375"/>
        <v>0</v>
      </c>
    </row>
    <row r="751">
      <c r="B751" s="20">
        <v>46259.0</v>
      </c>
      <c r="C751" s="21">
        <f t="shared" ref="C751:L751" si="1376">0</f>
        <v>0</v>
      </c>
      <c r="D751" s="21">
        <f t="shared" si="1376"/>
        <v>0</v>
      </c>
      <c r="E751" s="21">
        <f t="shared" si="1376"/>
        <v>0</v>
      </c>
      <c r="F751" s="21">
        <f t="shared" si="1376"/>
        <v>0</v>
      </c>
      <c r="G751" s="21">
        <f t="shared" si="1376"/>
        <v>0</v>
      </c>
      <c r="H751" s="21">
        <f t="shared" si="1376"/>
        <v>0</v>
      </c>
      <c r="I751" s="21">
        <f t="shared" si="1376"/>
        <v>0</v>
      </c>
      <c r="J751" s="21">
        <f t="shared" si="1376"/>
        <v>0</v>
      </c>
      <c r="K751" s="21">
        <f t="shared" si="1376"/>
        <v>0</v>
      </c>
      <c r="L751" s="21">
        <f t="shared" si="1376"/>
        <v>0</v>
      </c>
      <c r="M751" s="21">
        <f>29</f>
        <v>29</v>
      </c>
      <c r="N751" s="21">
        <f t="shared" ref="N751:O751" si="1377">0</f>
        <v>0</v>
      </c>
      <c r="O751" s="21">
        <f t="shared" si="1377"/>
        <v>0</v>
      </c>
    </row>
    <row r="752">
      <c r="B752" s="20">
        <v>46259.0</v>
      </c>
      <c r="C752" s="21">
        <v>0.0</v>
      </c>
      <c r="D752" s="21">
        <v>0.0</v>
      </c>
      <c r="E752" s="21">
        <v>0.0</v>
      </c>
      <c r="F752" s="21">
        <v>0.0</v>
      </c>
      <c r="G752" s="21">
        <v>0.0</v>
      </c>
      <c r="H752" s="21">
        <v>0.0</v>
      </c>
      <c r="I752" s="21">
        <f>74</f>
        <v>74</v>
      </c>
      <c r="J752" s="21">
        <v>0.0</v>
      </c>
      <c r="K752" s="21">
        <v>0.0</v>
      </c>
      <c r="L752" s="21">
        <v>0.0</v>
      </c>
      <c r="M752" s="21">
        <v>0.0</v>
      </c>
      <c r="N752" s="21">
        <v>0.0</v>
      </c>
      <c r="O752" s="21">
        <v>0.0</v>
      </c>
    </row>
    <row r="753">
      <c r="B753" s="20">
        <v>46259.0</v>
      </c>
      <c r="C753" s="21">
        <f>37.1</f>
        <v>37.1</v>
      </c>
      <c r="D753" s="21">
        <f t="shared" ref="D753:H753" si="1378">0</f>
        <v>0</v>
      </c>
      <c r="E753" s="21">
        <f t="shared" si="1378"/>
        <v>0</v>
      </c>
      <c r="F753" s="21">
        <f t="shared" si="1378"/>
        <v>0</v>
      </c>
      <c r="G753" s="21">
        <f t="shared" si="1378"/>
        <v>0</v>
      </c>
      <c r="H753" s="21">
        <f t="shared" si="1378"/>
        <v>0</v>
      </c>
      <c r="I753" s="21">
        <f>15.9</f>
        <v>15.9</v>
      </c>
      <c r="J753" s="21">
        <f t="shared" ref="J753:O753" si="1379">0</f>
        <v>0</v>
      </c>
      <c r="K753" s="21">
        <f t="shared" si="1379"/>
        <v>0</v>
      </c>
      <c r="L753" s="21">
        <f t="shared" si="1379"/>
        <v>0</v>
      </c>
      <c r="M753" s="21">
        <f t="shared" si="1379"/>
        <v>0</v>
      </c>
      <c r="N753" s="21">
        <f t="shared" si="1379"/>
        <v>0</v>
      </c>
      <c r="O753" s="21">
        <f t="shared" si="1379"/>
        <v>0</v>
      </c>
    </row>
    <row r="754">
      <c r="B754" s="20">
        <v>46259.0</v>
      </c>
      <c r="C754" s="21">
        <f>0</f>
        <v>0</v>
      </c>
      <c r="D754" s="21">
        <f>12</f>
        <v>12</v>
      </c>
      <c r="E754" s="21">
        <f t="shared" ref="E754:H754" si="1380">0</f>
        <v>0</v>
      </c>
      <c r="F754" s="21">
        <f t="shared" si="1380"/>
        <v>0</v>
      </c>
      <c r="G754" s="21">
        <f t="shared" si="1380"/>
        <v>0</v>
      </c>
      <c r="H754" s="21">
        <f t="shared" si="1380"/>
        <v>0</v>
      </c>
      <c r="I754" s="21">
        <f>48</f>
        <v>48</v>
      </c>
      <c r="J754" s="21">
        <f t="shared" ref="J754:O754" si="1381">0</f>
        <v>0</v>
      </c>
      <c r="K754" s="21">
        <f t="shared" si="1381"/>
        <v>0</v>
      </c>
      <c r="L754" s="21">
        <f t="shared" si="1381"/>
        <v>0</v>
      </c>
      <c r="M754" s="21">
        <f t="shared" si="1381"/>
        <v>0</v>
      </c>
      <c r="N754" s="21">
        <f t="shared" si="1381"/>
        <v>0</v>
      </c>
      <c r="O754" s="21">
        <f t="shared" si="1381"/>
        <v>0</v>
      </c>
    </row>
    <row r="755">
      <c r="B755" s="20">
        <v>46259.0</v>
      </c>
      <c r="C755" s="21">
        <f>23.1</f>
        <v>23.1</v>
      </c>
      <c r="D755" s="21">
        <f t="shared" ref="D755:M755" si="1382">0</f>
        <v>0</v>
      </c>
      <c r="E755" s="21">
        <f t="shared" si="1382"/>
        <v>0</v>
      </c>
      <c r="F755" s="21">
        <f t="shared" si="1382"/>
        <v>0</v>
      </c>
      <c r="G755" s="21">
        <f t="shared" si="1382"/>
        <v>0</v>
      </c>
      <c r="H755" s="21">
        <f t="shared" si="1382"/>
        <v>0</v>
      </c>
      <c r="I755" s="21">
        <f t="shared" si="1382"/>
        <v>0</v>
      </c>
      <c r="J755" s="21">
        <f t="shared" si="1382"/>
        <v>0</v>
      </c>
      <c r="K755" s="21">
        <f t="shared" si="1382"/>
        <v>0</v>
      </c>
      <c r="L755" s="21">
        <f t="shared" si="1382"/>
        <v>0</v>
      </c>
      <c r="M755" s="21">
        <f t="shared" si="1382"/>
        <v>0</v>
      </c>
      <c r="N755" s="21">
        <f>9.9</f>
        <v>9.9</v>
      </c>
      <c r="O755" s="21">
        <f>0</f>
        <v>0</v>
      </c>
    </row>
    <row r="756">
      <c r="B756" s="20">
        <v>46259.0</v>
      </c>
      <c r="C756" s="21">
        <f>13.2</f>
        <v>13.2</v>
      </c>
      <c r="D756" s="21">
        <f t="shared" ref="D756:I756" si="1383">0</f>
        <v>0</v>
      </c>
      <c r="E756" s="21">
        <f t="shared" si="1383"/>
        <v>0</v>
      </c>
      <c r="F756" s="21">
        <f t="shared" si="1383"/>
        <v>0</v>
      </c>
      <c r="G756" s="21">
        <f t="shared" si="1383"/>
        <v>0</v>
      </c>
      <c r="H756" s="21">
        <f t="shared" si="1383"/>
        <v>0</v>
      </c>
      <c r="I756" s="21">
        <f t="shared" si="1383"/>
        <v>0</v>
      </c>
      <c r="J756" s="21">
        <f>19.8</f>
        <v>19.8</v>
      </c>
      <c r="K756" s="21">
        <f t="shared" ref="K756:O756" si="1384">0</f>
        <v>0</v>
      </c>
      <c r="L756" s="21">
        <f t="shared" si="1384"/>
        <v>0</v>
      </c>
      <c r="M756" s="21">
        <f t="shared" si="1384"/>
        <v>0</v>
      </c>
      <c r="N756" s="21">
        <f t="shared" si="1384"/>
        <v>0</v>
      </c>
      <c r="O756" s="21">
        <f t="shared" si="1384"/>
        <v>0</v>
      </c>
    </row>
    <row r="757">
      <c r="B757" s="20">
        <v>46259.0</v>
      </c>
      <c r="C757" s="21">
        <f t="shared" ref="C757:F757" si="1385">0</f>
        <v>0</v>
      </c>
      <c r="D757" s="21">
        <f t="shared" si="1385"/>
        <v>0</v>
      </c>
      <c r="E757" s="21">
        <f t="shared" si="1385"/>
        <v>0</v>
      </c>
      <c r="F757" s="21">
        <f t="shared" si="1385"/>
        <v>0</v>
      </c>
      <c r="G757" s="21">
        <f>27.6</f>
        <v>27.6</v>
      </c>
      <c r="H757" s="21">
        <f t="shared" ref="H757:N757" si="1386">0</f>
        <v>0</v>
      </c>
      <c r="I757" s="21">
        <f t="shared" si="1386"/>
        <v>0</v>
      </c>
      <c r="J757" s="21">
        <f t="shared" si="1386"/>
        <v>0</v>
      </c>
      <c r="K757" s="21">
        <f t="shared" si="1386"/>
        <v>0</v>
      </c>
      <c r="L757" s="21">
        <f t="shared" si="1386"/>
        <v>0</v>
      </c>
      <c r="M757" s="21">
        <f t="shared" si="1386"/>
        <v>0</v>
      </c>
      <c r="N757" s="21">
        <f t="shared" si="1386"/>
        <v>0</v>
      </c>
      <c r="O757" s="21">
        <f>41.4</f>
        <v>41.4</v>
      </c>
    </row>
    <row r="758">
      <c r="B758" s="20">
        <v>46259.0</v>
      </c>
      <c r="C758" s="21">
        <f>68.8</f>
        <v>68.8</v>
      </c>
      <c r="D758" s="21">
        <f t="shared" ref="D758:H758" si="1387">0</f>
        <v>0</v>
      </c>
      <c r="E758" s="21">
        <f t="shared" si="1387"/>
        <v>0</v>
      </c>
      <c r="F758" s="21">
        <f t="shared" si="1387"/>
        <v>0</v>
      </c>
      <c r="G758" s="21">
        <f t="shared" si="1387"/>
        <v>0</v>
      </c>
      <c r="H758" s="21">
        <f t="shared" si="1387"/>
        <v>0</v>
      </c>
      <c r="I758" s="21">
        <f>17.2</f>
        <v>17.2</v>
      </c>
      <c r="J758" s="21">
        <f t="shared" ref="J758:O758" si="1388">0</f>
        <v>0</v>
      </c>
      <c r="K758" s="21">
        <f t="shared" si="1388"/>
        <v>0</v>
      </c>
      <c r="L758" s="21">
        <f t="shared" si="1388"/>
        <v>0</v>
      </c>
      <c r="M758" s="21">
        <f t="shared" si="1388"/>
        <v>0</v>
      </c>
      <c r="N758" s="21">
        <f t="shared" si="1388"/>
        <v>0</v>
      </c>
      <c r="O758" s="21">
        <f t="shared" si="1388"/>
        <v>0</v>
      </c>
    </row>
    <row r="759">
      <c r="B759" s="20">
        <v>46259.0</v>
      </c>
      <c r="C759" s="21">
        <f t="shared" ref="C759:E759" si="1389">0</f>
        <v>0</v>
      </c>
      <c r="D759" s="21">
        <f t="shared" si="1389"/>
        <v>0</v>
      </c>
      <c r="E759" s="21">
        <f t="shared" si="1389"/>
        <v>0</v>
      </c>
      <c r="F759" s="21">
        <f>30.6</f>
        <v>30.6</v>
      </c>
      <c r="G759" s="21">
        <f t="shared" ref="G759:N759" si="1390">0</f>
        <v>0</v>
      </c>
      <c r="H759" s="21">
        <f t="shared" si="1390"/>
        <v>0</v>
      </c>
      <c r="I759" s="21">
        <f t="shared" si="1390"/>
        <v>0</v>
      </c>
      <c r="J759" s="21">
        <f t="shared" si="1390"/>
        <v>0</v>
      </c>
      <c r="K759" s="21">
        <f t="shared" si="1390"/>
        <v>0</v>
      </c>
      <c r="L759" s="21">
        <f t="shared" si="1390"/>
        <v>0</v>
      </c>
      <c r="M759" s="21">
        <f t="shared" si="1390"/>
        <v>0</v>
      </c>
      <c r="N759" s="21">
        <f t="shared" si="1390"/>
        <v>0</v>
      </c>
      <c r="O759" s="21">
        <f>3.4</f>
        <v>3.4</v>
      </c>
    </row>
    <row r="760">
      <c r="B760" s="20">
        <v>46259.0</v>
      </c>
      <c r="C760" s="21">
        <f t="shared" ref="C760:H760" si="1391">0</f>
        <v>0</v>
      </c>
      <c r="D760" s="21">
        <f t="shared" si="1391"/>
        <v>0</v>
      </c>
      <c r="E760" s="21">
        <f t="shared" si="1391"/>
        <v>0</v>
      </c>
      <c r="F760" s="21">
        <f t="shared" si="1391"/>
        <v>0</v>
      </c>
      <c r="G760" s="21">
        <f t="shared" si="1391"/>
        <v>0</v>
      </c>
      <c r="H760" s="21">
        <f t="shared" si="1391"/>
        <v>0</v>
      </c>
      <c r="I760" s="21">
        <f>112.5</f>
        <v>112.5</v>
      </c>
      <c r="J760" s="21">
        <f t="shared" ref="J760:N760" si="1392">0</f>
        <v>0</v>
      </c>
      <c r="K760" s="21">
        <f t="shared" si="1392"/>
        <v>0</v>
      </c>
      <c r="L760" s="21">
        <f t="shared" si="1392"/>
        <v>0</v>
      </c>
      <c r="M760" s="21">
        <f t="shared" si="1392"/>
        <v>0</v>
      </c>
      <c r="N760" s="21">
        <f t="shared" si="1392"/>
        <v>0</v>
      </c>
      <c r="O760" s="21">
        <f>12.5</f>
        <v>12.5</v>
      </c>
    </row>
    <row r="761">
      <c r="B761" s="20">
        <v>46259.0</v>
      </c>
      <c r="C761" s="21">
        <f t="shared" ref="C761:L761" si="1393">0</f>
        <v>0</v>
      </c>
      <c r="D761" s="21">
        <f t="shared" si="1393"/>
        <v>0</v>
      </c>
      <c r="E761" s="21">
        <f t="shared" si="1393"/>
        <v>0</v>
      </c>
      <c r="F761" s="21">
        <f t="shared" si="1393"/>
        <v>0</v>
      </c>
      <c r="G761" s="21">
        <f t="shared" si="1393"/>
        <v>0</v>
      </c>
      <c r="H761" s="21">
        <f t="shared" si="1393"/>
        <v>0</v>
      </c>
      <c r="I761" s="21">
        <f t="shared" si="1393"/>
        <v>0</v>
      </c>
      <c r="J761" s="21">
        <f t="shared" si="1393"/>
        <v>0</v>
      </c>
      <c r="K761" s="21">
        <f t="shared" si="1393"/>
        <v>0</v>
      </c>
      <c r="L761" s="21">
        <f t="shared" si="1393"/>
        <v>0</v>
      </c>
      <c r="M761" s="21">
        <f>72</f>
        <v>72</v>
      </c>
      <c r="N761" s="21">
        <f t="shared" ref="N761:O761" si="1394">0</f>
        <v>0</v>
      </c>
      <c r="O761" s="21">
        <f t="shared" si="1394"/>
        <v>0</v>
      </c>
    </row>
    <row r="762">
      <c r="B762" s="20">
        <v>46259.0</v>
      </c>
      <c r="C762" s="21">
        <v>0.0</v>
      </c>
      <c r="D762" s="21">
        <v>0.0</v>
      </c>
      <c r="E762" s="21">
        <v>0.0</v>
      </c>
      <c r="F762" s="21">
        <v>0.0</v>
      </c>
      <c r="G762" s="21">
        <v>0.0</v>
      </c>
      <c r="H762" s="21">
        <v>0.0</v>
      </c>
      <c r="I762" s="21">
        <f>39</f>
        <v>39</v>
      </c>
      <c r="J762" s="21">
        <v>0.0</v>
      </c>
      <c r="K762" s="21">
        <v>0.0</v>
      </c>
      <c r="L762" s="21">
        <v>0.0</v>
      </c>
      <c r="M762" s="21">
        <v>0.0</v>
      </c>
      <c r="N762" s="21">
        <v>0.0</v>
      </c>
      <c r="O762" s="21">
        <v>0.0</v>
      </c>
    </row>
    <row r="763">
      <c r="B763" s="20">
        <v>46259.0</v>
      </c>
      <c r="C763" s="21">
        <v>0.0</v>
      </c>
      <c r="D763" s="21">
        <v>0.0</v>
      </c>
      <c r="E763" s="21">
        <v>0.0</v>
      </c>
      <c r="F763" s="21">
        <v>0.0</v>
      </c>
      <c r="G763" s="21">
        <v>0.0</v>
      </c>
      <c r="H763" s="21">
        <v>0.0</v>
      </c>
      <c r="I763" s="21">
        <f>64</f>
        <v>64</v>
      </c>
      <c r="J763" s="21">
        <v>0.0</v>
      </c>
      <c r="K763" s="21">
        <v>0.0</v>
      </c>
      <c r="L763" s="21">
        <v>0.0</v>
      </c>
      <c r="M763" s="21">
        <v>0.0</v>
      </c>
      <c r="N763" s="21">
        <v>0.0</v>
      </c>
      <c r="O763" s="21">
        <v>0.0</v>
      </c>
    </row>
    <row r="764">
      <c r="B764" s="20">
        <v>46259.0</v>
      </c>
      <c r="C764" s="21">
        <f t="shared" ref="C764:H764" si="1395">0</f>
        <v>0</v>
      </c>
      <c r="D764" s="21">
        <f t="shared" si="1395"/>
        <v>0</v>
      </c>
      <c r="E764" s="21">
        <f t="shared" si="1395"/>
        <v>0</v>
      </c>
      <c r="F764" s="21">
        <f t="shared" si="1395"/>
        <v>0</v>
      </c>
      <c r="G764" s="21">
        <f t="shared" si="1395"/>
        <v>0</v>
      </c>
      <c r="H764" s="21">
        <f t="shared" si="1395"/>
        <v>0</v>
      </c>
      <c r="I764" s="21">
        <f>49</f>
        <v>49</v>
      </c>
      <c r="J764" s="21">
        <f t="shared" ref="J764:N764" si="1396">0</f>
        <v>0</v>
      </c>
      <c r="K764" s="21">
        <f t="shared" si="1396"/>
        <v>0</v>
      </c>
      <c r="L764" s="21">
        <f t="shared" si="1396"/>
        <v>0</v>
      </c>
      <c r="M764" s="21">
        <f t="shared" si="1396"/>
        <v>0</v>
      </c>
      <c r="N764" s="21">
        <f t="shared" si="1396"/>
        <v>0</v>
      </c>
      <c r="O764" s="21">
        <f>49</f>
        <v>49</v>
      </c>
    </row>
    <row r="765">
      <c r="B765" s="20">
        <v>46259.0</v>
      </c>
      <c r="C765" s="21">
        <f t="shared" ref="C765:E765" si="1397">0</f>
        <v>0</v>
      </c>
      <c r="D765" s="21">
        <f t="shared" si="1397"/>
        <v>0</v>
      </c>
      <c r="E765" s="21">
        <f t="shared" si="1397"/>
        <v>0</v>
      </c>
      <c r="F765" s="21">
        <f>21</f>
        <v>21</v>
      </c>
      <c r="G765" s="21">
        <f t="shared" ref="G765:N765" si="1398">0</f>
        <v>0</v>
      </c>
      <c r="H765" s="21">
        <f t="shared" si="1398"/>
        <v>0</v>
      </c>
      <c r="I765" s="21">
        <f t="shared" si="1398"/>
        <v>0</v>
      </c>
      <c r="J765" s="21">
        <f t="shared" si="1398"/>
        <v>0</v>
      </c>
      <c r="K765" s="21">
        <f t="shared" si="1398"/>
        <v>0</v>
      </c>
      <c r="L765" s="21">
        <f t="shared" si="1398"/>
        <v>0</v>
      </c>
      <c r="M765" s="21">
        <f t="shared" si="1398"/>
        <v>0</v>
      </c>
      <c r="N765" s="21">
        <f t="shared" si="1398"/>
        <v>0</v>
      </c>
      <c r="O765" s="21">
        <f>21</f>
        <v>21</v>
      </c>
    </row>
    <row r="766">
      <c r="B766" s="20">
        <v>46260.0</v>
      </c>
      <c r="C766" s="21">
        <f>192</f>
        <v>192</v>
      </c>
      <c r="D766" s="21">
        <f t="shared" ref="D766:H766" si="1399">0</f>
        <v>0</v>
      </c>
      <c r="E766" s="21">
        <f t="shared" si="1399"/>
        <v>0</v>
      </c>
      <c r="F766" s="21">
        <f t="shared" si="1399"/>
        <v>0</v>
      </c>
      <c r="G766" s="21">
        <f t="shared" si="1399"/>
        <v>0</v>
      </c>
      <c r="H766" s="21">
        <f t="shared" si="1399"/>
        <v>0</v>
      </c>
      <c r="I766" s="21">
        <f>48</f>
        <v>48</v>
      </c>
      <c r="J766" s="21">
        <f t="shared" ref="J766:O766" si="1400">0</f>
        <v>0</v>
      </c>
      <c r="K766" s="21">
        <f t="shared" si="1400"/>
        <v>0</v>
      </c>
      <c r="L766" s="21">
        <f t="shared" si="1400"/>
        <v>0</v>
      </c>
      <c r="M766" s="21">
        <f t="shared" si="1400"/>
        <v>0</v>
      </c>
      <c r="N766" s="21">
        <f t="shared" si="1400"/>
        <v>0</v>
      </c>
      <c r="O766" s="21">
        <f t="shared" si="1400"/>
        <v>0</v>
      </c>
    </row>
    <row r="767">
      <c r="B767" s="20">
        <v>46260.0</v>
      </c>
      <c r="C767" s="21">
        <f t="shared" ref="C767:I767" si="1401">0</f>
        <v>0</v>
      </c>
      <c r="D767" s="21">
        <f t="shared" si="1401"/>
        <v>0</v>
      </c>
      <c r="E767" s="21">
        <f t="shared" si="1401"/>
        <v>0</v>
      </c>
      <c r="F767" s="21">
        <f t="shared" si="1401"/>
        <v>0</v>
      </c>
      <c r="G767" s="21">
        <f t="shared" si="1401"/>
        <v>0</v>
      </c>
      <c r="H767" s="21">
        <f t="shared" si="1401"/>
        <v>0</v>
      </c>
      <c r="I767" s="21">
        <f t="shared" si="1401"/>
        <v>0</v>
      </c>
      <c r="J767" s="21">
        <f>220</f>
        <v>220</v>
      </c>
      <c r="K767" s="21">
        <f t="shared" ref="K767:M767" si="1402">0</f>
        <v>0</v>
      </c>
      <c r="L767" s="21">
        <f t="shared" si="1402"/>
        <v>0</v>
      </c>
      <c r="M767" s="21">
        <f t="shared" si="1402"/>
        <v>0</v>
      </c>
      <c r="N767" s="21">
        <f t="shared" ref="N767:O767" si="1403">27.5</f>
        <v>27.5</v>
      </c>
      <c r="O767" s="21">
        <f t="shared" si="1403"/>
        <v>27.5</v>
      </c>
    </row>
    <row r="768">
      <c r="B768" s="20">
        <v>46260.0</v>
      </c>
      <c r="C768" s="21">
        <f t="shared" ref="C768:E768" si="1404">0</f>
        <v>0</v>
      </c>
      <c r="D768" s="21">
        <f t="shared" si="1404"/>
        <v>0</v>
      </c>
      <c r="E768" s="21">
        <f t="shared" si="1404"/>
        <v>0</v>
      </c>
      <c r="F768" s="21">
        <f>60</f>
        <v>60</v>
      </c>
      <c r="G768" s="21">
        <f t="shared" ref="G768:H768" si="1405">0</f>
        <v>0</v>
      </c>
      <c r="H768" s="21">
        <f t="shared" si="1405"/>
        <v>0</v>
      </c>
      <c r="I768" s="21">
        <f>48</f>
        <v>48</v>
      </c>
      <c r="J768" s="21">
        <f t="shared" ref="J768:N768" si="1406">0</f>
        <v>0</v>
      </c>
      <c r="K768" s="21">
        <f t="shared" si="1406"/>
        <v>0</v>
      </c>
      <c r="L768" s="21">
        <f t="shared" si="1406"/>
        <v>0</v>
      </c>
      <c r="M768" s="21">
        <f t="shared" si="1406"/>
        <v>0</v>
      </c>
      <c r="N768" s="21">
        <f t="shared" si="1406"/>
        <v>0</v>
      </c>
      <c r="O768" s="21">
        <f>12</f>
        <v>12</v>
      </c>
    </row>
    <row r="769">
      <c r="B769" s="20">
        <v>46260.0</v>
      </c>
      <c r="C769" s="21">
        <f t="shared" ref="C769:H769" si="1407">0</f>
        <v>0</v>
      </c>
      <c r="D769" s="21">
        <f t="shared" si="1407"/>
        <v>0</v>
      </c>
      <c r="E769" s="21">
        <f t="shared" si="1407"/>
        <v>0</v>
      </c>
      <c r="F769" s="21">
        <f t="shared" si="1407"/>
        <v>0</v>
      </c>
      <c r="G769" s="21">
        <f t="shared" si="1407"/>
        <v>0</v>
      </c>
      <c r="H769" s="21">
        <f t="shared" si="1407"/>
        <v>0</v>
      </c>
      <c r="I769" s="21">
        <f>12.8</f>
        <v>12.8</v>
      </c>
      <c r="J769" s="21">
        <f t="shared" ref="J769:M769" si="1408">0</f>
        <v>0</v>
      </c>
      <c r="K769" s="21">
        <f t="shared" si="1408"/>
        <v>0</v>
      </c>
      <c r="L769" s="21">
        <f t="shared" si="1408"/>
        <v>0</v>
      </c>
      <c r="M769" s="21">
        <f t="shared" si="1408"/>
        <v>0</v>
      </c>
      <c r="N769" s="21">
        <f>19.2</f>
        <v>19.2</v>
      </c>
      <c r="O769" s="21">
        <f>0</f>
        <v>0</v>
      </c>
    </row>
    <row r="770">
      <c r="B770" s="20">
        <v>46260.0</v>
      </c>
      <c r="C770" s="21">
        <f>18</f>
        <v>18</v>
      </c>
      <c r="D770" s="21">
        <f t="shared" ref="D770:O770" si="1409">0</f>
        <v>0</v>
      </c>
      <c r="E770" s="21">
        <f t="shared" si="1409"/>
        <v>0</v>
      </c>
      <c r="F770" s="21">
        <f t="shared" si="1409"/>
        <v>0</v>
      </c>
      <c r="G770" s="21">
        <f t="shared" si="1409"/>
        <v>0</v>
      </c>
      <c r="H770" s="21">
        <f t="shared" si="1409"/>
        <v>0</v>
      </c>
      <c r="I770" s="21">
        <f t="shared" si="1409"/>
        <v>0</v>
      </c>
      <c r="J770" s="21">
        <f t="shared" si="1409"/>
        <v>0</v>
      </c>
      <c r="K770" s="21">
        <f t="shared" si="1409"/>
        <v>0</v>
      </c>
      <c r="L770" s="21">
        <f t="shared" si="1409"/>
        <v>0</v>
      </c>
      <c r="M770" s="21">
        <f t="shared" si="1409"/>
        <v>0</v>
      </c>
      <c r="N770" s="21">
        <f t="shared" si="1409"/>
        <v>0</v>
      </c>
      <c r="O770" s="21">
        <f t="shared" si="1409"/>
        <v>0</v>
      </c>
    </row>
    <row r="771">
      <c r="B771" s="20">
        <v>46260.0</v>
      </c>
      <c r="C771" s="21">
        <f>6</f>
        <v>6</v>
      </c>
      <c r="D771" s="21">
        <f>2</f>
        <v>2</v>
      </c>
      <c r="E771" s="21">
        <f t="shared" ref="E771:G771" si="1410">0</f>
        <v>0</v>
      </c>
      <c r="F771" s="21">
        <f t="shared" si="1410"/>
        <v>0</v>
      </c>
      <c r="G771" s="21">
        <f t="shared" si="1410"/>
        <v>0</v>
      </c>
      <c r="H771" s="21">
        <f>2</f>
        <v>2</v>
      </c>
      <c r="I771" s="21">
        <f>4</f>
        <v>4</v>
      </c>
      <c r="J771" s="21">
        <f t="shared" ref="J771:N771" si="1411">0</f>
        <v>0</v>
      </c>
      <c r="K771" s="21">
        <f t="shared" si="1411"/>
        <v>0</v>
      </c>
      <c r="L771" s="21">
        <f t="shared" si="1411"/>
        <v>0</v>
      </c>
      <c r="M771" s="21">
        <f t="shared" si="1411"/>
        <v>0</v>
      </c>
      <c r="N771" s="21">
        <f t="shared" si="1411"/>
        <v>0</v>
      </c>
      <c r="O771" s="21">
        <f>6</f>
        <v>6</v>
      </c>
    </row>
    <row r="772">
      <c r="B772" s="20">
        <v>46260.0</v>
      </c>
      <c r="C772" s="21">
        <f t="shared" ref="C772:J772" si="1412">0</f>
        <v>0</v>
      </c>
      <c r="D772" s="21">
        <f t="shared" si="1412"/>
        <v>0</v>
      </c>
      <c r="E772" s="21">
        <f t="shared" si="1412"/>
        <v>0</v>
      </c>
      <c r="F772" s="21">
        <f t="shared" si="1412"/>
        <v>0</v>
      </c>
      <c r="G772" s="21">
        <f t="shared" si="1412"/>
        <v>0</v>
      </c>
      <c r="H772" s="21">
        <f t="shared" si="1412"/>
        <v>0</v>
      </c>
      <c r="I772" s="21">
        <f t="shared" si="1412"/>
        <v>0</v>
      </c>
      <c r="J772" s="21">
        <f t="shared" si="1412"/>
        <v>0</v>
      </c>
      <c r="K772" s="21">
        <f>15</f>
        <v>15</v>
      </c>
      <c r="L772" s="21">
        <f>0</f>
        <v>0</v>
      </c>
      <c r="M772" s="21">
        <f>25</f>
        <v>25</v>
      </c>
      <c r="N772" s="21">
        <f>0</f>
        <v>0</v>
      </c>
      <c r="O772" s="21">
        <f>10</f>
        <v>10</v>
      </c>
    </row>
    <row r="773">
      <c r="B773" s="20">
        <v>46260.0</v>
      </c>
      <c r="C773" s="21">
        <f>19.8</f>
        <v>19.8</v>
      </c>
      <c r="D773" s="21">
        <f>2.2</f>
        <v>2.2</v>
      </c>
      <c r="E773" s="21">
        <f t="shared" ref="E773:O773" si="1413">0</f>
        <v>0</v>
      </c>
      <c r="F773" s="21">
        <f t="shared" si="1413"/>
        <v>0</v>
      </c>
      <c r="G773" s="21">
        <f t="shared" si="1413"/>
        <v>0</v>
      </c>
      <c r="H773" s="21">
        <f t="shared" si="1413"/>
        <v>0</v>
      </c>
      <c r="I773" s="21">
        <f t="shared" si="1413"/>
        <v>0</v>
      </c>
      <c r="J773" s="21">
        <f t="shared" si="1413"/>
        <v>0</v>
      </c>
      <c r="K773" s="21">
        <f t="shared" si="1413"/>
        <v>0</v>
      </c>
      <c r="L773" s="21">
        <f t="shared" si="1413"/>
        <v>0</v>
      </c>
      <c r="M773" s="21">
        <f t="shared" si="1413"/>
        <v>0</v>
      </c>
      <c r="N773" s="21">
        <f t="shared" si="1413"/>
        <v>0</v>
      </c>
      <c r="O773" s="21">
        <f t="shared" si="1413"/>
        <v>0</v>
      </c>
    </row>
    <row r="774">
      <c r="B774" s="20">
        <v>46260.0</v>
      </c>
      <c r="C774" s="21">
        <f t="shared" ref="C774:L774" si="1414">0</f>
        <v>0</v>
      </c>
      <c r="D774" s="21">
        <f t="shared" si="1414"/>
        <v>0</v>
      </c>
      <c r="E774" s="21">
        <f t="shared" si="1414"/>
        <v>0</v>
      </c>
      <c r="F774" s="21">
        <f t="shared" si="1414"/>
        <v>0</v>
      </c>
      <c r="G774" s="21">
        <f t="shared" si="1414"/>
        <v>0</v>
      </c>
      <c r="H774" s="21">
        <f t="shared" si="1414"/>
        <v>0</v>
      </c>
      <c r="I774" s="21">
        <f t="shared" si="1414"/>
        <v>0</v>
      </c>
      <c r="J774" s="21">
        <f t="shared" si="1414"/>
        <v>0</v>
      </c>
      <c r="K774" s="21">
        <f t="shared" si="1414"/>
        <v>0</v>
      </c>
      <c r="L774" s="21">
        <f t="shared" si="1414"/>
        <v>0</v>
      </c>
      <c r="M774" s="21">
        <f>20</f>
        <v>20</v>
      </c>
      <c r="N774" s="21">
        <f t="shared" ref="N774:O774" si="1415">0</f>
        <v>0</v>
      </c>
      <c r="O774" s="21">
        <f t="shared" si="1415"/>
        <v>0</v>
      </c>
    </row>
    <row r="775">
      <c r="B775" s="20">
        <v>46260.0</v>
      </c>
      <c r="C775" s="21">
        <f t="shared" ref="C775:H775" si="1416">0</f>
        <v>0</v>
      </c>
      <c r="D775" s="21">
        <f t="shared" si="1416"/>
        <v>0</v>
      </c>
      <c r="E775" s="21">
        <f t="shared" si="1416"/>
        <v>0</v>
      </c>
      <c r="F775" s="21">
        <f t="shared" si="1416"/>
        <v>0</v>
      </c>
      <c r="G775" s="21">
        <f t="shared" si="1416"/>
        <v>0</v>
      </c>
      <c r="H775" s="21">
        <f t="shared" si="1416"/>
        <v>0</v>
      </c>
      <c r="I775" s="21">
        <f>29.7</f>
        <v>29.7</v>
      </c>
      <c r="J775" s="21">
        <f t="shared" ref="J775:M775" si="1417">0</f>
        <v>0</v>
      </c>
      <c r="K775" s="21">
        <f t="shared" si="1417"/>
        <v>0</v>
      </c>
      <c r="L775" s="21">
        <f t="shared" si="1417"/>
        <v>0</v>
      </c>
      <c r="M775" s="21">
        <f t="shared" si="1417"/>
        <v>0</v>
      </c>
      <c r="N775" s="21">
        <f>3.3</f>
        <v>3.3</v>
      </c>
      <c r="O775" s="21">
        <f>0</f>
        <v>0</v>
      </c>
    </row>
    <row r="776">
      <c r="B776" s="20">
        <v>46260.0</v>
      </c>
      <c r="C776" s="21">
        <f>4.4</f>
        <v>4.4</v>
      </c>
      <c r="D776" s="21">
        <f t="shared" ref="D776:F776" si="1418">0</f>
        <v>0</v>
      </c>
      <c r="E776" s="21">
        <f t="shared" si="1418"/>
        <v>0</v>
      </c>
      <c r="F776" s="21">
        <f t="shared" si="1418"/>
        <v>0</v>
      </c>
      <c r="G776" s="21">
        <f>4.4</f>
        <v>4.4</v>
      </c>
      <c r="H776" s="21">
        <f>0</f>
        <v>0</v>
      </c>
      <c r="I776" s="21">
        <f>4.4</f>
        <v>4.4</v>
      </c>
      <c r="J776" s="21">
        <f t="shared" ref="J776:L776" si="1419">0</f>
        <v>0</v>
      </c>
      <c r="K776" s="21">
        <f t="shared" si="1419"/>
        <v>0</v>
      </c>
      <c r="L776" s="21">
        <f t="shared" si="1419"/>
        <v>0</v>
      </c>
      <c r="M776" s="21">
        <f>4.4</f>
        <v>4.4</v>
      </c>
      <c r="N776" s="21">
        <f>0</f>
        <v>0</v>
      </c>
      <c r="O776" s="21">
        <f>4.4</f>
        <v>4.4</v>
      </c>
    </row>
    <row r="777">
      <c r="B777" s="20">
        <v>46261.0</v>
      </c>
      <c r="C777" s="21">
        <f t="shared" ref="C777:H777" si="1420">0</f>
        <v>0</v>
      </c>
      <c r="D777" s="21">
        <f t="shared" si="1420"/>
        <v>0</v>
      </c>
      <c r="E777" s="21">
        <f t="shared" si="1420"/>
        <v>0</v>
      </c>
      <c r="F777" s="21">
        <f t="shared" si="1420"/>
        <v>0</v>
      </c>
      <c r="G777" s="21">
        <f t="shared" si="1420"/>
        <v>0</v>
      </c>
      <c r="H777" s="21">
        <f t="shared" si="1420"/>
        <v>0</v>
      </c>
      <c r="I777" s="21">
        <f>112</f>
        <v>112</v>
      </c>
      <c r="J777" s="21">
        <f t="shared" ref="J777:O777" si="1421">0</f>
        <v>0</v>
      </c>
      <c r="K777" s="21">
        <f t="shared" si="1421"/>
        <v>0</v>
      </c>
      <c r="L777" s="21">
        <f t="shared" si="1421"/>
        <v>0</v>
      </c>
      <c r="M777" s="21">
        <f t="shared" si="1421"/>
        <v>0</v>
      </c>
      <c r="N777" s="21">
        <f t="shared" si="1421"/>
        <v>0</v>
      </c>
      <c r="O777" s="21">
        <f t="shared" si="1421"/>
        <v>0</v>
      </c>
    </row>
    <row r="778">
      <c r="B778" s="20">
        <v>46261.0</v>
      </c>
      <c r="C778" s="21">
        <f t="shared" ref="C778:H778" si="1422">0</f>
        <v>0</v>
      </c>
      <c r="D778" s="21">
        <f t="shared" si="1422"/>
        <v>0</v>
      </c>
      <c r="E778" s="21">
        <f t="shared" si="1422"/>
        <v>0</v>
      </c>
      <c r="F778" s="21">
        <f t="shared" si="1422"/>
        <v>0</v>
      </c>
      <c r="G778" s="21">
        <f t="shared" si="1422"/>
        <v>0</v>
      </c>
      <c r="H778" s="21">
        <f t="shared" si="1422"/>
        <v>0</v>
      </c>
      <c r="I778" s="21">
        <f>34</f>
        <v>34</v>
      </c>
      <c r="J778" s="21">
        <f t="shared" ref="J778:O778" si="1423">0</f>
        <v>0</v>
      </c>
      <c r="K778" s="21">
        <f t="shared" si="1423"/>
        <v>0</v>
      </c>
      <c r="L778" s="21">
        <f t="shared" si="1423"/>
        <v>0</v>
      </c>
      <c r="M778" s="21">
        <f t="shared" si="1423"/>
        <v>0</v>
      </c>
      <c r="N778" s="21">
        <f t="shared" si="1423"/>
        <v>0</v>
      </c>
      <c r="O778" s="21">
        <f t="shared" si="1423"/>
        <v>0</v>
      </c>
    </row>
    <row r="779">
      <c r="B779" s="20">
        <v>46261.0</v>
      </c>
      <c r="C779" s="21">
        <f>5.8</f>
        <v>5.8</v>
      </c>
      <c r="D779" s="21">
        <f t="shared" ref="D779:H779" si="1424">0</f>
        <v>0</v>
      </c>
      <c r="E779" s="21">
        <f t="shared" si="1424"/>
        <v>0</v>
      </c>
      <c r="F779" s="21">
        <f t="shared" si="1424"/>
        <v>0</v>
      </c>
      <c r="G779" s="21">
        <f t="shared" si="1424"/>
        <v>0</v>
      </c>
      <c r="H779" s="21">
        <f t="shared" si="1424"/>
        <v>0</v>
      </c>
      <c r="I779" s="21">
        <f>5.8</f>
        <v>5.8</v>
      </c>
      <c r="J779" s="21">
        <f t="shared" ref="J779:L779" si="1425">0</f>
        <v>0</v>
      </c>
      <c r="K779" s="21">
        <f t="shared" si="1425"/>
        <v>0</v>
      </c>
      <c r="L779" s="21">
        <f t="shared" si="1425"/>
        <v>0</v>
      </c>
      <c r="M779" s="21">
        <f>5.8</f>
        <v>5.8</v>
      </c>
      <c r="N779" s="21">
        <f t="shared" ref="N779:N781" si="1428">0</f>
        <v>0</v>
      </c>
      <c r="O779" s="21">
        <f>11.6</f>
        <v>11.6</v>
      </c>
    </row>
    <row r="780">
      <c r="B780" s="20">
        <v>46261.0</v>
      </c>
      <c r="C780" s="21">
        <f t="shared" ref="C780:F780" si="1426">0</f>
        <v>0</v>
      </c>
      <c r="D780" s="21">
        <f t="shared" si="1426"/>
        <v>0</v>
      </c>
      <c r="E780" s="21">
        <f t="shared" si="1426"/>
        <v>0</v>
      </c>
      <c r="F780" s="21">
        <f t="shared" si="1426"/>
        <v>0</v>
      </c>
      <c r="G780" s="21">
        <f>13.8</f>
        <v>13.8</v>
      </c>
      <c r="H780" s="21">
        <f t="shared" ref="H780:L780" si="1427">0</f>
        <v>0</v>
      </c>
      <c r="I780" s="21">
        <f t="shared" si="1427"/>
        <v>0</v>
      </c>
      <c r="J780" s="21">
        <f t="shared" si="1427"/>
        <v>0</v>
      </c>
      <c r="K780" s="21">
        <f t="shared" si="1427"/>
        <v>0</v>
      </c>
      <c r="L780" s="21">
        <f t="shared" si="1427"/>
        <v>0</v>
      </c>
      <c r="M780" s="21">
        <f>9.2</f>
        <v>9.2</v>
      </c>
      <c r="N780" s="21">
        <f t="shared" si="1428"/>
        <v>0</v>
      </c>
      <c r="O780" s="21">
        <f>0</f>
        <v>0</v>
      </c>
    </row>
    <row r="781">
      <c r="B781" s="20">
        <v>46261.0</v>
      </c>
      <c r="C781" s="21">
        <f>6.9</f>
        <v>6.9</v>
      </c>
      <c r="D781" s="21">
        <f t="shared" ref="D781:F781" si="1429">0</f>
        <v>0</v>
      </c>
      <c r="E781" s="21">
        <f t="shared" si="1429"/>
        <v>0</v>
      </c>
      <c r="F781" s="21">
        <f t="shared" si="1429"/>
        <v>0</v>
      </c>
      <c r="G781" s="21">
        <f>4.6</f>
        <v>4.6</v>
      </c>
      <c r="H781" s="21">
        <f t="shared" ref="H781:L781" si="1430">0</f>
        <v>0</v>
      </c>
      <c r="I781" s="21">
        <f t="shared" si="1430"/>
        <v>0</v>
      </c>
      <c r="J781" s="21">
        <f t="shared" si="1430"/>
        <v>0</v>
      </c>
      <c r="K781" s="21">
        <f t="shared" si="1430"/>
        <v>0</v>
      </c>
      <c r="L781" s="21">
        <f t="shared" si="1430"/>
        <v>0</v>
      </c>
      <c r="M781" s="21">
        <f>6.9</f>
        <v>6.9</v>
      </c>
      <c r="N781" s="21">
        <f t="shared" si="1428"/>
        <v>0</v>
      </c>
      <c r="O781" s="21">
        <f>4.6</f>
        <v>4.6</v>
      </c>
    </row>
    <row r="782">
      <c r="B782" s="20">
        <v>46261.0</v>
      </c>
      <c r="C782" s="21">
        <f>57.6</f>
        <v>57.6</v>
      </c>
      <c r="D782" s="21">
        <f t="shared" ref="D782:H782" si="1431">0</f>
        <v>0</v>
      </c>
      <c r="E782" s="21">
        <f t="shared" si="1431"/>
        <v>0</v>
      </c>
      <c r="F782" s="21">
        <f t="shared" si="1431"/>
        <v>0</v>
      </c>
      <c r="G782" s="21">
        <f t="shared" si="1431"/>
        <v>0</v>
      </c>
      <c r="H782" s="21">
        <f t="shared" si="1431"/>
        <v>0</v>
      </c>
      <c r="I782" s="21">
        <f>38.4</f>
        <v>38.4</v>
      </c>
      <c r="J782" s="21">
        <f t="shared" ref="J782:O782" si="1432">0</f>
        <v>0</v>
      </c>
      <c r="K782" s="21">
        <f t="shared" si="1432"/>
        <v>0</v>
      </c>
      <c r="L782" s="21">
        <f t="shared" si="1432"/>
        <v>0</v>
      </c>
      <c r="M782" s="21">
        <f t="shared" si="1432"/>
        <v>0</v>
      </c>
      <c r="N782" s="21">
        <f t="shared" si="1432"/>
        <v>0</v>
      </c>
      <c r="O782" s="21">
        <f t="shared" si="1432"/>
        <v>0</v>
      </c>
    </row>
    <row r="783">
      <c r="B783" s="20">
        <v>46261.0</v>
      </c>
      <c r="C783" s="21">
        <f>5.8</f>
        <v>5.8</v>
      </c>
      <c r="D783" s="21">
        <f t="shared" ref="D783:H783" si="1433">0</f>
        <v>0</v>
      </c>
      <c r="E783" s="21">
        <f t="shared" si="1433"/>
        <v>0</v>
      </c>
      <c r="F783" s="21">
        <f t="shared" si="1433"/>
        <v>0</v>
      </c>
      <c r="G783" s="21">
        <f t="shared" si="1433"/>
        <v>0</v>
      </c>
      <c r="H783" s="21">
        <f t="shared" si="1433"/>
        <v>0</v>
      </c>
      <c r="I783" s="21">
        <f>2.9</f>
        <v>2.9</v>
      </c>
      <c r="J783" s="21">
        <f>11.6</f>
        <v>11.6</v>
      </c>
      <c r="K783" s="21">
        <f t="shared" ref="K783:M783" si="1434">0</f>
        <v>0</v>
      </c>
      <c r="L783" s="21">
        <f t="shared" si="1434"/>
        <v>0</v>
      </c>
      <c r="M783" s="21">
        <f t="shared" si="1434"/>
        <v>0</v>
      </c>
      <c r="N783" s="21">
        <f>2.9</f>
        <v>2.9</v>
      </c>
      <c r="O783" s="21">
        <f>5.8</f>
        <v>5.8</v>
      </c>
    </row>
    <row r="784">
      <c r="B784" s="20">
        <v>46261.0</v>
      </c>
      <c r="C784" s="21">
        <f t="shared" ref="C784:H784" si="1435">0</f>
        <v>0</v>
      </c>
      <c r="D784" s="21">
        <f t="shared" si="1435"/>
        <v>0</v>
      </c>
      <c r="E784" s="21">
        <f t="shared" si="1435"/>
        <v>0</v>
      </c>
      <c r="F784" s="21">
        <f t="shared" si="1435"/>
        <v>0</v>
      </c>
      <c r="G784" s="21">
        <f t="shared" si="1435"/>
        <v>0</v>
      </c>
      <c r="H784" s="21">
        <f t="shared" si="1435"/>
        <v>0</v>
      </c>
      <c r="I784" s="21">
        <f>43</f>
        <v>43</v>
      </c>
      <c r="J784" s="21">
        <f t="shared" ref="J784:O784" si="1436">0</f>
        <v>0</v>
      </c>
      <c r="K784" s="21">
        <f t="shared" si="1436"/>
        <v>0</v>
      </c>
      <c r="L784" s="21">
        <f t="shared" si="1436"/>
        <v>0</v>
      </c>
      <c r="M784" s="21">
        <f t="shared" si="1436"/>
        <v>0</v>
      </c>
      <c r="N784" s="21">
        <f t="shared" si="1436"/>
        <v>0</v>
      </c>
      <c r="O784" s="21">
        <f t="shared" si="1436"/>
        <v>0</v>
      </c>
    </row>
    <row r="785">
      <c r="B785" s="20">
        <v>46261.0</v>
      </c>
      <c r="C785" s="21">
        <f>10.2</f>
        <v>10.2</v>
      </c>
      <c r="D785" s="21">
        <f t="shared" ref="D785:F785" si="1437">0</f>
        <v>0</v>
      </c>
      <c r="E785" s="21">
        <f t="shared" si="1437"/>
        <v>0</v>
      </c>
      <c r="F785" s="21">
        <f t="shared" si="1437"/>
        <v>0</v>
      </c>
      <c r="G785" s="21">
        <f>6.8</f>
        <v>6.8</v>
      </c>
      <c r="H785" s="21">
        <f>0</f>
        <v>0</v>
      </c>
      <c r="I785" s="21">
        <f>3.4</f>
        <v>3.4</v>
      </c>
      <c r="J785" s="21">
        <f t="shared" ref="J785:L785" si="1438">0</f>
        <v>0</v>
      </c>
      <c r="K785" s="21">
        <f t="shared" si="1438"/>
        <v>0</v>
      </c>
      <c r="L785" s="21">
        <f t="shared" si="1438"/>
        <v>0</v>
      </c>
      <c r="M785" s="21">
        <f>6.8</f>
        <v>6.8</v>
      </c>
      <c r="N785" s="21">
        <f>0</f>
        <v>0</v>
      </c>
      <c r="O785" s="21">
        <f>6.8</f>
        <v>6.8</v>
      </c>
    </row>
    <row r="786">
      <c r="B786" s="20">
        <v>46261.0</v>
      </c>
      <c r="C786" s="21">
        <f>29.5</f>
        <v>29.5</v>
      </c>
      <c r="D786" s="21">
        <f t="shared" ref="D786:H786" si="1439">0</f>
        <v>0</v>
      </c>
      <c r="E786" s="21">
        <f t="shared" si="1439"/>
        <v>0</v>
      </c>
      <c r="F786" s="21">
        <f t="shared" si="1439"/>
        <v>0</v>
      </c>
      <c r="G786" s="21">
        <f t="shared" si="1439"/>
        <v>0</v>
      </c>
      <c r="H786" s="21">
        <f t="shared" si="1439"/>
        <v>0</v>
      </c>
      <c r="I786" s="21">
        <f>29.5</f>
        <v>29.5</v>
      </c>
      <c r="J786" s="21">
        <f t="shared" ref="J786:O786" si="1440">0</f>
        <v>0</v>
      </c>
      <c r="K786" s="21">
        <f t="shared" si="1440"/>
        <v>0</v>
      </c>
      <c r="L786" s="21">
        <f t="shared" si="1440"/>
        <v>0</v>
      </c>
      <c r="M786" s="21">
        <f t="shared" si="1440"/>
        <v>0</v>
      </c>
      <c r="N786" s="21">
        <f t="shared" si="1440"/>
        <v>0</v>
      </c>
      <c r="O786" s="21">
        <f t="shared" si="1440"/>
        <v>0</v>
      </c>
    </row>
    <row r="787">
      <c r="B787" s="20">
        <v>46261.0</v>
      </c>
      <c r="C787" s="21">
        <f>0</f>
        <v>0</v>
      </c>
      <c r="D787" s="21">
        <f>5.2</f>
        <v>5.2</v>
      </c>
      <c r="E787" s="21">
        <f t="shared" ref="E787:H787" si="1441">0</f>
        <v>0</v>
      </c>
      <c r="F787" s="21">
        <f t="shared" si="1441"/>
        <v>0</v>
      </c>
      <c r="G787" s="21">
        <f t="shared" si="1441"/>
        <v>0</v>
      </c>
      <c r="H787" s="21">
        <f t="shared" si="1441"/>
        <v>0</v>
      </c>
      <c r="I787" s="21">
        <f>20.8</f>
        <v>20.8</v>
      </c>
      <c r="J787" s="21">
        <f t="shared" ref="J787:O787" si="1442">0</f>
        <v>0</v>
      </c>
      <c r="K787" s="21">
        <f t="shared" si="1442"/>
        <v>0</v>
      </c>
      <c r="L787" s="21">
        <f t="shared" si="1442"/>
        <v>0</v>
      </c>
      <c r="M787" s="21">
        <f t="shared" si="1442"/>
        <v>0</v>
      </c>
      <c r="N787" s="21">
        <f t="shared" si="1442"/>
        <v>0</v>
      </c>
      <c r="O787" s="21">
        <f t="shared" si="1442"/>
        <v>0</v>
      </c>
    </row>
    <row r="788">
      <c r="B788" s="20">
        <v>46261.0</v>
      </c>
      <c r="C788" s="21">
        <f>31.5</f>
        <v>31.5</v>
      </c>
      <c r="D788" s="21">
        <f t="shared" ref="D788:H788" si="1443">0</f>
        <v>0</v>
      </c>
      <c r="E788" s="21">
        <f t="shared" si="1443"/>
        <v>0</v>
      </c>
      <c r="F788" s="21">
        <f t="shared" si="1443"/>
        <v>0</v>
      </c>
      <c r="G788" s="21">
        <f t="shared" si="1443"/>
        <v>0</v>
      </c>
      <c r="H788" s="21">
        <f t="shared" si="1443"/>
        <v>0</v>
      </c>
      <c r="I788" s="21">
        <f>31.5</f>
        <v>31.5</v>
      </c>
      <c r="J788" s="21">
        <f t="shared" ref="J788:O788" si="1444">0</f>
        <v>0</v>
      </c>
      <c r="K788" s="21">
        <f t="shared" si="1444"/>
        <v>0</v>
      </c>
      <c r="L788" s="21">
        <f t="shared" si="1444"/>
        <v>0</v>
      </c>
      <c r="M788" s="21">
        <f t="shared" si="1444"/>
        <v>0</v>
      </c>
      <c r="N788" s="21">
        <f t="shared" si="1444"/>
        <v>0</v>
      </c>
      <c r="O788" s="21">
        <f t="shared" si="1444"/>
        <v>0</v>
      </c>
    </row>
    <row r="789">
      <c r="B789" s="20">
        <v>46261.0</v>
      </c>
      <c r="C789" s="21">
        <f t="shared" ref="C789:L789" si="1445">0</f>
        <v>0</v>
      </c>
      <c r="D789" s="21">
        <f t="shared" si="1445"/>
        <v>0</v>
      </c>
      <c r="E789" s="21">
        <f t="shared" si="1445"/>
        <v>0</v>
      </c>
      <c r="F789" s="21">
        <f t="shared" si="1445"/>
        <v>0</v>
      </c>
      <c r="G789" s="21">
        <f t="shared" si="1445"/>
        <v>0</v>
      </c>
      <c r="H789" s="21">
        <f t="shared" si="1445"/>
        <v>0</v>
      </c>
      <c r="I789" s="21">
        <f t="shared" si="1445"/>
        <v>0</v>
      </c>
      <c r="J789" s="21">
        <f t="shared" si="1445"/>
        <v>0</v>
      </c>
      <c r="K789" s="21">
        <f t="shared" si="1445"/>
        <v>0</v>
      </c>
      <c r="L789" s="21">
        <f t="shared" si="1445"/>
        <v>0</v>
      </c>
      <c r="M789" s="21">
        <f>12</f>
        <v>12</v>
      </c>
      <c r="N789" s="21">
        <f t="shared" ref="N789:N790" si="1447">0</f>
        <v>0</v>
      </c>
      <c r="O789" s="21">
        <f>8</f>
        <v>8</v>
      </c>
    </row>
    <row r="790">
      <c r="B790" s="20">
        <v>46261.0</v>
      </c>
      <c r="C790" s="21">
        <f>1.8</f>
        <v>1.8</v>
      </c>
      <c r="D790" s="21">
        <f t="shared" ref="D790:L790" si="1446">0</f>
        <v>0</v>
      </c>
      <c r="E790" s="21">
        <f t="shared" si="1446"/>
        <v>0</v>
      </c>
      <c r="F790" s="21">
        <f t="shared" si="1446"/>
        <v>0</v>
      </c>
      <c r="G790" s="21">
        <f t="shared" si="1446"/>
        <v>0</v>
      </c>
      <c r="H790" s="21">
        <f t="shared" si="1446"/>
        <v>0</v>
      </c>
      <c r="I790" s="21">
        <f t="shared" si="1446"/>
        <v>0</v>
      </c>
      <c r="J790" s="21">
        <f t="shared" si="1446"/>
        <v>0</v>
      </c>
      <c r="K790" s="21">
        <f t="shared" si="1446"/>
        <v>0</v>
      </c>
      <c r="L790" s="21">
        <f t="shared" si="1446"/>
        <v>0</v>
      </c>
      <c r="M790" s="21">
        <f>14.4</f>
        <v>14.4</v>
      </c>
      <c r="N790" s="21">
        <f t="shared" si="1447"/>
        <v>0</v>
      </c>
      <c r="O790" s="21">
        <f>1.8</f>
        <v>1.8</v>
      </c>
    </row>
    <row r="791">
      <c r="B791" s="20">
        <v>46261.0</v>
      </c>
      <c r="C791" s="21">
        <f>36</f>
        <v>36</v>
      </c>
      <c r="D791" s="21">
        <f t="shared" ref="D791:N791" si="1448">0</f>
        <v>0</v>
      </c>
      <c r="E791" s="21">
        <f t="shared" si="1448"/>
        <v>0</v>
      </c>
      <c r="F791" s="21">
        <f t="shared" si="1448"/>
        <v>0</v>
      </c>
      <c r="G791" s="21">
        <f t="shared" si="1448"/>
        <v>0</v>
      </c>
      <c r="H791" s="21">
        <f t="shared" si="1448"/>
        <v>0</v>
      </c>
      <c r="I791" s="21">
        <f t="shared" si="1448"/>
        <v>0</v>
      </c>
      <c r="J791" s="21">
        <f t="shared" si="1448"/>
        <v>0</v>
      </c>
      <c r="K791" s="21">
        <f t="shared" si="1448"/>
        <v>0</v>
      </c>
      <c r="L791" s="21">
        <f t="shared" si="1448"/>
        <v>0</v>
      </c>
      <c r="M791" s="21">
        <f t="shared" si="1448"/>
        <v>0</v>
      </c>
      <c r="N791" s="21">
        <f t="shared" si="1448"/>
        <v>0</v>
      </c>
      <c r="O791" s="21">
        <f>4</f>
        <v>4</v>
      </c>
    </row>
    <row r="792">
      <c r="B792" s="20">
        <v>46261.0</v>
      </c>
      <c r="C792" s="21">
        <f>20.5</f>
        <v>20.5</v>
      </c>
      <c r="D792" s="21">
        <f t="shared" ref="D792:H792" si="1449">0</f>
        <v>0</v>
      </c>
      <c r="E792" s="21">
        <f t="shared" si="1449"/>
        <v>0</v>
      </c>
      <c r="F792" s="21">
        <f t="shared" si="1449"/>
        <v>0</v>
      </c>
      <c r="G792" s="21">
        <f t="shared" si="1449"/>
        <v>0</v>
      </c>
      <c r="H792" s="21">
        <f t="shared" si="1449"/>
        <v>0</v>
      </c>
      <c r="I792" s="21">
        <f>4.1</f>
        <v>4.1</v>
      </c>
      <c r="J792" s="21">
        <f t="shared" ref="J792:L792" si="1450">0</f>
        <v>0</v>
      </c>
      <c r="K792" s="21">
        <f t="shared" si="1450"/>
        <v>0</v>
      </c>
      <c r="L792" s="21">
        <f t="shared" si="1450"/>
        <v>0</v>
      </c>
      <c r="M792" s="21">
        <f>12.3</f>
        <v>12.3</v>
      </c>
      <c r="N792" s="21">
        <f>0</f>
        <v>0</v>
      </c>
      <c r="O792" s="21">
        <f>4.1</f>
        <v>4.1</v>
      </c>
    </row>
    <row r="793">
      <c r="B793" s="20">
        <v>46262.0</v>
      </c>
      <c r="C793" s="21">
        <f t="shared" ref="C793:H793" si="1451">0</f>
        <v>0</v>
      </c>
      <c r="D793" s="21">
        <f t="shared" si="1451"/>
        <v>0</v>
      </c>
      <c r="E793" s="21">
        <f t="shared" si="1451"/>
        <v>0</v>
      </c>
      <c r="F793" s="21">
        <f t="shared" si="1451"/>
        <v>0</v>
      </c>
      <c r="G793" s="21">
        <f t="shared" si="1451"/>
        <v>0</v>
      </c>
      <c r="H793" s="21">
        <f t="shared" si="1451"/>
        <v>0</v>
      </c>
      <c r="I793" s="21">
        <f>40</f>
        <v>40</v>
      </c>
      <c r="J793" s="21">
        <f t="shared" ref="J793:N793" si="1452">0</f>
        <v>0</v>
      </c>
      <c r="K793" s="21">
        <f t="shared" si="1452"/>
        <v>0</v>
      </c>
      <c r="L793" s="21">
        <f t="shared" si="1452"/>
        <v>0</v>
      </c>
      <c r="M793" s="21">
        <f t="shared" si="1452"/>
        <v>0</v>
      </c>
      <c r="N793" s="21">
        <f t="shared" si="1452"/>
        <v>0</v>
      </c>
      <c r="O793" s="21">
        <f>10</f>
        <v>10</v>
      </c>
    </row>
    <row r="794">
      <c r="B794" s="20">
        <v>46262.0</v>
      </c>
      <c r="C794" s="21">
        <f>28.8</f>
        <v>28.8</v>
      </c>
      <c r="D794" s="21">
        <f>7.2</f>
        <v>7.2</v>
      </c>
      <c r="E794" s="21">
        <f t="shared" ref="E794:O794" si="1453">0</f>
        <v>0</v>
      </c>
      <c r="F794" s="21">
        <f t="shared" si="1453"/>
        <v>0</v>
      </c>
      <c r="G794" s="21">
        <f t="shared" si="1453"/>
        <v>0</v>
      </c>
      <c r="H794" s="21">
        <f t="shared" si="1453"/>
        <v>0</v>
      </c>
      <c r="I794" s="21">
        <f t="shared" si="1453"/>
        <v>0</v>
      </c>
      <c r="J794" s="21">
        <f t="shared" si="1453"/>
        <v>0</v>
      </c>
      <c r="K794" s="21">
        <f t="shared" si="1453"/>
        <v>0</v>
      </c>
      <c r="L794" s="21">
        <f t="shared" si="1453"/>
        <v>0</v>
      </c>
      <c r="M794" s="21">
        <f t="shared" si="1453"/>
        <v>0</v>
      </c>
      <c r="N794" s="21">
        <f t="shared" si="1453"/>
        <v>0</v>
      </c>
      <c r="O794" s="21">
        <f t="shared" si="1453"/>
        <v>0</v>
      </c>
    </row>
    <row r="795">
      <c r="B795" s="20">
        <v>46262.0</v>
      </c>
      <c r="C795" s="21">
        <f>12.5</f>
        <v>12.5</v>
      </c>
      <c r="D795" s="21">
        <f t="shared" ref="D795:H795" si="1454">0</f>
        <v>0</v>
      </c>
      <c r="E795" s="21">
        <f t="shared" si="1454"/>
        <v>0</v>
      </c>
      <c r="F795" s="21">
        <f t="shared" si="1454"/>
        <v>0</v>
      </c>
      <c r="G795" s="21">
        <f t="shared" si="1454"/>
        <v>0</v>
      </c>
      <c r="H795" s="21">
        <f t="shared" si="1454"/>
        <v>0</v>
      </c>
      <c r="I795" s="21">
        <f>12.5</f>
        <v>12.5</v>
      </c>
      <c r="J795" s="21">
        <f t="shared" ref="J795:O795" si="1455">0</f>
        <v>0</v>
      </c>
      <c r="K795" s="21">
        <f t="shared" si="1455"/>
        <v>0</v>
      </c>
      <c r="L795" s="21">
        <f t="shared" si="1455"/>
        <v>0</v>
      </c>
      <c r="M795" s="21">
        <f t="shared" si="1455"/>
        <v>0</v>
      </c>
      <c r="N795" s="21">
        <f t="shared" si="1455"/>
        <v>0</v>
      </c>
      <c r="O795" s="21">
        <f t="shared" si="1455"/>
        <v>0</v>
      </c>
    </row>
    <row r="796">
      <c r="B796" s="20">
        <v>46262.0</v>
      </c>
      <c r="C796" s="21">
        <f>16.2</f>
        <v>16.2</v>
      </c>
      <c r="D796" s="21">
        <f>0</f>
        <v>0</v>
      </c>
      <c r="E796" s="21">
        <f>2.7</f>
        <v>2.7</v>
      </c>
      <c r="F796" s="21">
        <f>8.1</f>
        <v>8.1</v>
      </c>
      <c r="G796" s="21">
        <f t="shared" ref="G796:O796" si="1456">0</f>
        <v>0</v>
      </c>
      <c r="H796" s="21">
        <f t="shared" si="1456"/>
        <v>0</v>
      </c>
      <c r="I796" s="21">
        <f t="shared" si="1456"/>
        <v>0</v>
      </c>
      <c r="J796" s="21">
        <f t="shared" si="1456"/>
        <v>0</v>
      </c>
      <c r="K796" s="21">
        <f t="shared" si="1456"/>
        <v>0</v>
      </c>
      <c r="L796" s="21">
        <f t="shared" si="1456"/>
        <v>0</v>
      </c>
      <c r="M796" s="21">
        <f t="shared" si="1456"/>
        <v>0</v>
      </c>
      <c r="N796" s="21">
        <f t="shared" si="1456"/>
        <v>0</v>
      </c>
      <c r="O796" s="21">
        <f t="shared" si="1456"/>
        <v>0</v>
      </c>
    </row>
    <row r="797">
      <c r="B797" s="20">
        <v>46262.0</v>
      </c>
      <c r="C797" s="21">
        <v>0.0</v>
      </c>
      <c r="D797" s="21">
        <v>0.0</v>
      </c>
      <c r="E797" s="21">
        <v>0.0</v>
      </c>
      <c r="F797" s="21">
        <v>0.0</v>
      </c>
      <c r="G797" s="21">
        <v>0.0</v>
      </c>
      <c r="H797" s="21">
        <v>0.0</v>
      </c>
      <c r="I797" s="21">
        <v>0.0</v>
      </c>
      <c r="J797" s="21">
        <v>0.0</v>
      </c>
      <c r="K797" s="21">
        <v>0.0</v>
      </c>
      <c r="L797" s="21">
        <v>0.0</v>
      </c>
      <c r="M797" s="21">
        <v>0.0</v>
      </c>
      <c r="N797" s="21">
        <v>0.0</v>
      </c>
      <c r="O797" s="21">
        <f>50</f>
        <v>50</v>
      </c>
    </row>
    <row r="798">
      <c r="B798" s="20">
        <v>46262.0</v>
      </c>
      <c r="C798" s="21">
        <v>0.0</v>
      </c>
      <c r="D798" s="21">
        <v>0.0</v>
      </c>
      <c r="E798" s="21">
        <v>0.0</v>
      </c>
      <c r="F798" s="21">
        <v>0.0</v>
      </c>
      <c r="G798" s="21">
        <v>0.0</v>
      </c>
      <c r="H798" s="21">
        <v>0.0</v>
      </c>
      <c r="I798" s="21">
        <v>0.0</v>
      </c>
      <c r="J798" s="21">
        <v>0.0</v>
      </c>
      <c r="K798" s="21">
        <v>0.0</v>
      </c>
      <c r="L798" s="21">
        <v>0.0</v>
      </c>
      <c r="M798" s="21">
        <v>0.0</v>
      </c>
      <c r="N798" s="21">
        <v>0.0</v>
      </c>
      <c r="O798" s="21">
        <f>17</f>
        <v>17</v>
      </c>
    </row>
    <row r="799">
      <c r="B799" s="20">
        <v>46262.0</v>
      </c>
      <c r="C799" s="21">
        <f t="shared" ref="C799:E799" si="1457">0</f>
        <v>0</v>
      </c>
      <c r="D799" s="21">
        <f t="shared" si="1457"/>
        <v>0</v>
      </c>
      <c r="E799" s="21">
        <f t="shared" si="1457"/>
        <v>0</v>
      </c>
      <c r="F799" s="21">
        <f>22</f>
        <v>22</v>
      </c>
      <c r="G799" s="21">
        <f t="shared" ref="G799:N799" si="1458">0</f>
        <v>0</v>
      </c>
      <c r="H799" s="21">
        <f t="shared" si="1458"/>
        <v>0</v>
      </c>
      <c r="I799" s="21">
        <f t="shared" si="1458"/>
        <v>0</v>
      </c>
      <c r="J799" s="21">
        <f t="shared" si="1458"/>
        <v>0</v>
      </c>
      <c r="K799" s="21">
        <f t="shared" si="1458"/>
        <v>0</v>
      </c>
      <c r="L799" s="21">
        <f t="shared" si="1458"/>
        <v>0</v>
      </c>
      <c r="M799" s="21">
        <f t="shared" si="1458"/>
        <v>0</v>
      </c>
      <c r="N799" s="21">
        <f t="shared" si="1458"/>
        <v>0</v>
      </c>
      <c r="O799" s="21">
        <f>22</f>
        <v>22</v>
      </c>
    </row>
    <row r="800">
      <c r="B800" s="20">
        <v>46262.0</v>
      </c>
      <c r="C800" s="21">
        <f t="shared" ref="C800:F800" si="1459">0</f>
        <v>0</v>
      </c>
      <c r="D800" s="21">
        <f t="shared" si="1459"/>
        <v>0</v>
      </c>
      <c r="E800" s="21">
        <f t="shared" si="1459"/>
        <v>0</v>
      </c>
      <c r="F800" s="21">
        <f t="shared" si="1459"/>
        <v>0</v>
      </c>
      <c r="G800" s="21">
        <f>36</f>
        <v>36</v>
      </c>
      <c r="H800" s="21">
        <f>0</f>
        <v>0</v>
      </c>
      <c r="I800" s="21">
        <f>24</f>
        <v>24</v>
      </c>
      <c r="J800" s="21">
        <f t="shared" ref="J800:O800" si="1460">0</f>
        <v>0</v>
      </c>
      <c r="K800" s="21">
        <f t="shared" si="1460"/>
        <v>0</v>
      </c>
      <c r="L800" s="21">
        <f t="shared" si="1460"/>
        <v>0</v>
      </c>
      <c r="M800" s="21">
        <f t="shared" si="1460"/>
        <v>0</v>
      </c>
      <c r="N800" s="21">
        <f t="shared" si="1460"/>
        <v>0</v>
      </c>
      <c r="O800" s="21">
        <f t="shared" si="1460"/>
        <v>0</v>
      </c>
    </row>
    <row r="801">
      <c r="B801" s="20">
        <v>46262.0</v>
      </c>
      <c r="C801" s="21">
        <f t="shared" ref="C801:H801" si="1461">0</f>
        <v>0</v>
      </c>
      <c r="D801" s="21">
        <f t="shared" si="1461"/>
        <v>0</v>
      </c>
      <c r="E801" s="21">
        <f t="shared" si="1461"/>
        <v>0</v>
      </c>
      <c r="F801" s="21">
        <f t="shared" si="1461"/>
        <v>0</v>
      </c>
      <c r="G801" s="21">
        <f t="shared" si="1461"/>
        <v>0</v>
      </c>
      <c r="H801" s="21">
        <f t="shared" si="1461"/>
        <v>0</v>
      </c>
      <c r="I801" s="21">
        <f>13.2</f>
        <v>13.2</v>
      </c>
      <c r="J801" s="21">
        <f t="shared" ref="J801:M801" si="1462">0</f>
        <v>0</v>
      </c>
      <c r="K801" s="21">
        <f t="shared" si="1462"/>
        <v>0</v>
      </c>
      <c r="L801" s="21">
        <f t="shared" si="1462"/>
        <v>0</v>
      </c>
      <c r="M801" s="21">
        <f t="shared" si="1462"/>
        <v>0</v>
      </c>
      <c r="N801" s="21">
        <f>8.8</f>
        <v>8.8</v>
      </c>
      <c r="O801" s="21">
        <f>0</f>
        <v>0</v>
      </c>
    </row>
    <row r="802">
      <c r="B802" s="20">
        <v>46262.0</v>
      </c>
      <c r="C802" s="21">
        <f>15</f>
        <v>15</v>
      </c>
      <c r="D802" s="21">
        <f t="shared" ref="D802:H802" si="1463">0</f>
        <v>0</v>
      </c>
      <c r="E802" s="21">
        <f t="shared" si="1463"/>
        <v>0</v>
      </c>
      <c r="F802" s="21">
        <f t="shared" si="1463"/>
        <v>0</v>
      </c>
      <c r="G802" s="21">
        <f t="shared" si="1463"/>
        <v>0</v>
      </c>
      <c r="H802" s="21">
        <f t="shared" si="1463"/>
        <v>0</v>
      </c>
      <c r="I802" s="21">
        <f>60</f>
        <v>60</v>
      </c>
      <c r="J802" s="21">
        <f t="shared" ref="J802:O802" si="1464">0</f>
        <v>0</v>
      </c>
      <c r="K802" s="21">
        <f t="shared" si="1464"/>
        <v>0</v>
      </c>
      <c r="L802" s="21">
        <f t="shared" si="1464"/>
        <v>0</v>
      </c>
      <c r="M802" s="21">
        <f t="shared" si="1464"/>
        <v>0</v>
      </c>
      <c r="N802" s="21">
        <f t="shared" si="1464"/>
        <v>0</v>
      </c>
      <c r="O802" s="21">
        <f t="shared" si="1464"/>
        <v>0</v>
      </c>
    </row>
    <row r="803">
      <c r="B803" s="20">
        <v>46262.0</v>
      </c>
      <c r="C803" s="21">
        <f t="shared" ref="C803:H803" si="1465">0</f>
        <v>0</v>
      </c>
      <c r="D803" s="21">
        <f t="shared" si="1465"/>
        <v>0</v>
      </c>
      <c r="E803" s="21">
        <f t="shared" si="1465"/>
        <v>0</v>
      </c>
      <c r="F803" s="21">
        <f t="shared" si="1465"/>
        <v>0</v>
      </c>
      <c r="G803" s="21">
        <f t="shared" si="1465"/>
        <v>0</v>
      </c>
      <c r="H803" s="21">
        <f t="shared" si="1465"/>
        <v>0</v>
      </c>
      <c r="I803" s="21">
        <f>16.5</f>
        <v>16.5</v>
      </c>
      <c r="J803" s="21">
        <f t="shared" ref="J803:L803" si="1466">0</f>
        <v>0</v>
      </c>
      <c r="K803" s="21">
        <f t="shared" si="1466"/>
        <v>0</v>
      </c>
      <c r="L803" s="21">
        <f t="shared" si="1466"/>
        <v>0</v>
      </c>
      <c r="M803" s="21">
        <f>38.5</f>
        <v>38.5</v>
      </c>
      <c r="N803" s="21">
        <f t="shared" ref="N803:O803" si="1467">0</f>
        <v>0</v>
      </c>
      <c r="O803" s="21">
        <f t="shared" si="1467"/>
        <v>0</v>
      </c>
    </row>
    <row r="804">
      <c r="B804" s="20">
        <v>46262.0</v>
      </c>
      <c r="C804" s="21">
        <v>0.0</v>
      </c>
      <c r="D804" s="21">
        <v>0.0</v>
      </c>
      <c r="E804" s="21">
        <v>0.0</v>
      </c>
      <c r="F804" s="21">
        <v>0.0</v>
      </c>
      <c r="G804" s="21">
        <v>0.0</v>
      </c>
      <c r="H804" s="21">
        <v>0.0</v>
      </c>
      <c r="I804" s="21">
        <v>0.0</v>
      </c>
      <c r="J804" s="21">
        <v>0.0</v>
      </c>
      <c r="K804" s="21">
        <v>0.0</v>
      </c>
      <c r="L804" s="21">
        <v>0.0</v>
      </c>
      <c r="M804" s="21">
        <v>0.0</v>
      </c>
      <c r="N804" s="21">
        <v>0.0</v>
      </c>
      <c r="O804" s="21">
        <f>68</f>
        <v>68</v>
      </c>
    </row>
    <row r="805">
      <c r="B805" s="20">
        <v>46262.0</v>
      </c>
      <c r="C805" s="21">
        <v>0.0</v>
      </c>
      <c r="D805" s="21">
        <v>0.0</v>
      </c>
      <c r="E805" s="21">
        <v>0.0</v>
      </c>
      <c r="F805" s="21">
        <v>0.0</v>
      </c>
      <c r="G805" s="21">
        <v>0.0</v>
      </c>
      <c r="H805" s="21">
        <v>0.0</v>
      </c>
      <c r="I805" s="21">
        <v>0.0</v>
      </c>
      <c r="J805" s="21">
        <v>0.0</v>
      </c>
      <c r="K805" s="21">
        <v>0.0</v>
      </c>
      <c r="L805" s="21">
        <v>0.0</v>
      </c>
      <c r="M805" s="21">
        <v>0.0</v>
      </c>
      <c r="N805" s="21">
        <v>0.0</v>
      </c>
      <c r="O805" s="21">
        <f>48</f>
        <v>48</v>
      </c>
    </row>
    <row r="806">
      <c r="B806" s="20">
        <v>46262.0</v>
      </c>
      <c r="C806" s="21">
        <f t="shared" ref="C806:H806" si="1468">0</f>
        <v>0</v>
      </c>
      <c r="D806" s="21">
        <f t="shared" si="1468"/>
        <v>0</v>
      </c>
      <c r="E806" s="21">
        <f t="shared" si="1468"/>
        <v>0</v>
      </c>
      <c r="F806" s="21">
        <f t="shared" si="1468"/>
        <v>0</v>
      </c>
      <c r="G806" s="21">
        <f t="shared" si="1468"/>
        <v>0</v>
      </c>
      <c r="H806" s="21">
        <f t="shared" si="1468"/>
        <v>0</v>
      </c>
      <c r="I806" s="21">
        <f>4</f>
        <v>4</v>
      </c>
      <c r="J806" s="21">
        <f t="shared" ref="J806:L806" si="1469">0</f>
        <v>0</v>
      </c>
      <c r="K806" s="21">
        <f t="shared" si="1469"/>
        <v>0</v>
      </c>
      <c r="L806" s="21">
        <f t="shared" si="1469"/>
        <v>0</v>
      </c>
      <c r="M806" s="21">
        <f>16</f>
        <v>16</v>
      </c>
      <c r="N806" s="21">
        <f t="shared" ref="N806:O806" si="1470">0</f>
        <v>0</v>
      </c>
      <c r="O806" s="21">
        <f t="shared" si="1470"/>
        <v>0</v>
      </c>
    </row>
    <row r="807">
      <c r="B807" s="20">
        <v>46262.0</v>
      </c>
      <c r="C807" s="21">
        <f>35</f>
        <v>35</v>
      </c>
      <c r="D807" s="21">
        <f t="shared" ref="D807:H807" si="1471">0</f>
        <v>0</v>
      </c>
      <c r="E807" s="21">
        <f t="shared" si="1471"/>
        <v>0</v>
      </c>
      <c r="F807" s="21">
        <f t="shared" si="1471"/>
        <v>0</v>
      </c>
      <c r="G807" s="21">
        <f t="shared" si="1471"/>
        <v>0</v>
      </c>
      <c r="H807" s="21">
        <f t="shared" si="1471"/>
        <v>0</v>
      </c>
      <c r="I807" s="21">
        <f>35</f>
        <v>35</v>
      </c>
      <c r="J807" s="21">
        <f t="shared" ref="J807:O807" si="1472">0</f>
        <v>0</v>
      </c>
      <c r="K807" s="21">
        <f t="shared" si="1472"/>
        <v>0</v>
      </c>
      <c r="L807" s="21">
        <f t="shared" si="1472"/>
        <v>0</v>
      </c>
      <c r="M807" s="21">
        <f t="shared" si="1472"/>
        <v>0</v>
      </c>
      <c r="N807" s="21">
        <f t="shared" si="1472"/>
        <v>0</v>
      </c>
      <c r="O807" s="21">
        <f t="shared" si="1472"/>
        <v>0</v>
      </c>
    </row>
    <row r="808">
      <c r="B808" s="20">
        <v>46262.0</v>
      </c>
      <c r="C808" s="21">
        <v>0.0</v>
      </c>
      <c r="D808" s="21">
        <v>0.0</v>
      </c>
      <c r="E808" s="21">
        <v>0.0</v>
      </c>
      <c r="F808" s="21">
        <v>0.0</v>
      </c>
      <c r="G808" s="21">
        <v>0.0</v>
      </c>
      <c r="H808" s="21">
        <v>0.0</v>
      </c>
      <c r="I808" s="21">
        <v>0.0</v>
      </c>
      <c r="J808" s="21">
        <v>0.0</v>
      </c>
      <c r="K808" s="21">
        <v>0.0</v>
      </c>
      <c r="L808" s="21">
        <v>0.0</v>
      </c>
      <c r="M808" s="21">
        <v>0.0</v>
      </c>
      <c r="N808" s="21">
        <v>0.0</v>
      </c>
      <c r="O808" s="21">
        <f>51</f>
        <v>51</v>
      </c>
    </row>
    <row r="809">
      <c r="B809" s="20">
        <v>46262.0</v>
      </c>
      <c r="C809" s="21">
        <f t="shared" ref="C809:H809" si="1473">0</f>
        <v>0</v>
      </c>
      <c r="D809" s="21">
        <f t="shared" si="1473"/>
        <v>0</v>
      </c>
      <c r="E809" s="21">
        <f t="shared" si="1473"/>
        <v>0</v>
      </c>
      <c r="F809" s="21">
        <f t="shared" si="1473"/>
        <v>0</v>
      </c>
      <c r="G809" s="21">
        <f t="shared" si="1473"/>
        <v>0</v>
      </c>
      <c r="H809" s="21">
        <f t="shared" si="1473"/>
        <v>0</v>
      </c>
      <c r="I809" s="21">
        <f>25.6</f>
        <v>25.6</v>
      </c>
      <c r="J809" s="21">
        <f t="shared" ref="J809:L809" si="1474">0</f>
        <v>0</v>
      </c>
      <c r="K809" s="21">
        <f t="shared" si="1474"/>
        <v>0</v>
      </c>
      <c r="L809" s="21">
        <f t="shared" si="1474"/>
        <v>0</v>
      </c>
      <c r="M809" s="21">
        <f>32</f>
        <v>32</v>
      </c>
      <c r="N809" s="21">
        <f>6.4</f>
        <v>6.4</v>
      </c>
      <c r="O809" s="21">
        <f>0</f>
        <v>0</v>
      </c>
    </row>
    <row r="810">
      <c r="B810" s="20">
        <v>46262.0</v>
      </c>
      <c r="C810" s="21">
        <f t="shared" ref="C810:H810" si="1475">0</f>
        <v>0</v>
      </c>
      <c r="D810" s="21">
        <f t="shared" si="1475"/>
        <v>0</v>
      </c>
      <c r="E810" s="21">
        <f t="shared" si="1475"/>
        <v>0</v>
      </c>
      <c r="F810" s="21">
        <f t="shared" si="1475"/>
        <v>0</v>
      </c>
      <c r="G810" s="21">
        <f t="shared" si="1475"/>
        <v>0</v>
      </c>
      <c r="H810" s="21">
        <f t="shared" si="1475"/>
        <v>0</v>
      </c>
      <c r="I810" s="21">
        <f>25.5</f>
        <v>25.5</v>
      </c>
      <c r="J810" s="21">
        <f t="shared" ref="J810:L810" si="1476">0</f>
        <v>0</v>
      </c>
      <c r="K810" s="21">
        <f t="shared" si="1476"/>
        <v>0</v>
      </c>
      <c r="L810" s="21">
        <f t="shared" si="1476"/>
        <v>0</v>
      </c>
      <c r="M810" s="21">
        <f>25.5</f>
        <v>25.5</v>
      </c>
      <c r="N810" s="21">
        <f t="shared" ref="N810:O810" si="1477">0</f>
        <v>0</v>
      </c>
      <c r="O810" s="21">
        <f t="shared" si="1477"/>
        <v>0</v>
      </c>
    </row>
    <row r="811">
      <c r="B811" s="20">
        <v>46262.0</v>
      </c>
      <c r="C811" s="21">
        <f t="shared" ref="C811:F811" si="1478">0</f>
        <v>0</v>
      </c>
      <c r="D811" s="21">
        <f t="shared" si="1478"/>
        <v>0</v>
      </c>
      <c r="E811" s="21">
        <f t="shared" si="1478"/>
        <v>0</v>
      </c>
      <c r="F811" s="21">
        <f t="shared" si="1478"/>
        <v>0</v>
      </c>
      <c r="G811" s="21">
        <f>27.9</f>
        <v>27.9</v>
      </c>
      <c r="H811" s="21">
        <f>0</f>
        <v>0</v>
      </c>
      <c r="I811" s="21">
        <f>65.1</f>
        <v>65.1</v>
      </c>
      <c r="J811" s="21">
        <f t="shared" ref="J811:O811" si="1479">0</f>
        <v>0</v>
      </c>
      <c r="K811" s="21">
        <f t="shared" si="1479"/>
        <v>0</v>
      </c>
      <c r="L811" s="21">
        <f t="shared" si="1479"/>
        <v>0</v>
      </c>
      <c r="M811" s="21">
        <f t="shared" si="1479"/>
        <v>0</v>
      </c>
      <c r="N811" s="21">
        <f t="shared" si="1479"/>
        <v>0</v>
      </c>
      <c r="O811" s="21">
        <f t="shared" si="1479"/>
        <v>0</v>
      </c>
    </row>
    <row r="812">
      <c r="B812" s="20">
        <v>46262.0</v>
      </c>
      <c r="C812" s="21">
        <f t="shared" ref="C812:H812" si="1480">0</f>
        <v>0</v>
      </c>
      <c r="D812" s="21">
        <f t="shared" si="1480"/>
        <v>0</v>
      </c>
      <c r="E812" s="21">
        <f t="shared" si="1480"/>
        <v>0</v>
      </c>
      <c r="F812" s="21">
        <f t="shared" si="1480"/>
        <v>0</v>
      </c>
      <c r="G812" s="21">
        <f t="shared" si="1480"/>
        <v>0</v>
      </c>
      <c r="H812" s="21">
        <f t="shared" si="1480"/>
        <v>0</v>
      </c>
      <c r="I812" s="21">
        <f>88</f>
        <v>88</v>
      </c>
      <c r="J812" s="21">
        <f t="shared" ref="J812:O812" si="1481">0</f>
        <v>0</v>
      </c>
      <c r="K812" s="21">
        <f t="shared" si="1481"/>
        <v>0</v>
      </c>
      <c r="L812" s="21">
        <f t="shared" si="1481"/>
        <v>0</v>
      </c>
      <c r="M812" s="21">
        <f t="shared" si="1481"/>
        <v>0</v>
      </c>
      <c r="N812" s="21">
        <f t="shared" si="1481"/>
        <v>0</v>
      </c>
      <c r="O812" s="21">
        <f t="shared" si="1481"/>
        <v>0</v>
      </c>
    </row>
    <row r="813">
      <c r="B813" s="20">
        <v>46262.0</v>
      </c>
      <c r="C813" s="21">
        <f t="shared" ref="C813:H813" si="1482">0</f>
        <v>0</v>
      </c>
      <c r="D813" s="21">
        <f t="shared" si="1482"/>
        <v>0</v>
      </c>
      <c r="E813" s="21">
        <f t="shared" si="1482"/>
        <v>0</v>
      </c>
      <c r="F813" s="21">
        <f t="shared" si="1482"/>
        <v>0</v>
      </c>
      <c r="G813" s="21">
        <f t="shared" si="1482"/>
        <v>0</v>
      </c>
      <c r="H813" s="21">
        <f t="shared" si="1482"/>
        <v>0</v>
      </c>
      <c r="I813" s="21">
        <f>70</f>
        <v>70</v>
      </c>
      <c r="J813" s="21">
        <f t="shared" ref="J813:O813" si="1483">0</f>
        <v>0</v>
      </c>
      <c r="K813" s="21">
        <f t="shared" si="1483"/>
        <v>0</v>
      </c>
      <c r="L813" s="21">
        <f t="shared" si="1483"/>
        <v>0</v>
      </c>
      <c r="M813" s="21">
        <f t="shared" si="1483"/>
        <v>0</v>
      </c>
      <c r="N813" s="21">
        <f t="shared" si="1483"/>
        <v>0</v>
      </c>
      <c r="O813" s="21">
        <f t="shared" si="1483"/>
        <v>0</v>
      </c>
    </row>
    <row r="814">
      <c r="B814" s="20">
        <v>46262.0</v>
      </c>
      <c r="C814" s="21">
        <f>82</f>
        <v>82</v>
      </c>
      <c r="D814" s="21">
        <f t="shared" ref="D814:O814" si="1484">0</f>
        <v>0</v>
      </c>
      <c r="E814" s="21">
        <f t="shared" si="1484"/>
        <v>0</v>
      </c>
      <c r="F814" s="21">
        <f t="shared" si="1484"/>
        <v>0</v>
      </c>
      <c r="G814" s="21">
        <f t="shared" si="1484"/>
        <v>0</v>
      </c>
      <c r="H814" s="21">
        <f t="shared" si="1484"/>
        <v>0</v>
      </c>
      <c r="I814" s="21">
        <f t="shared" si="1484"/>
        <v>0</v>
      </c>
      <c r="J814" s="21">
        <f t="shared" si="1484"/>
        <v>0</v>
      </c>
      <c r="K814" s="21">
        <f t="shared" si="1484"/>
        <v>0</v>
      </c>
      <c r="L814" s="21">
        <f t="shared" si="1484"/>
        <v>0</v>
      </c>
      <c r="M814" s="21">
        <f t="shared" si="1484"/>
        <v>0</v>
      </c>
      <c r="N814" s="21">
        <f t="shared" si="1484"/>
        <v>0</v>
      </c>
      <c r="O814" s="21">
        <f t="shared" si="1484"/>
        <v>0</v>
      </c>
    </row>
    <row r="815">
      <c r="B815" s="20">
        <v>46263.0</v>
      </c>
      <c r="C815" s="21">
        <f t="shared" ref="C815:L815" si="1485">0</f>
        <v>0</v>
      </c>
      <c r="D815" s="21">
        <f t="shared" si="1485"/>
        <v>0</v>
      </c>
      <c r="E815" s="21">
        <f t="shared" si="1485"/>
        <v>0</v>
      </c>
      <c r="F815" s="21">
        <f t="shared" si="1485"/>
        <v>0</v>
      </c>
      <c r="G815" s="21">
        <f t="shared" si="1485"/>
        <v>0</v>
      </c>
      <c r="H815" s="21">
        <f t="shared" si="1485"/>
        <v>0</v>
      </c>
      <c r="I815" s="21">
        <f t="shared" si="1485"/>
        <v>0</v>
      </c>
      <c r="J815" s="21">
        <f t="shared" si="1485"/>
        <v>0</v>
      </c>
      <c r="K815" s="21">
        <f t="shared" si="1485"/>
        <v>0</v>
      </c>
      <c r="L815" s="21">
        <f t="shared" si="1485"/>
        <v>0</v>
      </c>
      <c r="M815" s="21">
        <f>41</f>
        <v>41</v>
      </c>
      <c r="N815" s="21">
        <f t="shared" ref="N815:O815" si="1486">0</f>
        <v>0</v>
      </c>
      <c r="O815" s="21">
        <f t="shared" si="1486"/>
        <v>0</v>
      </c>
    </row>
    <row r="816">
      <c r="B816" s="20">
        <v>46263.0</v>
      </c>
      <c r="C816" s="21">
        <v>0.0</v>
      </c>
      <c r="D816" s="21">
        <v>0.0</v>
      </c>
      <c r="E816" s="21">
        <v>0.0</v>
      </c>
      <c r="F816" s="21">
        <v>0.0</v>
      </c>
      <c r="G816" s="21">
        <v>0.0</v>
      </c>
      <c r="H816" s="21">
        <v>0.0</v>
      </c>
      <c r="I816" s="21">
        <v>0.0</v>
      </c>
      <c r="J816" s="21">
        <v>0.0</v>
      </c>
      <c r="K816" s="21">
        <v>0.0</v>
      </c>
      <c r="L816" s="21">
        <v>0.0</v>
      </c>
      <c r="M816" s="21">
        <v>0.0</v>
      </c>
      <c r="N816" s="21">
        <v>0.0</v>
      </c>
      <c r="O816" s="21">
        <f>32</f>
        <v>32</v>
      </c>
    </row>
    <row r="817">
      <c r="B817" s="20">
        <v>46263.0</v>
      </c>
      <c r="C817" s="21">
        <f t="shared" ref="C817:H817" si="1487">0</f>
        <v>0</v>
      </c>
      <c r="D817" s="21">
        <f t="shared" si="1487"/>
        <v>0</v>
      </c>
      <c r="E817" s="21">
        <f t="shared" si="1487"/>
        <v>0</v>
      </c>
      <c r="F817" s="21">
        <f t="shared" si="1487"/>
        <v>0</v>
      </c>
      <c r="G817" s="21">
        <f t="shared" si="1487"/>
        <v>0</v>
      </c>
      <c r="H817" s="21">
        <f t="shared" si="1487"/>
        <v>0</v>
      </c>
      <c r="I817" s="21">
        <f>40.5</f>
        <v>40.5</v>
      </c>
      <c r="J817" s="21">
        <f t="shared" ref="J817:L817" si="1488">0</f>
        <v>0</v>
      </c>
      <c r="K817" s="21">
        <f t="shared" si="1488"/>
        <v>0</v>
      </c>
      <c r="L817" s="21">
        <f t="shared" si="1488"/>
        <v>0</v>
      </c>
      <c r="M817" s="21">
        <f>4.5</f>
        <v>4.5</v>
      </c>
      <c r="N817" s="21">
        <f t="shared" ref="N817:O817" si="1489">0</f>
        <v>0</v>
      </c>
      <c r="O817" s="21">
        <f t="shared" si="1489"/>
        <v>0</v>
      </c>
    </row>
    <row r="818">
      <c r="B818" s="20">
        <v>46263.0</v>
      </c>
      <c r="C818" s="21">
        <f t="shared" ref="C818:I818" si="1490">0</f>
        <v>0</v>
      </c>
      <c r="D818" s="21">
        <f t="shared" si="1490"/>
        <v>0</v>
      </c>
      <c r="E818" s="21">
        <f t="shared" si="1490"/>
        <v>0</v>
      </c>
      <c r="F818" s="21">
        <f t="shared" si="1490"/>
        <v>0</v>
      </c>
      <c r="G818" s="21">
        <f t="shared" si="1490"/>
        <v>0</v>
      </c>
      <c r="H818" s="21">
        <f t="shared" si="1490"/>
        <v>0</v>
      </c>
      <c r="I818" s="21">
        <f t="shared" si="1490"/>
        <v>0</v>
      </c>
      <c r="J818" s="21">
        <f>136</f>
        <v>136</v>
      </c>
      <c r="K818" s="21">
        <f t="shared" ref="K818:O818" si="1491">0</f>
        <v>0</v>
      </c>
      <c r="L818" s="21">
        <f t="shared" si="1491"/>
        <v>0</v>
      </c>
      <c r="M818" s="21">
        <f t="shared" si="1491"/>
        <v>0</v>
      </c>
      <c r="N818" s="21">
        <f t="shared" si="1491"/>
        <v>0</v>
      </c>
      <c r="O818" s="21">
        <f t="shared" si="1491"/>
        <v>0</v>
      </c>
    </row>
    <row r="819">
      <c r="B819" s="20">
        <v>46263.0</v>
      </c>
      <c r="C819" s="21">
        <f t="shared" ref="C819:H819" si="1492">0</f>
        <v>0</v>
      </c>
      <c r="D819" s="21">
        <f t="shared" si="1492"/>
        <v>0</v>
      </c>
      <c r="E819" s="21">
        <f t="shared" si="1492"/>
        <v>0</v>
      </c>
      <c r="F819" s="21">
        <f t="shared" si="1492"/>
        <v>0</v>
      </c>
      <c r="G819" s="21">
        <f t="shared" si="1492"/>
        <v>0</v>
      </c>
      <c r="H819" s="21">
        <f t="shared" si="1492"/>
        <v>0</v>
      </c>
      <c r="I819" s="21">
        <f>26</f>
        <v>26</v>
      </c>
      <c r="J819" s="21">
        <f t="shared" ref="J819:O819" si="1493">0</f>
        <v>0</v>
      </c>
      <c r="K819" s="21">
        <f t="shared" si="1493"/>
        <v>0</v>
      </c>
      <c r="L819" s="21">
        <f t="shared" si="1493"/>
        <v>0</v>
      </c>
      <c r="M819" s="21">
        <f t="shared" si="1493"/>
        <v>0</v>
      </c>
      <c r="N819" s="21">
        <f t="shared" si="1493"/>
        <v>0</v>
      </c>
      <c r="O819" s="21">
        <f t="shared" si="1493"/>
        <v>0</v>
      </c>
    </row>
    <row r="820">
      <c r="B820" s="20">
        <v>46263.0</v>
      </c>
      <c r="C820" s="21">
        <f>22</f>
        <v>22</v>
      </c>
      <c r="D820" s="21">
        <f t="shared" ref="D820:O820" si="1494">0</f>
        <v>0</v>
      </c>
      <c r="E820" s="21">
        <f t="shared" si="1494"/>
        <v>0</v>
      </c>
      <c r="F820" s="21">
        <f t="shared" si="1494"/>
        <v>0</v>
      </c>
      <c r="G820" s="21">
        <f t="shared" si="1494"/>
        <v>0</v>
      </c>
      <c r="H820" s="21">
        <f t="shared" si="1494"/>
        <v>0</v>
      </c>
      <c r="I820" s="21">
        <f t="shared" si="1494"/>
        <v>0</v>
      </c>
      <c r="J820" s="21">
        <f t="shared" si="1494"/>
        <v>0</v>
      </c>
      <c r="K820" s="21">
        <f t="shared" si="1494"/>
        <v>0</v>
      </c>
      <c r="L820" s="21">
        <f t="shared" si="1494"/>
        <v>0</v>
      </c>
      <c r="M820" s="21">
        <f t="shared" si="1494"/>
        <v>0</v>
      </c>
      <c r="N820" s="21">
        <f t="shared" si="1494"/>
        <v>0</v>
      </c>
      <c r="O820" s="21">
        <f t="shared" si="1494"/>
        <v>0</v>
      </c>
    </row>
    <row r="821">
      <c r="B821" s="20">
        <v>46263.0</v>
      </c>
      <c r="C821" s="21">
        <f>19.2</f>
        <v>19.2</v>
      </c>
      <c r="D821" s="21">
        <f t="shared" ref="D821:F821" si="1495">0</f>
        <v>0</v>
      </c>
      <c r="E821" s="21">
        <f t="shared" si="1495"/>
        <v>0</v>
      </c>
      <c r="F821" s="21">
        <f t="shared" si="1495"/>
        <v>0</v>
      </c>
      <c r="G821" s="21">
        <f>4.8</f>
        <v>4.8</v>
      </c>
      <c r="H821" s="21">
        <f t="shared" ref="H821:O821" si="1496">0</f>
        <v>0</v>
      </c>
      <c r="I821" s="21">
        <f t="shared" si="1496"/>
        <v>0</v>
      </c>
      <c r="J821" s="21">
        <f t="shared" si="1496"/>
        <v>0</v>
      </c>
      <c r="K821" s="21">
        <f t="shared" si="1496"/>
        <v>0</v>
      </c>
      <c r="L821" s="21">
        <f t="shared" si="1496"/>
        <v>0</v>
      </c>
      <c r="M821" s="21">
        <f t="shared" si="1496"/>
        <v>0</v>
      </c>
      <c r="N821" s="21">
        <f t="shared" si="1496"/>
        <v>0</v>
      </c>
      <c r="O821" s="21">
        <f t="shared" si="1496"/>
        <v>0</v>
      </c>
    </row>
    <row r="822">
      <c r="B822" s="20">
        <v>46263.0</v>
      </c>
      <c r="C822" s="21">
        <f>24.8</f>
        <v>24.8</v>
      </c>
      <c r="D822" s="21">
        <f>6.2</f>
        <v>6.2</v>
      </c>
      <c r="E822" s="21">
        <f t="shared" ref="E822:O822" si="1497">0</f>
        <v>0</v>
      </c>
      <c r="F822" s="21">
        <f t="shared" si="1497"/>
        <v>0</v>
      </c>
      <c r="G822" s="21">
        <f t="shared" si="1497"/>
        <v>0</v>
      </c>
      <c r="H822" s="21">
        <f t="shared" si="1497"/>
        <v>0</v>
      </c>
      <c r="I822" s="21">
        <f t="shared" si="1497"/>
        <v>0</v>
      </c>
      <c r="J822" s="21">
        <f t="shared" si="1497"/>
        <v>0</v>
      </c>
      <c r="K822" s="21">
        <f t="shared" si="1497"/>
        <v>0</v>
      </c>
      <c r="L822" s="21">
        <f t="shared" si="1497"/>
        <v>0</v>
      </c>
      <c r="M822" s="21">
        <f t="shared" si="1497"/>
        <v>0</v>
      </c>
      <c r="N822" s="21">
        <f t="shared" si="1497"/>
        <v>0</v>
      </c>
      <c r="O822" s="21">
        <f t="shared" si="1497"/>
        <v>0</v>
      </c>
    </row>
    <row r="823">
      <c r="B823" s="20">
        <v>46263.0</v>
      </c>
      <c r="C823" s="21">
        <f t="shared" ref="C823:G823" si="1498">0</f>
        <v>0</v>
      </c>
      <c r="D823" s="21">
        <f t="shared" si="1498"/>
        <v>0</v>
      </c>
      <c r="E823" s="21">
        <f t="shared" si="1498"/>
        <v>0</v>
      </c>
      <c r="F823" s="21">
        <f t="shared" si="1498"/>
        <v>0</v>
      </c>
      <c r="G823" s="21">
        <f t="shared" si="1498"/>
        <v>0</v>
      </c>
      <c r="H823" s="21">
        <f>26</f>
        <v>26</v>
      </c>
      <c r="I823" s="21">
        <f t="shared" ref="I823:O823" si="1499">0</f>
        <v>0</v>
      </c>
      <c r="J823" s="21">
        <f t="shared" si="1499"/>
        <v>0</v>
      </c>
      <c r="K823" s="21">
        <f t="shared" si="1499"/>
        <v>0</v>
      </c>
      <c r="L823" s="21">
        <f t="shared" si="1499"/>
        <v>0</v>
      </c>
      <c r="M823" s="21">
        <f t="shared" si="1499"/>
        <v>0</v>
      </c>
      <c r="N823" s="21">
        <f t="shared" si="1499"/>
        <v>0</v>
      </c>
      <c r="O823" s="21">
        <f t="shared" si="1499"/>
        <v>0</v>
      </c>
    </row>
    <row r="824">
      <c r="B824" s="20">
        <v>46263.0</v>
      </c>
      <c r="C824" s="21">
        <f t="shared" ref="C824:H824" si="1500">0</f>
        <v>0</v>
      </c>
      <c r="D824" s="21">
        <f t="shared" si="1500"/>
        <v>0</v>
      </c>
      <c r="E824" s="21">
        <f t="shared" si="1500"/>
        <v>0</v>
      </c>
      <c r="F824" s="21">
        <f t="shared" si="1500"/>
        <v>0</v>
      </c>
      <c r="G824" s="21">
        <f t="shared" si="1500"/>
        <v>0</v>
      </c>
      <c r="H824" s="21">
        <f t="shared" si="1500"/>
        <v>0</v>
      </c>
      <c r="I824" s="21">
        <f>11</f>
        <v>11</v>
      </c>
      <c r="J824" s="21">
        <f t="shared" ref="J824:O824" si="1501">0</f>
        <v>0</v>
      </c>
      <c r="K824" s="21">
        <f t="shared" si="1501"/>
        <v>0</v>
      </c>
      <c r="L824" s="21">
        <f t="shared" si="1501"/>
        <v>0</v>
      </c>
      <c r="M824" s="21">
        <f t="shared" si="1501"/>
        <v>0</v>
      </c>
      <c r="N824" s="21">
        <f t="shared" si="1501"/>
        <v>0</v>
      </c>
      <c r="O824" s="21">
        <f t="shared" si="1501"/>
        <v>0</v>
      </c>
    </row>
    <row r="825">
      <c r="B825" s="20">
        <v>46263.0</v>
      </c>
      <c r="C825" s="21">
        <f t="shared" ref="C825:H825" si="1502">0</f>
        <v>0</v>
      </c>
      <c r="D825" s="21">
        <f t="shared" si="1502"/>
        <v>0</v>
      </c>
      <c r="E825" s="21">
        <f t="shared" si="1502"/>
        <v>0</v>
      </c>
      <c r="F825" s="21">
        <f t="shared" si="1502"/>
        <v>0</v>
      </c>
      <c r="G825" s="21">
        <f t="shared" si="1502"/>
        <v>0</v>
      </c>
      <c r="H825" s="21">
        <f t="shared" si="1502"/>
        <v>0</v>
      </c>
      <c r="I825" s="21">
        <f>73</f>
        <v>73</v>
      </c>
      <c r="J825" s="21">
        <f t="shared" ref="J825:O825" si="1503">0</f>
        <v>0</v>
      </c>
      <c r="K825" s="21">
        <f t="shared" si="1503"/>
        <v>0</v>
      </c>
      <c r="L825" s="21">
        <f t="shared" si="1503"/>
        <v>0</v>
      </c>
      <c r="M825" s="21">
        <f t="shared" si="1503"/>
        <v>0</v>
      </c>
      <c r="N825" s="21">
        <f t="shared" si="1503"/>
        <v>0</v>
      </c>
      <c r="O825" s="21">
        <f t="shared" si="1503"/>
        <v>0</v>
      </c>
    </row>
    <row r="826">
      <c r="B826" s="20">
        <v>46264.0</v>
      </c>
      <c r="C826" s="21">
        <f>47.2</f>
        <v>47.2</v>
      </c>
      <c r="D826" s="21">
        <f t="shared" ref="D826:L826" si="1504">0</f>
        <v>0</v>
      </c>
      <c r="E826" s="21">
        <f t="shared" si="1504"/>
        <v>0</v>
      </c>
      <c r="F826" s="21">
        <f t="shared" si="1504"/>
        <v>0</v>
      </c>
      <c r="G826" s="21">
        <f t="shared" si="1504"/>
        <v>0</v>
      </c>
      <c r="H826" s="21">
        <f t="shared" si="1504"/>
        <v>0</v>
      </c>
      <c r="I826" s="21">
        <f t="shared" si="1504"/>
        <v>0</v>
      </c>
      <c r="J826" s="21">
        <f t="shared" si="1504"/>
        <v>0</v>
      </c>
      <c r="K826" s="21">
        <f t="shared" si="1504"/>
        <v>0</v>
      </c>
      <c r="L826" s="21">
        <f t="shared" si="1504"/>
        <v>0</v>
      </c>
      <c r="M826" s="21">
        <f>11.8</f>
        <v>11.8</v>
      </c>
      <c r="N826" s="21">
        <f t="shared" ref="N826:O826" si="1505">0</f>
        <v>0</v>
      </c>
      <c r="O826" s="21">
        <f t="shared" si="1505"/>
        <v>0</v>
      </c>
    </row>
    <row r="827">
      <c r="B827" s="20">
        <v>46264.0</v>
      </c>
      <c r="C827" s="21">
        <f t="shared" ref="C827:H827" si="1506">0</f>
        <v>0</v>
      </c>
      <c r="D827" s="21">
        <f t="shared" si="1506"/>
        <v>0</v>
      </c>
      <c r="E827" s="21">
        <f t="shared" si="1506"/>
        <v>0</v>
      </c>
      <c r="F827" s="21">
        <f t="shared" si="1506"/>
        <v>0</v>
      </c>
      <c r="G827" s="21">
        <f t="shared" si="1506"/>
        <v>0</v>
      </c>
      <c r="H827" s="21">
        <f t="shared" si="1506"/>
        <v>0</v>
      </c>
      <c r="I827" s="21">
        <f>24</f>
        <v>24</v>
      </c>
      <c r="J827" s="21">
        <f t="shared" ref="J827:L827" si="1507">0</f>
        <v>0</v>
      </c>
      <c r="K827" s="21">
        <f t="shared" si="1507"/>
        <v>0</v>
      </c>
      <c r="L827" s="21">
        <f t="shared" si="1507"/>
        <v>0</v>
      </c>
      <c r="M827" s="21">
        <f>6</f>
        <v>6</v>
      </c>
      <c r="N827" s="21">
        <f t="shared" ref="N827:O827" si="1508">0</f>
        <v>0</v>
      </c>
      <c r="O827" s="21">
        <f t="shared" si="1508"/>
        <v>0</v>
      </c>
    </row>
    <row r="828">
      <c r="B828" s="20">
        <v>46264.0</v>
      </c>
      <c r="C828" s="21">
        <f t="shared" ref="C828:C829" si="1510">0</f>
        <v>0</v>
      </c>
      <c r="D828" s="21">
        <f>2.5</f>
        <v>2.5</v>
      </c>
      <c r="E828" s="21">
        <f>0</f>
        <v>0</v>
      </c>
      <c r="F828" s="21">
        <f>37.5</f>
        <v>37.5</v>
      </c>
      <c r="G828" s="21">
        <f t="shared" ref="G828:N828" si="1509">0</f>
        <v>0</v>
      </c>
      <c r="H828" s="21">
        <f t="shared" si="1509"/>
        <v>0</v>
      </c>
      <c r="I828" s="21">
        <f t="shared" si="1509"/>
        <v>0</v>
      </c>
      <c r="J828" s="21">
        <f t="shared" si="1509"/>
        <v>0</v>
      </c>
      <c r="K828" s="21">
        <f t="shared" si="1509"/>
        <v>0</v>
      </c>
      <c r="L828" s="21">
        <f t="shared" si="1509"/>
        <v>0</v>
      </c>
      <c r="M828" s="21">
        <f t="shared" si="1509"/>
        <v>0</v>
      </c>
      <c r="N828" s="21">
        <f t="shared" si="1509"/>
        <v>0</v>
      </c>
      <c r="O828" s="21">
        <f>10</f>
        <v>10</v>
      </c>
    </row>
    <row r="829">
      <c r="B829" s="20">
        <v>46264.0</v>
      </c>
      <c r="C829" s="21">
        <f t="shared" si="1510"/>
        <v>0</v>
      </c>
      <c r="D829" s="21">
        <f t="shared" ref="D829:H829" si="1511">0</f>
        <v>0</v>
      </c>
      <c r="E829" s="21">
        <f t="shared" si="1511"/>
        <v>0</v>
      </c>
      <c r="F829" s="21">
        <f t="shared" si="1511"/>
        <v>0</v>
      </c>
      <c r="G829" s="21">
        <f t="shared" si="1511"/>
        <v>0</v>
      </c>
      <c r="H829" s="21">
        <f t="shared" si="1511"/>
        <v>0</v>
      </c>
      <c r="I829" s="21">
        <f>32.4</f>
        <v>32.4</v>
      </c>
      <c r="J829" s="21">
        <f t="shared" ref="J829:N829" si="1512">0</f>
        <v>0</v>
      </c>
      <c r="K829" s="21">
        <f t="shared" si="1512"/>
        <v>0</v>
      </c>
      <c r="L829" s="21">
        <f t="shared" si="1512"/>
        <v>0</v>
      </c>
      <c r="M829" s="21">
        <f t="shared" si="1512"/>
        <v>0</v>
      </c>
      <c r="N829" s="21">
        <f t="shared" si="1512"/>
        <v>0</v>
      </c>
      <c r="O829" s="21">
        <f>21.6</f>
        <v>21.6</v>
      </c>
    </row>
    <row r="830">
      <c r="B830" s="20">
        <v>46264.0</v>
      </c>
      <c r="C830" s="21">
        <v>0.0</v>
      </c>
      <c r="D830" s="21">
        <v>0.0</v>
      </c>
      <c r="E830" s="21">
        <v>0.0</v>
      </c>
      <c r="F830" s="21">
        <v>0.0</v>
      </c>
      <c r="G830" s="21">
        <v>0.0</v>
      </c>
      <c r="H830" s="21">
        <v>0.0</v>
      </c>
      <c r="I830" s="21">
        <v>0.0</v>
      </c>
      <c r="J830" s="21">
        <v>0.0</v>
      </c>
      <c r="K830" s="21">
        <v>0.0</v>
      </c>
      <c r="L830" s="21">
        <v>0.0</v>
      </c>
      <c r="M830" s="21">
        <v>0.0</v>
      </c>
      <c r="N830" s="21">
        <v>0.0</v>
      </c>
      <c r="O830" s="21">
        <f>94</f>
        <v>94</v>
      </c>
    </row>
    <row r="831">
      <c r="B831" s="20">
        <v>46264.0</v>
      </c>
      <c r="C831" s="21">
        <f>1.9</f>
        <v>1.9</v>
      </c>
      <c r="D831" s="21">
        <f t="shared" ref="D831:H831" si="1513">0</f>
        <v>0</v>
      </c>
      <c r="E831" s="21">
        <f t="shared" si="1513"/>
        <v>0</v>
      </c>
      <c r="F831" s="21">
        <f t="shared" si="1513"/>
        <v>0</v>
      </c>
      <c r="G831" s="21">
        <f t="shared" si="1513"/>
        <v>0</v>
      </c>
      <c r="H831" s="21">
        <f t="shared" si="1513"/>
        <v>0</v>
      </c>
      <c r="I831" s="21">
        <f>15.2</f>
        <v>15.2</v>
      </c>
      <c r="J831" s="21">
        <f t="shared" ref="J831:L831" si="1514">0</f>
        <v>0</v>
      </c>
      <c r="K831" s="21">
        <f t="shared" si="1514"/>
        <v>0</v>
      </c>
      <c r="L831" s="21">
        <f t="shared" si="1514"/>
        <v>0</v>
      </c>
      <c r="M831" s="21">
        <f>1.9</f>
        <v>1.9</v>
      </c>
      <c r="N831" s="21">
        <f t="shared" ref="N831:O831" si="1515">0</f>
        <v>0</v>
      </c>
      <c r="O831" s="21">
        <f t="shared" si="1515"/>
        <v>0</v>
      </c>
    </row>
    <row r="832">
      <c r="B832" s="20">
        <v>46264.0</v>
      </c>
      <c r="C832" s="21">
        <f t="shared" ref="C832:H832" si="1516">0</f>
        <v>0</v>
      </c>
      <c r="D832" s="21">
        <f t="shared" si="1516"/>
        <v>0</v>
      </c>
      <c r="E832" s="21">
        <f t="shared" si="1516"/>
        <v>0</v>
      </c>
      <c r="F832" s="21">
        <f t="shared" si="1516"/>
        <v>0</v>
      </c>
      <c r="G832" s="21">
        <f t="shared" si="1516"/>
        <v>0</v>
      </c>
      <c r="H832" s="21">
        <f t="shared" si="1516"/>
        <v>0</v>
      </c>
      <c r="I832" s="21">
        <f>46</f>
        <v>46</v>
      </c>
      <c r="J832" s="21">
        <f t="shared" ref="J832:N832" si="1517">0</f>
        <v>0</v>
      </c>
      <c r="K832" s="21">
        <f t="shared" si="1517"/>
        <v>0</v>
      </c>
      <c r="L832" s="21">
        <f t="shared" si="1517"/>
        <v>0</v>
      </c>
      <c r="M832" s="21">
        <f t="shared" si="1517"/>
        <v>0</v>
      </c>
      <c r="N832" s="21">
        <f t="shared" si="1517"/>
        <v>0</v>
      </c>
      <c r="O832" s="21">
        <f>46</f>
        <v>46</v>
      </c>
    </row>
    <row r="833">
      <c r="B833" s="20">
        <v>46264.0</v>
      </c>
      <c r="C833" s="21">
        <f>8</f>
        <v>8</v>
      </c>
      <c r="D833" s="21">
        <f t="shared" ref="D833:F833" si="1518">0</f>
        <v>0</v>
      </c>
      <c r="E833" s="21">
        <f t="shared" si="1518"/>
        <v>0</v>
      </c>
      <c r="F833" s="21">
        <f t="shared" si="1518"/>
        <v>0</v>
      </c>
      <c r="G833" s="21">
        <f>20</f>
        <v>20</v>
      </c>
      <c r="H833" s="21">
        <f>0</f>
        <v>0</v>
      </c>
      <c r="I833" s="21">
        <f>4</f>
        <v>4</v>
      </c>
      <c r="J833" s="21">
        <f t="shared" ref="J833:L833" si="1519">0</f>
        <v>0</v>
      </c>
      <c r="K833" s="21">
        <f t="shared" si="1519"/>
        <v>0</v>
      </c>
      <c r="L833" s="21">
        <f t="shared" si="1519"/>
        <v>0</v>
      </c>
      <c r="M833" s="21">
        <f>8</f>
        <v>8</v>
      </c>
      <c r="N833" s="21">
        <f t="shared" ref="N833:O833" si="1520">0</f>
        <v>0</v>
      </c>
      <c r="O833" s="21">
        <f t="shared" si="1520"/>
        <v>0</v>
      </c>
    </row>
    <row r="834">
      <c r="B834" s="20">
        <v>46264.0</v>
      </c>
      <c r="C834" s="21">
        <f>25</f>
        <v>25</v>
      </c>
      <c r="D834" s="21">
        <f t="shared" ref="D834:H834" si="1521">0</f>
        <v>0</v>
      </c>
      <c r="E834" s="21">
        <f t="shared" si="1521"/>
        <v>0</v>
      </c>
      <c r="F834" s="21">
        <f t="shared" si="1521"/>
        <v>0</v>
      </c>
      <c r="G834" s="21">
        <f t="shared" si="1521"/>
        <v>0</v>
      </c>
      <c r="H834" s="21">
        <f t="shared" si="1521"/>
        <v>0</v>
      </c>
      <c r="I834" s="21">
        <f>5</f>
        <v>5</v>
      </c>
      <c r="J834" s="21">
        <f t="shared" ref="J834:L834" si="1522">0</f>
        <v>0</v>
      </c>
      <c r="K834" s="21">
        <f t="shared" si="1522"/>
        <v>0</v>
      </c>
      <c r="L834" s="21">
        <f t="shared" si="1522"/>
        <v>0</v>
      </c>
      <c r="M834" s="21">
        <f>10</f>
        <v>10</v>
      </c>
      <c r="N834" s="21">
        <f>0</f>
        <v>0</v>
      </c>
      <c r="O834" s="21">
        <f>10</f>
        <v>10</v>
      </c>
    </row>
    <row r="835">
      <c r="B835" s="20">
        <v>46264.0</v>
      </c>
      <c r="C835" s="21">
        <f>19.5</f>
        <v>19.5</v>
      </c>
      <c r="D835" s="21">
        <f t="shared" ref="D835:F835" si="1523">0</f>
        <v>0</v>
      </c>
      <c r="E835" s="21">
        <f t="shared" si="1523"/>
        <v>0</v>
      </c>
      <c r="F835" s="21">
        <f t="shared" si="1523"/>
        <v>0</v>
      </c>
      <c r="G835" s="21">
        <f>19.5</f>
        <v>19.5</v>
      </c>
      <c r="H835" s="21">
        <f t="shared" ref="H835:O835" si="1524">0</f>
        <v>0</v>
      </c>
      <c r="I835" s="21">
        <f t="shared" si="1524"/>
        <v>0</v>
      </c>
      <c r="J835" s="21">
        <f t="shared" si="1524"/>
        <v>0</v>
      </c>
      <c r="K835" s="21">
        <f t="shared" si="1524"/>
        <v>0</v>
      </c>
      <c r="L835" s="21">
        <f t="shared" si="1524"/>
        <v>0</v>
      </c>
      <c r="M835" s="21">
        <f t="shared" si="1524"/>
        <v>0</v>
      </c>
      <c r="N835" s="21">
        <f t="shared" si="1524"/>
        <v>0</v>
      </c>
      <c r="O835" s="21">
        <f t="shared" si="1524"/>
        <v>0</v>
      </c>
    </row>
    <row r="836">
      <c r="B836" s="20">
        <v>46264.0</v>
      </c>
      <c r="C836" s="21">
        <v>0.0</v>
      </c>
      <c r="D836" s="21">
        <v>0.0</v>
      </c>
      <c r="E836" s="21">
        <v>0.0</v>
      </c>
      <c r="F836" s="21">
        <v>0.0</v>
      </c>
      <c r="G836" s="21">
        <v>0.0</v>
      </c>
      <c r="H836" s="21">
        <v>0.0</v>
      </c>
      <c r="I836" s="21">
        <f>82</f>
        <v>82</v>
      </c>
      <c r="J836" s="21">
        <v>0.0</v>
      </c>
      <c r="K836" s="21">
        <v>0.0</v>
      </c>
      <c r="L836" s="21">
        <v>0.0</v>
      </c>
      <c r="M836" s="21">
        <v>0.0</v>
      </c>
      <c r="N836" s="21">
        <v>0.0</v>
      </c>
      <c r="O836" s="21">
        <v>0.0</v>
      </c>
    </row>
    <row r="837">
      <c r="B837" s="20">
        <v>46264.0</v>
      </c>
      <c r="C837" s="21">
        <f t="shared" ref="C837:E837" si="1525">0</f>
        <v>0</v>
      </c>
      <c r="D837" s="21">
        <f t="shared" si="1525"/>
        <v>0</v>
      </c>
      <c r="E837" s="21">
        <f t="shared" si="1525"/>
        <v>0</v>
      </c>
      <c r="F837" s="21">
        <f>51.2</f>
        <v>51.2</v>
      </c>
      <c r="G837" s="21">
        <f t="shared" ref="G837:N837" si="1526">0</f>
        <v>0</v>
      </c>
      <c r="H837" s="21">
        <f t="shared" si="1526"/>
        <v>0</v>
      </c>
      <c r="I837" s="21">
        <f t="shared" si="1526"/>
        <v>0</v>
      </c>
      <c r="J837" s="21">
        <f t="shared" si="1526"/>
        <v>0</v>
      </c>
      <c r="K837" s="21">
        <f t="shared" si="1526"/>
        <v>0</v>
      </c>
      <c r="L837" s="21">
        <f t="shared" si="1526"/>
        <v>0</v>
      </c>
      <c r="M837" s="21">
        <f t="shared" si="1526"/>
        <v>0</v>
      </c>
      <c r="N837" s="21">
        <f t="shared" si="1526"/>
        <v>0</v>
      </c>
      <c r="O837" s="21">
        <f>12.8</f>
        <v>12.8</v>
      </c>
    </row>
    <row r="838">
      <c r="B838" s="20">
        <v>46264.0</v>
      </c>
      <c r="C838" s="21">
        <f t="shared" ref="C838:J838" si="1527">0</f>
        <v>0</v>
      </c>
      <c r="D838" s="21">
        <f t="shared" si="1527"/>
        <v>0</v>
      </c>
      <c r="E838" s="21">
        <f t="shared" si="1527"/>
        <v>0</v>
      </c>
      <c r="F838" s="21">
        <f t="shared" si="1527"/>
        <v>0</v>
      </c>
      <c r="G838" s="21">
        <f t="shared" si="1527"/>
        <v>0</v>
      </c>
      <c r="H838" s="21">
        <f t="shared" si="1527"/>
        <v>0</v>
      </c>
      <c r="I838" s="21">
        <f t="shared" si="1527"/>
        <v>0</v>
      </c>
      <c r="J838" s="21">
        <f t="shared" si="1527"/>
        <v>0</v>
      </c>
      <c r="K838" s="21">
        <f>27</f>
        <v>27</v>
      </c>
      <c r="L838" s="21">
        <f>0</f>
        <v>0</v>
      </c>
      <c r="M838" s="21">
        <f>27</f>
        <v>27</v>
      </c>
      <c r="N838" s="21">
        <f t="shared" ref="N838:O838" si="1528">0</f>
        <v>0</v>
      </c>
      <c r="O838" s="21">
        <f t="shared" si="1528"/>
        <v>0</v>
      </c>
    </row>
    <row r="839">
      <c r="B839" s="20">
        <v>46264.0</v>
      </c>
      <c r="C839" s="21">
        <f t="shared" ref="C839:E839" si="1529">5</f>
        <v>5</v>
      </c>
      <c r="D839" s="21">
        <f t="shared" si="1529"/>
        <v>5</v>
      </c>
      <c r="E839" s="21">
        <f t="shared" si="1529"/>
        <v>5</v>
      </c>
      <c r="F839" s="21">
        <f>12.5</f>
        <v>12.5</v>
      </c>
      <c r="G839" s="21">
        <f>22.5</f>
        <v>22.5</v>
      </c>
      <c r="H839" s="21">
        <f t="shared" ref="H839:O839" si="1530">0</f>
        <v>0</v>
      </c>
      <c r="I839" s="21">
        <f t="shared" si="1530"/>
        <v>0</v>
      </c>
      <c r="J839" s="21">
        <f t="shared" si="1530"/>
        <v>0</v>
      </c>
      <c r="K839" s="21">
        <f t="shared" si="1530"/>
        <v>0</v>
      </c>
      <c r="L839" s="21">
        <f t="shared" si="1530"/>
        <v>0</v>
      </c>
      <c r="M839" s="21">
        <f t="shared" si="1530"/>
        <v>0</v>
      </c>
      <c r="N839" s="21">
        <f t="shared" si="1530"/>
        <v>0</v>
      </c>
      <c r="O839" s="21">
        <f t="shared" si="1530"/>
        <v>0</v>
      </c>
    </row>
    <row r="840">
      <c r="B840" s="20">
        <v>46264.0</v>
      </c>
      <c r="C840" s="21">
        <f t="shared" ref="C840:E840" si="1531">0</f>
        <v>0</v>
      </c>
      <c r="D840" s="21">
        <f t="shared" si="1531"/>
        <v>0</v>
      </c>
      <c r="E840" s="21">
        <f t="shared" si="1531"/>
        <v>0</v>
      </c>
      <c r="F840" s="21">
        <f>59</f>
        <v>59</v>
      </c>
      <c r="G840" s="21">
        <f t="shared" ref="G840:N840" si="1532">0</f>
        <v>0</v>
      </c>
      <c r="H840" s="21">
        <f t="shared" si="1532"/>
        <v>0</v>
      </c>
      <c r="I840" s="21">
        <f t="shared" si="1532"/>
        <v>0</v>
      </c>
      <c r="J840" s="21">
        <f t="shared" si="1532"/>
        <v>0</v>
      </c>
      <c r="K840" s="21">
        <f t="shared" si="1532"/>
        <v>0</v>
      </c>
      <c r="L840" s="21">
        <f t="shared" si="1532"/>
        <v>0</v>
      </c>
      <c r="M840" s="21">
        <f t="shared" si="1532"/>
        <v>0</v>
      </c>
      <c r="N840" s="21">
        <f t="shared" si="1532"/>
        <v>0</v>
      </c>
      <c r="O840" s="21">
        <f>59</f>
        <v>59</v>
      </c>
    </row>
    <row r="841">
      <c r="B841" s="20">
        <v>46264.0</v>
      </c>
      <c r="C841" s="21">
        <v>0.0</v>
      </c>
      <c r="D841" s="21">
        <v>0.0</v>
      </c>
      <c r="E841" s="21">
        <v>0.0</v>
      </c>
      <c r="F841" s="21">
        <v>0.0</v>
      </c>
      <c r="G841" s="21">
        <v>0.0</v>
      </c>
      <c r="H841" s="21">
        <v>0.0</v>
      </c>
      <c r="I841" s="21">
        <f>73</f>
        <v>73</v>
      </c>
      <c r="J841" s="21">
        <v>0.0</v>
      </c>
      <c r="K841" s="21">
        <v>0.0</v>
      </c>
      <c r="L841" s="21">
        <v>0.0</v>
      </c>
      <c r="M841" s="21">
        <v>0.0</v>
      </c>
      <c r="N841" s="21">
        <v>0.0</v>
      </c>
      <c r="O841" s="21">
        <v>0.0</v>
      </c>
    </row>
    <row r="842">
      <c r="B842" s="20">
        <v>46264.0</v>
      </c>
      <c r="C842" s="21">
        <f>294</f>
        <v>294</v>
      </c>
      <c r="D842" s="21">
        <f t="shared" ref="D842:O842" si="1533">0</f>
        <v>0</v>
      </c>
      <c r="E842" s="21">
        <f t="shared" si="1533"/>
        <v>0</v>
      </c>
      <c r="F842" s="21">
        <f t="shared" si="1533"/>
        <v>0</v>
      </c>
      <c r="G842" s="21">
        <f t="shared" si="1533"/>
        <v>0</v>
      </c>
      <c r="H842" s="21">
        <f t="shared" si="1533"/>
        <v>0</v>
      </c>
      <c r="I842" s="21">
        <f t="shared" si="1533"/>
        <v>0</v>
      </c>
      <c r="J842" s="21">
        <f t="shared" si="1533"/>
        <v>0</v>
      </c>
      <c r="K842" s="21">
        <f t="shared" si="1533"/>
        <v>0</v>
      </c>
      <c r="L842" s="21">
        <f t="shared" si="1533"/>
        <v>0</v>
      </c>
      <c r="M842" s="21">
        <f t="shared" si="1533"/>
        <v>0</v>
      </c>
      <c r="N842" s="21">
        <f t="shared" si="1533"/>
        <v>0</v>
      </c>
      <c r="O842" s="21">
        <f t="shared" si="1533"/>
        <v>0</v>
      </c>
    </row>
    <row r="843">
      <c r="B843" s="20">
        <v>46264.0</v>
      </c>
      <c r="C843" s="21">
        <f t="shared" ref="C843:H843" si="1534">0</f>
        <v>0</v>
      </c>
      <c r="D843" s="21">
        <f t="shared" si="1534"/>
        <v>0</v>
      </c>
      <c r="E843" s="21">
        <f t="shared" si="1534"/>
        <v>0</v>
      </c>
      <c r="F843" s="21">
        <f t="shared" si="1534"/>
        <v>0</v>
      </c>
      <c r="G843" s="21">
        <f t="shared" si="1534"/>
        <v>0</v>
      </c>
      <c r="H843" s="21">
        <f t="shared" si="1534"/>
        <v>0</v>
      </c>
      <c r="I843" s="21">
        <f>36</f>
        <v>36</v>
      </c>
      <c r="J843" s="21">
        <f t="shared" ref="J843:N843" si="1535">0</f>
        <v>0</v>
      </c>
      <c r="K843" s="21">
        <f t="shared" si="1535"/>
        <v>0</v>
      </c>
      <c r="L843" s="21">
        <f t="shared" si="1535"/>
        <v>0</v>
      </c>
      <c r="M843" s="21">
        <f t="shared" si="1535"/>
        <v>0</v>
      </c>
      <c r="N843" s="21">
        <f t="shared" si="1535"/>
        <v>0</v>
      </c>
      <c r="O843" s="21">
        <f>36</f>
        <v>36</v>
      </c>
    </row>
    <row r="844">
      <c r="B844" s="20">
        <v>46265.0</v>
      </c>
      <c r="C844" s="21">
        <f>22.2</f>
        <v>22.2</v>
      </c>
      <c r="D844" s="21">
        <f t="shared" ref="D844:F844" si="1536">0</f>
        <v>0</v>
      </c>
      <c r="E844" s="21">
        <f t="shared" si="1536"/>
        <v>0</v>
      </c>
      <c r="F844" s="21">
        <f t="shared" si="1536"/>
        <v>0</v>
      </c>
      <c r="G844" s="21">
        <f>29.6</f>
        <v>29.6</v>
      </c>
      <c r="H844" s="21">
        <f t="shared" ref="H844:L844" si="1537">0</f>
        <v>0</v>
      </c>
      <c r="I844" s="21">
        <f t="shared" si="1537"/>
        <v>0</v>
      </c>
      <c r="J844" s="21">
        <f t="shared" si="1537"/>
        <v>0</v>
      </c>
      <c r="K844" s="21">
        <f t="shared" si="1537"/>
        <v>0</v>
      </c>
      <c r="L844" s="21">
        <f t="shared" si="1537"/>
        <v>0</v>
      </c>
      <c r="M844" s="21">
        <f>22.2</f>
        <v>22.2</v>
      </c>
      <c r="N844" s="21">
        <f t="shared" ref="N844:O844" si="1538">0</f>
        <v>0</v>
      </c>
      <c r="O844" s="21">
        <f t="shared" si="1538"/>
        <v>0</v>
      </c>
    </row>
    <row r="845">
      <c r="B845" s="20">
        <v>46265.0</v>
      </c>
      <c r="C845" s="21">
        <f>21.3</f>
        <v>21.3</v>
      </c>
      <c r="D845" s="21">
        <f t="shared" ref="D845:L845" si="1539">0</f>
        <v>0</v>
      </c>
      <c r="E845" s="21">
        <f t="shared" si="1539"/>
        <v>0</v>
      </c>
      <c r="F845" s="21">
        <f t="shared" si="1539"/>
        <v>0</v>
      </c>
      <c r="G845" s="21">
        <f t="shared" si="1539"/>
        <v>0</v>
      </c>
      <c r="H845" s="21">
        <f t="shared" si="1539"/>
        <v>0</v>
      </c>
      <c r="I845" s="21">
        <f t="shared" si="1539"/>
        <v>0</v>
      </c>
      <c r="J845" s="21">
        <f t="shared" si="1539"/>
        <v>0</v>
      </c>
      <c r="K845" s="21">
        <f t="shared" si="1539"/>
        <v>0</v>
      </c>
      <c r="L845" s="21">
        <f t="shared" si="1539"/>
        <v>0</v>
      </c>
      <c r="M845" s="21">
        <f>49.7</f>
        <v>49.7</v>
      </c>
      <c r="N845" s="21">
        <f t="shared" ref="N845:O845" si="1540">0</f>
        <v>0</v>
      </c>
      <c r="O845" s="21">
        <f t="shared" si="1540"/>
        <v>0</v>
      </c>
    </row>
    <row r="846">
      <c r="B846" s="20">
        <v>46265.0</v>
      </c>
      <c r="C846" s="21">
        <f>57.6</f>
        <v>57.6</v>
      </c>
      <c r="D846" s="21">
        <f t="shared" ref="D846:F846" si="1541">0</f>
        <v>0</v>
      </c>
      <c r="E846" s="21">
        <f t="shared" si="1541"/>
        <v>0</v>
      </c>
      <c r="F846" s="21">
        <f t="shared" si="1541"/>
        <v>0</v>
      </c>
      <c r="G846" s="21">
        <f>14.4</f>
        <v>14.4</v>
      </c>
      <c r="H846" s="21">
        <f t="shared" ref="H846:O846" si="1542">0</f>
        <v>0</v>
      </c>
      <c r="I846" s="21">
        <f t="shared" si="1542"/>
        <v>0</v>
      </c>
      <c r="J846" s="21">
        <f t="shared" si="1542"/>
        <v>0</v>
      </c>
      <c r="K846" s="21">
        <f t="shared" si="1542"/>
        <v>0</v>
      </c>
      <c r="L846" s="21">
        <f t="shared" si="1542"/>
        <v>0</v>
      </c>
      <c r="M846" s="21">
        <f t="shared" si="1542"/>
        <v>0</v>
      </c>
      <c r="N846" s="21">
        <f t="shared" si="1542"/>
        <v>0</v>
      </c>
      <c r="O846" s="21">
        <f t="shared" si="1542"/>
        <v>0</v>
      </c>
    </row>
    <row r="847">
      <c r="B847" s="20">
        <v>46265.0</v>
      </c>
      <c r="C847" s="21">
        <f>13.8</f>
        <v>13.8</v>
      </c>
      <c r="D847" s="21">
        <f t="shared" ref="D847:I847" si="1543">0</f>
        <v>0</v>
      </c>
      <c r="E847" s="21">
        <f t="shared" si="1543"/>
        <v>0</v>
      </c>
      <c r="F847" s="21">
        <f t="shared" si="1543"/>
        <v>0</v>
      </c>
      <c r="G847" s="21">
        <f t="shared" si="1543"/>
        <v>0</v>
      </c>
      <c r="H847" s="21">
        <f t="shared" si="1543"/>
        <v>0</v>
      </c>
      <c r="I847" s="21">
        <f t="shared" si="1543"/>
        <v>0</v>
      </c>
      <c r="J847" s="21">
        <f>55.2</f>
        <v>55.2</v>
      </c>
      <c r="K847" s="21">
        <f t="shared" ref="K847:O847" si="1544">0</f>
        <v>0</v>
      </c>
      <c r="L847" s="21">
        <f t="shared" si="1544"/>
        <v>0</v>
      </c>
      <c r="M847" s="21">
        <f t="shared" si="1544"/>
        <v>0</v>
      </c>
      <c r="N847" s="21">
        <f t="shared" si="1544"/>
        <v>0</v>
      </c>
      <c r="O847" s="21">
        <f t="shared" si="1544"/>
        <v>0</v>
      </c>
    </row>
    <row r="848">
      <c r="B848" s="20">
        <v>46265.0</v>
      </c>
      <c r="C848" s="21">
        <f t="shared" ref="C848:F848" si="1545">0</f>
        <v>0</v>
      </c>
      <c r="D848" s="21">
        <f t="shared" si="1545"/>
        <v>0</v>
      </c>
      <c r="E848" s="21">
        <f t="shared" si="1545"/>
        <v>0</v>
      </c>
      <c r="F848" s="21">
        <f t="shared" si="1545"/>
        <v>0</v>
      </c>
      <c r="G848" s="21">
        <f>22.5</f>
        <v>22.5</v>
      </c>
      <c r="H848" s="21">
        <f t="shared" ref="H848:N848" si="1546">0</f>
        <v>0</v>
      </c>
      <c r="I848" s="21">
        <f t="shared" si="1546"/>
        <v>0</v>
      </c>
      <c r="J848" s="21">
        <f t="shared" si="1546"/>
        <v>0</v>
      </c>
      <c r="K848" s="21">
        <f t="shared" si="1546"/>
        <v>0</v>
      </c>
      <c r="L848" s="21">
        <f t="shared" si="1546"/>
        <v>0</v>
      </c>
      <c r="M848" s="21">
        <f t="shared" si="1546"/>
        <v>0</v>
      </c>
      <c r="N848" s="21">
        <f t="shared" si="1546"/>
        <v>0</v>
      </c>
      <c r="O848" s="21">
        <f>22.5</f>
        <v>22.5</v>
      </c>
    </row>
    <row r="849">
      <c r="B849" s="20">
        <v>46265.0</v>
      </c>
      <c r="C849" s="21">
        <v>0.0</v>
      </c>
      <c r="D849" s="21">
        <v>0.0</v>
      </c>
      <c r="E849" s="21">
        <v>0.0</v>
      </c>
      <c r="F849" s="21">
        <v>0.0</v>
      </c>
      <c r="G849" s="21">
        <v>0.0</v>
      </c>
      <c r="H849" s="21">
        <v>0.0</v>
      </c>
      <c r="I849" s="21">
        <f>104</f>
        <v>104</v>
      </c>
      <c r="J849" s="21">
        <v>0.0</v>
      </c>
      <c r="K849" s="21">
        <v>0.0</v>
      </c>
      <c r="L849" s="21">
        <v>0.0</v>
      </c>
      <c r="M849" s="21">
        <v>0.0</v>
      </c>
      <c r="N849" s="21">
        <v>0.0</v>
      </c>
      <c r="O849" s="21">
        <v>0.0</v>
      </c>
    </row>
    <row r="850">
      <c r="B850" s="20">
        <v>46265.0</v>
      </c>
      <c r="C850" s="21">
        <f t="shared" ref="C850:I850" si="1547">0</f>
        <v>0</v>
      </c>
      <c r="D850" s="21">
        <f t="shared" si="1547"/>
        <v>0</v>
      </c>
      <c r="E850" s="21">
        <f t="shared" si="1547"/>
        <v>0</v>
      </c>
      <c r="F850" s="21">
        <f t="shared" si="1547"/>
        <v>0</v>
      </c>
      <c r="G850" s="21">
        <f t="shared" si="1547"/>
        <v>0</v>
      </c>
      <c r="H850" s="21">
        <f t="shared" si="1547"/>
        <v>0</v>
      </c>
      <c r="I850" s="21">
        <f t="shared" si="1547"/>
        <v>0</v>
      </c>
      <c r="J850" s="21">
        <f>212</f>
        <v>212</v>
      </c>
      <c r="K850" s="21">
        <f t="shared" ref="K850:O850" si="1548">0</f>
        <v>0</v>
      </c>
      <c r="L850" s="21">
        <f t="shared" si="1548"/>
        <v>0</v>
      </c>
      <c r="M850" s="21">
        <f t="shared" si="1548"/>
        <v>0</v>
      </c>
      <c r="N850" s="21">
        <f t="shared" si="1548"/>
        <v>0</v>
      </c>
      <c r="O850" s="21">
        <f t="shared" si="1548"/>
        <v>0</v>
      </c>
    </row>
    <row r="851">
      <c r="B851" s="20">
        <v>46265.0</v>
      </c>
      <c r="C851" s="21">
        <v>0.0</v>
      </c>
      <c r="D851" s="21">
        <v>0.0</v>
      </c>
      <c r="E851" s="21">
        <v>0.0</v>
      </c>
      <c r="F851" s="21">
        <v>0.0</v>
      </c>
      <c r="G851" s="21">
        <v>0.0</v>
      </c>
      <c r="H851" s="21">
        <v>0.0</v>
      </c>
      <c r="I851" s="21">
        <f>10</f>
        <v>10</v>
      </c>
      <c r="J851" s="21">
        <v>0.0</v>
      </c>
      <c r="K851" s="21">
        <v>0.0</v>
      </c>
      <c r="L851" s="21">
        <v>0.0</v>
      </c>
      <c r="M851" s="21">
        <v>0.0</v>
      </c>
      <c r="N851" s="21">
        <v>0.0</v>
      </c>
      <c r="O851" s="21">
        <v>0.0</v>
      </c>
    </row>
    <row r="852">
      <c r="B852" s="20">
        <v>46265.0</v>
      </c>
      <c r="C852" s="21">
        <f>28.2</f>
        <v>28.2</v>
      </c>
      <c r="D852" s="21">
        <f t="shared" ref="D852:J852" si="1549">0</f>
        <v>0</v>
      </c>
      <c r="E852" s="21">
        <f t="shared" si="1549"/>
        <v>0</v>
      </c>
      <c r="F852" s="21">
        <f t="shared" si="1549"/>
        <v>0</v>
      </c>
      <c r="G852" s="21">
        <f t="shared" si="1549"/>
        <v>0</v>
      </c>
      <c r="H852" s="21">
        <f t="shared" si="1549"/>
        <v>0</v>
      </c>
      <c r="I852" s="21">
        <f t="shared" si="1549"/>
        <v>0</v>
      </c>
      <c r="J852" s="21">
        <f t="shared" si="1549"/>
        <v>0</v>
      </c>
      <c r="K852" s="21">
        <f>56.4</f>
        <v>56.4</v>
      </c>
      <c r="L852" s="21">
        <f>0</f>
        <v>0</v>
      </c>
      <c r="M852" s="21">
        <f>9.4</f>
        <v>9.4</v>
      </c>
      <c r="N852" s="21">
        <f t="shared" ref="N852:O852" si="1550">0</f>
        <v>0</v>
      </c>
      <c r="O852" s="21">
        <f t="shared" si="1550"/>
        <v>0</v>
      </c>
    </row>
    <row r="853">
      <c r="B853" s="20">
        <v>46265.0</v>
      </c>
      <c r="C853" s="21">
        <v>0.0</v>
      </c>
      <c r="D853" s="21">
        <v>0.0</v>
      </c>
      <c r="E853" s="21">
        <v>0.0</v>
      </c>
      <c r="F853" s="21">
        <v>0.0</v>
      </c>
      <c r="G853" s="21">
        <v>0.0</v>
      </c>
      <c r="H853" s="21">
        <v>0.0</v>
      </c>
      <c r="I853" s="21">
        <v>0.0</v>
      </c>
      <c r="J853" s="21">
        <v>0.0</v>
      </c>
      <c r="K853" s="21">
        <v>0.0</v>
      </c>
      <c r="L853" s="21">
        <v>0.0</v>
      </c>
      <c r="M853" s="21">
        <v>0.0</v>
      </c>
      <c r="N853" s="21">
        <v>0.0</v>
      </c>
      <c r="O853" s="21">
        <f>85</f>
        <v>85</v>
      </c>
    </row>
    <row r="854">
      <c r="B854" s="20">
        <v>46265.0</v>
      </c>
      <c r="C854" s="21">
        <f>63</f>
        <v>63</v>
      </c>
      <c r="D854" s="21">
        <f t="shared" ref="D854:H854" si="1551">0</f>
        <v>0</v>
      </c>
      <c r="E854" s="21">
        <f t="shared" si="1551"/>
        <v>0</v>
      </c>
      <c r="F854" s="21">
        <f t="shared" si="1551"/>
        <v>0</v>
      </c>
      <c r="G854" s="21">
        <f t="shared" si="1551"/>
        <v>0</v>
      </c>
      <c r="H854" s="21">
        <f t="shared" si="1551"/>
        <v>0</v>
      </c>
      <c r="I854" s="21">
        <f>7</f>
        <v>7</v>
      </c>
      <c r="J854" s="21">
        <f t="shared" ref="J854:O854" si="1552">0</f>
        <v>0</v>
      </c>
      <c r="K854" s="21">
        <f t="shared" si="1552"/>
        <v>0</v>
      </c>
      <c r="L854" s="21">
        <f t="shared" si="1552"/>
        <v>0</v>
      </c>
      <c r="M854" s="21">
        <f t="shared" si="1552"/>
        <v>0</v>
      </c>
      <c r="N854" s="21">
        <f t="shared" si="1552"/>
        <v>0</v>
      </c>
      <c r="O854" s="21">
        <f t="shared" si="1552"/>
        <v>0</v>
      </c>
    </row>
    <row r="855">
      <c r="B855" s="20">
        <v>46265.0</v>
      </c>
      <c r="C855" s="21">
        <f>63.9</f>
        <v>63.9</v>
      </c>
      <c r="D855" s="21">
        <f t="shared" ref="D855:L855" si="1553">0</f>
        <v>0</v>
      </c>
      <c r="E855" s="21">
        <f t="shared" si="1553"/>
        <v>0</v>
      </c>
      <c r="F855" s="21">
        <f t="shared" si="1553"/>
        <v>0</v>
      </c>
      <c r="G855" s="21">
        <f t="shared" si="1553"/>
        <v>0</v>
      </c>
      <c r="H855" s="21">
        <f t="shared" si="1553"/>
        <v>0</v>
      </c>
      <c r="I855" s="21">
        <f t="shared" si="1553"/>
        <v>0</v>
      </c>
      <c r="J855" s="21">
        <f t="shared" si="1553"/>
        <v>0</v>
      </c>
      <c r="K855" s="21">
        <f t="shared" si="1553"/>
        <v>0</v>
      </c>
      <c r="L855" s="21">
        <f t="shared" si="1553"/>
        <v>0</v>
      </c>
      <c r="M855" s="21">
        <f>7.1</f>
        <v>7.1</v>
      </c>
      <c r="N855" s="21">
        <f t="shared" ref="N855:O855" si="1554">0</f>
        <v>0</v>
      </c>
      <c r="O855" s="21">
        <f t="shared" si="1554"/>
        <v>0</v>
      </c>
    </row>
    <row r="856">
      <c r="B856" s="20">
        <v>46265.0</v>
      </c>
      <c r="C856" s="21">
        <f t="shared" ref="C856:J856" si="1555">0</f>
        <v>0</v>
      </c>
      <c r="D856" s="21">
        <f t="shared" si="1555"/>
        <v>0</v>
      </c>
      <c r="E856" s="21">
        <f t="shared" si="1555"/>
        <v>0</v>
      </c>
      <c r="F856" s="21">
        <f t="shared" si="1555"/>
        <v>0</v>
      </c>
      <c r="G856" s="21">
        <f t="shared" si="1555"/>
        <v>0</v>
      </c>
      <c r="H856" s="21">
        <f t="shared" si="1555"/>
        <v>0</v>
      </c>
      <c r="I856" s="21">
        <f t="shared" si="1555"/>
        <v>0</v>
      </c>
      <c r="J856" s="21">
        <f t="shared" si="1555"/>
        <v>0</v>
      </c>
      <c r="K856" s="21">
        <f>33</f>
        <v>33</v>
      </c>
      <c r="L856" s="21">
        <f>0</f>
        <v>0</v>
      </c>
      <c r="M856" s="21">
        <f>13.2</f>
        <v>13.2</v>
      </c>
      <c r="N856" s="21">
        <f>0</f>
        <v>0</v>
      </c>
      <c r="O856" s="21">
        <f>19.8</f>
        <v>19.8</v>
      </c>
    </row>
    <row r="857">
      <c r="B857" s="20">
        <v>46265.0</v>
      </c>
      <c r="C857" s="21">
        <f t="shared" ref="C857:M857" si="1556">0</f>
        <v>0</v>
      </c>
      <c r="D857" s="21">
        <f t="shared" si="1556"/>
        <v>0</v>
      </c>
      <c r="E857" s="21">
        <f t="shared" si="1556"/>
        <v>0</v>
      </c>
      <c r="F857" s="21">
        <f t="shared" si="1556"/>
        <v>0</v>
      </c>
      <c r="G857" s="21">
        <f t="shared" si="1556"/>
        <v>0</v>
      </c>
      <c r="H857" s="21">
        <f t="shared" si="1556"/>
        <v>0</v>
      </c>
      <c r="I857" s="21">
        <f t="shared" si="1556"/>
        <v>0</v>
      </c>
      <c r="J857" s="21">
        <f t="shared" si="1556"/>
        <v>0</v>
      </c>
      <c r="K857" s="21">
        <f t="shared" si="1556"/>
        <v>0</v>
      </c>
      <c r="L857" s="21">
        <f t="shared" si="1556"/>
        <v>0</v>
      </c>
      <c r="M857" s="21">
        <f t="shared" si="1556"/>
        <v>0</v>
      </c>
      <c r="N857" s="21">
        <f>26</f>
        <v>26</v>
      </c>
      <c r="O857" s="21">
        <f t="shared" ref="O857:O858" si="1559">0</f>
        <v>0</v>
      </c>
    </row>
    <row r="858">
      <c r="B858" s="20">
        <v>46265.0</v>
      </c>
      <c r="C858" s="21">
        <f t="shared" ref="C858:F858" si="1557">0</f>
        <v>0</v>
      </c>
      <c r="D858" s="21">
        <f t="shared" si="1557"/>
        <v>0</v>
      </c>
      <c r="E858" s="21">
        <f t="shared" si="1557"/>
        <v>0</v>
      </c>
      <c r="F858" s="21">
        <f t="shared" si="1557"/>
        <v>0</v>
      </c>
      <c r="G858" s="21">
        <f>57.6</f>
        <v>57.6</v>
      </c>
      <c r="H858" s="21">
        <f t="shared" ref="H858:M858" si="1558">0</f>
        <v>0</v>
      </c>
      <c r="I858" s="21">
        <f t="shared" si="1558"/>
        <v>0</v>
      </c>
      <c r="J858" s="21">
        <f t="shared" si="1558"/>
        <v>0</v>
      </c>
      <c r="K858" s="21">
        <f t="shared" si="1558"/>
        <v>0</v>
      </c>
      <c r="L858" s="21">
        <f t="shared" si="1558"/>
        <v>0</v>
      </c>
      <c r="M858" s="21">
        <f t="shared" si="1558"/>
        <v>0</v>
      </c>
      <c r="N858" s="21">
        <f>6.4</f>
        <v>6.4</v>
      </c>
      <c r="O858" s="21">
        <f t="shared" si="1559"/>
        <v>0</v>
      </c>
    </row>
    <row r="859">
      <c r="B859" s="20">
        <v>46265.0</v>
      </c>
      <c r="C859" s="21">
        <f t="shared" ref="C859:K859" si="1560">0</f>
        <v>0</v>
      </c>
      <c r="D859" s="21">
        <f t="shared" si="1560"/>
        <v>0</v>
      </c>
      <c r="E859" s="21">
        <f t="shared" si="1560"/>
        <v>0</v>
      </c>
      <c r="F859" s="21">
        <f t="shared" si="1560"/>
        <v>0</v>
      </c>
      <c r="G859" s="21">
        <f t="shared" si="1560"/>
        <v>0</v>
      </c>
      <c r="H859" s="21">
        <f t="shared" si="1560"/>
        <v>0</v>
      </c>
      <c r="I859" s="21">
        <f t="shared" si="1560"/>
        <v>0</v>
      </c>
      <c r="J859" s="21">
        <f t="shared" si="1560"/>
        <v>0</v>
      </c>
      <c r="K859" s="21">
        <f t="shared" si="1560"/>
        <v>0</v>
      </c>
      <c r="L859" s="21">
        <f>53.1</f>
        <v>53.1</v>
      </c>
      <c r="M859" s="21">
        <f t="shared" ref="M859:N859" si="1561">0</f>
        <v>0</v>
      </c>
      <c r="N859" s="21">
        <f t="shared" si="1561"/>
        <v>0</v>
      </c>
      <c r="O859" s="21">
        <f>5.9</f>
        <v>5.9</v>
      </c>
    </row>
    <row r="860">
      <c r="B860" s="20">
        <v>46265.0</v>
      </c>
      <c r="C860" s="21">
        <v>0.0</v>
      </c>
      <c r="D860" s="21">
        <v>0.0</v>
      </c>
      <c r="E860" s="21">
        <v>0.0</v>
      </c>
      <c r="F860" s="21">
        <v>0.0</v>
      </c>
      <c r="G860" s="21">
        <v>0.0</v>
      </c>
      <c r="H860" s="21">
        <v>0.0</v>
      </c>
      <c r="I860" s="21">
        <f>107</f>
        <v>107</v>
      </c>
      <c r="J860" s="21">
        <v>0.0</v>
      </c>
      <c r="K860" s="21">
        <v>0.0</v>
      </c>
      <c r="L860" s="21">
        <v>0.0</v>
      </c>
      <c r="M860" s="21">
        <v>0.0</v>
      </c>
      <c r="N860" s="21">
        <v>0.0</v>
      </c>
      <c r="O860" s="21">
        <v>0.0</v>
      </c>
    </row>
    <row r="861">
      <c r="B861" s="20">
        <v>46266.0</v>
      </c>
      <c r="C861" s="21">
        <f>7.8</f>
        <v>7.8</v>
      </c>
      <c r="D861" s="21">
        <f t="shared" ref="D861:F861" si="1562">0</f>
        <v>0</v>
      </c>
      <c r="E861" s="21">
        <f t="shared" si="1562"/>
        <v>0</v>
      </c>
      <c r="F861" s="21">
        <f t="shared" si="1562"/>
        <v>0</v>
      </c>
      <c r="G861" s="21">
        <f>7.8</f>
        <v>7.8</v>
      </c>
      <c r="H861" s="21">
        <f t="shared" ref="H861:I861" si="1563">0</f>
        <v>0</v>
      </c>
      <c r="I861" s="21">
        <f t="shared" si="1563"/>
        <v>0</v>
      </c>
      <c r="J861" s="21">
        <f>39</f>
        <v>39</v>
      </c>
      <c r="K861" s="21">
        <f t="shared" ref="K861:L861" si="1564">0</f>
        <v>0</v>
      </c>
      <c r="L861" s="21">
        <f t="shared" si="1564"/>
        <v>0</v>
      </c>
      <c r="M861" s="21">
        <f>23.4</f>
        <v>23.4</v>
      </c>
      <c r="N861" s="21">
        <f t="shared" ref="N861:O861" si="1565">0</f>
        <v>0</v>
      </c>
      <c r="O861" s="21">
        <f t="shared" si="1565"/>
        <v>0</v>
      </c>
    </row>
    <row r="862">
      <c r="B862" s="20">
        <v>46266.0</v>
      </c>
      <c r="C862" s="21">
        <f>16.8</f>
        <v>16.8</v>
      </c>
      <c r="D862" s="21">
        <f t="shared" ref="D862:F862" si="1566">0</f>
        <v>0</v>
      </c>
      <c r="E862" s="21">
        <f t="shared" si="1566"/>
        <v>0</v>
      </c>
      <c r="F862" s="21">
        <f t="shared" si="1566"/>
        <v>0</v>
      </c>
      <c r="G862" s="21">
        <f>21</f>
        <v>21</v>
      </c>
      <c r="H862" s="21">
        <f t="shared" ref="H862:N862" si="1567">0</f>
        <v>0</v>
      </c>
      <c r="I862" s="21">
        <f t="shared" si="1567"/>
        <v>0</v>
      </c>
      <c r="J862" s="21">
        <f t="shared" si="1567"/>
        <v>0</v>
      </c>
      <c r="K862" s="21">
        <f t="shared" si="1567"/>
        <v>0</v>
      </c>
      <c r="L862" s="21">
        <f t="shared" si="1567"/>
        <v>0</v>
      </c>
      <c r="M862" s="21">
        <f t="shared" si="1567"/>
        <v>0</v>
      </c>
      <c r="N862" s="21">
        <f t="shared" si="1567"/>
        <v>0</v>
      </c>
      <c r="O862" s="21">
        <f>4.2</f>
        <v>4.2</v>
      </c>
    </row>
    <row r="863">
      <c r="B863" s="20">
        <v>46266.0</v>
      </c>
      <c r="C863" s="21">
        <f t="shared" ref="C863:D863" si="1568">4.6</f>
        <v>4.6</v>
      </c>
      <c r="D863" s="21">
        <f t="shared" si="1568"/>
        <v>4.6</v>
      </c>
      <c r="E863" s="21">
        <f t="shared" ref="E863:L863" si="1569">0</f>
        <v>0</v>
      </c>
      <c r="F863" s="21">
        <f t="shared" si="1569"/>
        <v>0</v>
      </c>
      <c r="G863" s="21">
        <f t="shared" si="1569"/>
        <v>0</v>
      </c>
      <c r="H863" s="21">
        <f t="shared" si="1569"/>
        <v>0</v>
      </c>
      <c r="I863" s="21">
        <f t="shared" si="1569"/>
        <v>0</v>
      </c>
      <c r="J863" s="21">
        <f t="shared" si="1569"/>
        <v>0</v>
      </c>
      <c r="K863" s="21">
        <f t="shared" si="1569"/>
        <v>0</v>
      </c>
      <c r="L863" s="21">
        <f t="shared" si="1569"/>
        <v>0</v>
      </c>
      <c r="M863" s="21">
        <f>36.8</f>
        <v>36.8</v>
      </c>
      <c r="N863" s="21">
        <f t="shared" ref="N863:O863" si="1570">0</f>
        <v>0</v>
      </c>
      <c r="O863" s="21">
        <f t="shared" si="1570"/>
        <v>0</v>
      </c>
    </row>
    <row r="864">
      <c r="B864" s="20">
        <v>46266.0</v>
      </c>
      <c r="C864" s="21">
        <f>24.8</f>
        <v>24.8</v>
      </c>
      <c r="D864" s="21">
        <f>0</f>
        <v>0</v>
      </c>
      <c r="E864" s="21">
        <f>24.8</f>
        <v>24.8</v>
      </c>
      <c r="F864" s="21">
        <f t="shared" ref="F864:H864" si="1571">0</f>
        <v>0</v>
      </c>
      <c r="G864" s="21">
        <f t="shared" si="1571"/>
        <v>0</v>
      </c>
      <c r="H864" s="21">
        <f t="shared" si="1571"/>
        <v>0</v>
      </c>
      <c r="I864" s="21">
        <f>12.4</f>
        <v>12.4</v>
      </c>
      <c r="J864" s="21">
        <f t="shared" ref="J864:O864" si="1572">0</f>
        <v>0</v>
      </c>
      <c r="K864" s="21">
        <f t="shared" si="1572"/>
        <v>0</v>
      </c>
      <c r="L864" s="21">
        <f t="shared" si="1572"/>
        <v>0</v>
      </c>
      <c r="M864" s="21">
        <f t="shared" si="1572"/>
        <v>0</v>
      </c>
      <c r="N864" s="21">
        <f t="shared" si="1572"/>
        <v>0</v>
      </c>
      <c r="O864" s="21">
        <f t="shared" si="1572"/>
        <v>0</v>
      </c>
    </row>
    <row r="865">
      <c r="B865" s="20">
        <v>46266.0</v>
      </c>
      <c r="C865" s="21">
        <f t="shared" ref="C865:E865" si="1573">0</f>
        <v>0</v>
      </c>
      <c r="D865" s="21">
        <f t="shared" si="1573"/>
        <v>0</v>
      </c>
      <c r="E865" s="21">
        <f t="shared" si="1573"/>
        <v>0</v>
      </c>
      <c r="F865" s="21">
        <f>4.4</f>
        <v>4.4</v>
      </c>
      <c r="G865" s="21">
        <f t="shared" ref="G865:H865" si="1574">0</f>
        <v>0</v>
      </c>
      <c r="H865" s="21">
        <f t="shared" si="1574"/>
        <v>0</v>
      </c>
      <c r="I865" s="21">
        <f>4.4</f>
        <v>4.4</v>
      </c>
      <c r="J865" s="21">
        <f t="shared" ref="J865:L865" si="1575">0</f>
        <v>0</v>
      </c>
      <c r="K865" s="21">
        <f t="shared" si="1575"/>
        <v>0</v>
      </c>
      <c r="L865" s="21">
        <f t="shared" si="1575"/>
        <v>0</v>
      </c>
      <c r="M865" s="21">
        <f>35.2</f>
        <v>35.2</v>
      </c>
      <c r="N865" s="21">
        <f t="shared" ref="N865:O865" si="1576">0</f>
        <v>0</v>
      </c>
      <c r="O865" s="21">
        <f t="shared" si="1576"/>
        <v>0</v>
      </c>
    </row>
    <row r="866">
      <c r="B866" s="20">
        <v>46266.0</v>
      </c>
      <c r="C866" s="21">
        <f t="shared" ref="C866:F866" si="1577">0</f>
        <v>0</v>
      </c>
      <c r="D866" s="21">
        <f t="shared" si="1577"/>
        <v>0</v>
      </c>
      <c r="E866" s="21">
        <f t="shared" si="1577"/>
        <v>0</v>
      </c>
      <c r="F866" s="21">
        <f t="shared" si="1577"/>
        <v>0</v>
      </c>
      <c r="G866" s="21">
        <f>13.6</f>
        <v>13.6</v>
      </c>
      <c r="H866" s="21">
        <f t="shared" ref="H866:L866" si="1578">0</f>
        <v>0</v>
      </c>
      <c r="I866" s="21">
        <f t="shared" si="1578"/>
        <v>0</v>
      </c>
      <c r="J866" s="21">
        <f t="shared" si="1578"/>
        <v>0</v>
      </c>
      <c r="K866" s="21">
        <f t="shared" si="1578"/>
        <v>0</v>
      </c>
      <c r="L866" s="21">
        <f t="shared" si="1578"/>
        <v>0</v>
      </c>
      <c r="M866" s="21">
        <f>54.4</f>
        <v>54.4</v>
      </c>
      <c r="N866" s="21">
        <f t="shared" ref="N866:O866" si="1579">0</f>
        <v>0</v>
      </c>
      <c r="O866" s="21">
        <f t="shared" si="1579"/>
        <v>0</v>
      </c>
    </row>
    <row r="867">
      <c r="B867" s="20">
        <v>46266.0</v>
      </c>
      <c r="C867" s="21">
        <f t="shared" ref="C867:D867" si="1580">0</f>
        <v>0</v>
      </c>
      <c r="D867" s="21">
        <f t="shared" si="1580"/>
        <v>0</v>
      </c>
      <c r="E867" s="21">
        <f>26.4</f>
        <v>26.4</v>
      </c>
      <c r="F867" s="21">
        <f>0</f>
        <v>0</v>
      </c>
      <c r="G867" s="21">
        <f>8.8</f>
        <v>8.8</v>
      </c>
      <c r="H867" s="21">
        <f t="shared" ref="H867:H868" si="1583">0</f>
        <v>0</v>
      </c>
      <c r="I867" s="21">
        <f>52.8</f>
        <v>52.8</v>
      </c>
      <c r="J867" s="21">
        <f t="shared" ref="J867:O867" si="1581">0</f>
        <v>0</v>
      </c>
      <c r="K867" s="21">
        <f t="shared" si="1581"/>
        <v>0</v>
      </c>
      <c r="L867" s="21">
        <f t="shared" si="1581"/>
        <v>0</v>
      </c>
      <c r="M867" s="21">
        <f t="shared" si="1581"/>
        <v>0</v>
      </c>
      <c r="N867" s="21">
        <f t="shared" si="1581"/>
        <v>0</v>
      </c>
      <c r="O867" s="21">
        <f t="shared" si="1581"/>
        <v>0</v>
      </c>
    </row>
    <row r="868">
      <c r="B868" s="20">
        <v>46266.0</v>
      </c>
      <c r="C868" s="21">
        <f>9.6</f>
        <v>9.6</v>
      </c>
      <c r="D868" s="21">
        <f t="shared" ref="D868:F868" si="1582">0</f>
        <v>0</v>
      </c>
      <c r="E868" s="21">
        <f t="shared" si="1582"/>
        <v>0</v>
      </c>
      <c r="F868" s="21">
        <f t="shared" si="1582"/>
        <v>0</v>
      </c>
      <c r="G868" s="21">
        <f>14.4</f>
        <v>14.4</v>
      </c>
      <c r="H868" s="21">
        <f t="shared" si="1583"/>
        <v>0</v>
      </c>
      <c r="I868" s="21">
        <f t="shared" ref="I868:O868" si="1584">0</f>
        <v>0</v>
      </c>
      <c r="J868" s="21">
        <f t="shared" si="1584"/>
        <v>0</v>
      </c>
      <c r="K868" s="21">
        <f t="shared" si="1584"/>
        <v>0</v>
      </c>
      <c r="L868" s="21">
        <f t="shared" si="1584"/>
        <v>0</v>
      </c>
      <c r="M868" s="21">
        <f t="shared" si="1584"/>
        <v>0</v>
      </c>
      <c r="N868" s="21">
        <f t="shared" si="1584"/>
        <v>0</v>
      </c>
      <c r="O868" s="21">
        <f t="shared" si="1584"/>
        <v>0</v>
      </c>
    </row>
    <row r="869">
      <c r="B869" s="20">
        <v>46266.0</v>
      </c>
      <c r="C869" s="21">
        <f t="shared" ref="C869:E869" si="1585">0</f>
        <v>0</v>
      </c>
      <c r="D869" s="21">
        <f t="shared" si="1585"/>
        <v>0</v>
      </c>
      <c r="E869" s="21">
        <f t="shared" si="1585"/>
        <v>0</v>
      </c>
      <c r="F869" s="21">
        <f>35.6</f>
        <v>35.6</v>
      </c>
      <c r="G869" s="21">
        <f t="shared" ref="G869:H869" si="1586">0</f>
        <v>0</v>
      </c>
      <c r="H869" s="21">
        <f t="shared" si="1586"/>
        <v>0</v>
      </c>
      <c r="I869" s="21">
        <f>35.6</f>
        <v>35.6</v>
      </c>
      <c r="J869" s="21">
        <f t="shared" ref="J869:N869" si="1587">0</f>
        <v>0</v>
      </c>
      <c r="K869" s="21">
        <f t="shared" si="1587"/>
        <v>0</v>
      </c>
      <c r="L869" s="21">
        <f t="shared" si="1587"/>
        <v>0</v>
      </c>
      <c r="M869" s="21">
        <f t="shared" si="1587"/>
        <v>0</v>
      </c>
      <c r="N869" s="21">
        <f t="shared" si="1587"/>
        <v>0</v>
      </c>
      <c r="O869" s="21">
        <f>17.8</f>
        <v>17.8</v>
      </c>
    </row>
    <row r="870">
      <c r="B870" s="20">
        <v>46267.0</v>
      </c>
      <c r="C870" s="21">
        <v>0.0</v>
      </c>
      <c r="D870" s="21">
        <v>0.0</v>
      </c>
      <c r="E870" s="21">
        <v>0.0</v>
      </c>
      <c r="F870" s="21">
        <v>0.0</v>
      </c>
      <c r="G870" s="21">
        <v>0.0</v>
      </c>
      <c r="H870" s="21">
        <v>0.0</v>
      </c>
      <c r="I870" s="21">
        <v>0.0</v>
      </c>
      <c r="J870" s="21">
        <v>0.0</v>
      </c>
      <c r="K870" s="21">
        <v>0.0</v>
      </c>
      <c r="L870" s="21">
        <v>0.0</v>
      </c>
      <c r="M870" s="21">
        <v>0.0</v>
      </c>
      <c r="N870" s="21">
        <v>0.0</v>
      </c>
      <c r="O870" s="21">
        <f>23</f>
        <v>23</v>
      </c>
    </row>
    <row r="871">
      <c r="B871" s="20">
        <v>46267.0</v>
      </c>
      <c r="C871" s="21">
        <f t="shared" ref="C871:E871" si="1588">0</f>
        <v>0</v>
      </c>
      <c r="D871" s="21">
        <f t="shared" si="1588"/>
        <v>0</v>
      </c>
      <c r="E871" s="21">
        <f t="shared" si="1588"/>
        <v>0</v>
      </c>
      <c r="F871" s="21">
        <f>24</f>
        <v>24</v>
      </c>
      <c r="G871" s="21">
        <f t="shared" ref="G871:O871" si="1589">0</f>
        <v>0</v>
      </c>
      <c r="H871" s="21">
        <f t="shared" si="1589"/>
        <v>0</v>
      </c>
      <c r="I871" s="21">
        <f t="shared" si="1589"/>
        <v>0</v>
      </c>
      <c r="J871" s="21">
        <f t="shared" si="1589"/>
        <v>0</v>
      </c>
      <c r="K871" s="21">
        <f t="shared" si="1589"/>
        <v>0</v>
      </c>
      <c r="L871" s="21">
        <f t="shared" si="1589"/>
        <v>0</v>
      </c>
      <c r="M871" s="21">
        <f t="shared" si="1589"/>
        <v>0</v>
      </c>
      <c r="N871" s="21">
        <f t="shared" si="1589"/>
        <v>0</v>
      </c>
      <c r="O871" s="21">
        <f t="shared" si="1589"/>
        <v>0</v>
      </c>
    </row>
    <row r="872">
      <c r="B872" s="20">
        <v>46267.0</v>
      </c>
      <c r="C872" s="21">
        <v>0.0</v>
      </c>
      <c r="D872" s="21">
        <v>0.0</v>
      </c>
      <c r="E872" s="21">
        <v>0.0</v>
      </c>
      <c r="F872" s="21">
        <v>0.0</v>
      </c>
      <c r="G872" s="21">
        <v>0.0</v>
      </c>
      <c r="H872" s="21">
        <v>0.0</v>
      </c>
      <c r="I872" s="21">
        <v>0.0</v>
      </c>
      <c r="J872" s="21">
        <v>0.0</v>
      </c>
      <c r="K872" s="21">
        <v>0.0</v>
      </c>
      <c r="L872" s="21">
        <v>0.0</v>
      </c>
      <c r="M872" s="21">
        <v>0.0</v>
      </c>
      <c r="N872" s="21">
        <v>0.0</v>
      </c>
      <c r="O872" s="21">
        <f>44</f>
        <v>44</v>
      </c>
    </row>
    <row r="873">
      <c r="B873" s="20">
        <v>46267.0</v>
      </c>
      <c r="C873" s="21">
        <f t="shared" ref="C873:L873" si="1590">0</f>
        <v>0</v>
      </c>
      <c r="D873" s="21">
        <f t="shared" si="1590"/>
        <v>0</v>
      </c>
      <c r="E873" s="21">
        <f t="shared" si="1590"/>
        <v>0</v>
      </c>
      <c r="F873" s="21">
        <f t="shared" si="1590"/>
        <v>0</v>
      </c>
      <c r="G873" s="21">
        <f t="shared" si="1590"/>
        <v>0</v>
      </c>
      <c r="H873" s="21">
        <f t="shared" si="1590"/>
        <v>0</v>
      </c>
      <c r="I873" s="21">
        <f t="shared" si="1590"/>
        <v>0</v>
      </c>
      <c r="J873" s="21">
        <f t="shared" si="1590"/>
        <v>0</v>
      </c>
      <c r="K873" s="21">
        <f t="shared" si="1590"/>
        <v>0</v>
      </c>
      <c r="L873" s="21">
        <f t="shared" si="1590"/>
        <v>0</v>
      </c>
      <c r="M873" s="21">
        <f>4</f>
        <v>4</v>
      </c>
      <c r="N873" s="21">
        <f t="shared" ref="N873:O873" si="1591">0</f>
        <v>0</v>
      </c>
      <c r="O873" s="21">
        <f t="shared" si="1591"/>
        <v>0</v>
      </c>
    </row>
    <row r="874">
      <c r="B874" s="20">
        <v>46267.0</v>
      </c>
      <c r="C874" s="21">
        <f t="shared" ref="C874:L874" si="1592">0</f>
        <v>0</v>
      </c>
      <c r="D874" s="21">
        <f t="shared" si="1592"/>
        <v>0</v>
      </c>
      <c r="E874" s="21">
        <f t="shared" si="1592"/>
        <v>0</v>
      </c>
      <c r="F874" s="21">
        <f t="shared" si="1592"/>
        <v>0</v>
      </c>
      <c r="G874" s="21">
        <f t="shared" si="1592"/>
        <v>0</v>
      </c>
      <c r="H874" s="21">
        <f t="shared" si="1592"/>
        <v>0</v>
      </c>
      <c r="I874" s="21">
        <f t="shared" si="1592"/>
        <v>0</v>
      </c>
      <c r="J874" s="21">
        <f t="shared" si="1592"/>
        <v>0</v>
      </c>
      <c r="K874" s="21">
        <f t="shared" si="1592"/>
        <v>0</v>
      </c>
      <c r="L874" s="21">
        <f t="shared" si="1592"/>
        <v>0</v>
      </c>
      <c r="M874" s="21">
        <f>7.8</f>
        <v>7.8</v>
      </c>
      <c r="N874" s="21">
        <f>0</f>
        <v>0</v>
      </c>
      <c r="O874" s="21">
        <f>5.2</f>
        <v>5.2</v>
      </c>
    </row>
    <row r="875">
      <c r="B875" s="20">
        <v>46267.0</v>
      </c>
      <c r="C875" s="21">
        <f t="shared" ref="C875:D875" si="1593">0</f>
        <v>0</v>
      </c>
      <c r="D875" s="21">
        <f t="shared" si="1593"/>
        <v>0</v>
      </c>
      <c r="E875" s="21">
        <f>8.4</f>
        <v>8.4</v>
      </c>
      <c r="F875" s="21">
        <f t="shared" ref="F875:H875" si="1594">0</f>
        <v>0</v>
      </c>
      <c r="G875" s="21">
        <f t="shared" si="1594"/>
        <v>0</v>
      </c>
      <c r="H875" s="21">
        <f t="shared" si="1594"/>
        <v>0</v>
      </c>
      <c r="I875" s="21">
        <f>4.2</f>
        <v>4.2</v>
      </c>
      <c r="J875" s="21">
        <f t="shared" ref="J875:M875" si="1595">0</f>
        <v>0</v>
      </c>
      <c r="K875" s="21">
        <f t="shared" si="1595"/>
        <v>0</v>
      </c>
      <c r="L875" s="21">
        <f t="shared" si="1595"/>
        <v>0</v>
      </c>
      <c r="M875" s="21">
        <f t="shared" si="1595"/>
        <v>0</v>
      </c>
      <c r="N875" s="21">
        <f>8.4</f>
        <v>8.4</v>
      </c>
      <c r="O875" s="21">
        <f>0</f>
        <v>0</v>
      </c>
    </row>
    <row r="876">
      <c r="B876" s="20">
        <v>46267.0</v>
      </c>
      <c r="C876" s="21">
        <f t="shared" ref="C876:E876" si="1596">0</f>
        <v>0</v>
      </c>
      <c r="D876" s="21">
        <f t="shared" si="1596"/>
        <v>0</v>
      </c>
      <c r="E876" s="21">
        <f t="shared" si="1596"/>
        <v>0</v>
      </c>
      <c r="F876" s="21">
        <f>24</f>
        <v>24</v>
      </c>
      <c r="G876" s="21">
        <f t="shared" ref="G876:N876" si="1597">0</f>
        <v>0</v>
      </c>
      <c r="H876" s="21">
        <f t="shared" si="1597"/>
        <v>0</v>
      </c>
      <c r="I876" s="21">
        <f t="shared" si="1597"/>
        <v>0</v>
      </c>
      <c r="J876" s="21">
        <f t="shared" si="1597"/>
        <v>0</v>
      </c>
      <c r="K876" s="21">
        <f t="shared" si="1597"/>
        <v>0</v>
      </c>
      <c r="L876" s="21">
        <f t="shared" si="1597"/>
        <v>0</v>
      </c>
      <c r="M876" s="21">
        <f t="shared" si="1597"/>
        <v>0</v>
      </c>
      <c r="N876" s="21">
        <f t="shared" si="1597"/>
        <v>0</v>
      </c>
      <c r="O876" s="21">
        <f>24</f>
        <v>24</v>
      </c>
    </row>
    <row r="877">
      <c r="B877" s="20">
        <v>46267.0</v>
      </c>
      <c r="C877" s="21">
        <f t="shared" ref="C877:H877" si="1598">0</f>
        <v>0</v>
      </c>
      <c r="D877" s="21">
        <f t="shared" si="1598"/>
        <v>0</v>
      </c>
      <c r="E877" s="21">
        <f t="shared" si="1598"/>
        <v>0</v>
      </c>
      <c r="F877" s="21">
        <f t="shared" si="1598"/>
        <v>0</v>
      </c>
      <c r="G877" s="21">
        <f t="shared" si="1598"/>
        <v>0</v>
      </c>
      <c r="H877" s="21">
        <f t="shared" si="1598"/>
        <v>0</v>
      </c>
      <c r="I877" s="21">
        <f>40</f>
        <v>40</v>
      </c>
      <c r="J877" s="21">
        <f t="shared" ref="J877:O877" si="1599">0</f>
        <v>0</v>
      </c>
      <c r="K877" s="21">
        <f t="shared" si="1599"/>
        <v>0</v>
      </c>
      <c r="L877" s="21">
        <f t="shared" si="1599"/>
        <v>0</v>
      </c>
      <c r="M877" s="21">
        <f t="shared" si="1599"/>
        <v>0</v>
      </c>
      <c r="N877" s="21">
        <f t="shared" si="1599"/>
        <v>0</v>
      </c>
      <c r="O877" s="21">
        <f t="shared" si="1599"/>
        <v>0</v>
      </c>
    </row>
    <row r="878">
      <c r="B878" s="20">
        <v>46268.0</v>
      </c>
      <c r="C878" s="28">
        <f>18</f>
        <v>18</v>
      </c>
      <c r="D878" s="28">
        <f t="shared" ref="D878:F878" si="1600">0</f>
        <v>0</v>
      </c>
      <c r="E878" s="28">
        <f t="shared" si="1600"/>
        <v>0</v>
      </c>
      <c r="F878" s="28">
        <f t="shared" si="1600"/>
        <v>0</v>
      </c>
      <c r="G878" s="28">
        <f>9</f>
        <v>9</v>
      </c>
      <c r="H878" s="28">
        <f t="shared" ref="H878:L878" si="1601">0</f>
        <v>0</v>
      </c>
      <c r="I878" s="28">
        <f t="shared" si="1601"/>
        <v>0</v>
      </c>
      <c r="J878" s="28">
        <f t="shared" si="1601"/>
        <v>0</v>
      </c>
      <c r="K878" s="28">
        <f t="shared" si="1601"/>
        <v>0</v>
      </c>
      <c r="L878" s="28">
        <f t="shared" si="1601"/>
        <v>0</v>
      </c>
      <c r="M878" s="28">
        <f>18</f>
        <v>18</v>
      </c>
      <c r="N878" s="28">
        <f t="shared" ref="N878:O878" si="1602">0</f>
        <v>0</v>
      </c>
      <c r="O878" s="28">
        <f t="shared" si="1602"/>
        <v>0</v>
      </c>
    </row>
    <row r="879">
      <c r="B879" s="20">
        <v>46268.0</v>
      </c>
      <c r="C879" s="21">
        <f t="shared" ref="C879:E879" si="1603">0</f>
        <v>0</v>
      </c>
      <c r="D879" s="21">
        <f t="shared" si="1603"/>
        <v>0</v>
      </c>
      <c r="E879" s="21">
        <f t="shared" si="1603"/>
        <v>0</v>
      </c>
      <c r="F879" s="21">
        <f>94</f>
        <v>94</v>
      </c>
      <c r="G879" s="21">
        <f t="shared" ref="G879:O879" si="1604">0</f>
        <v>0</v>
      </c>
      <c r="H879" s="21">
        <f t="shared" si="1604"/>
        <v>0</v>
      </c>
      <c r="I879" s="21">
        <f t="shared" si="1604"/>
        <v>0</v>
      </c>
      <c r="J879" s="21">
        <f t="shared" si="1604"/>
        <v>0</v>
      </c>
      <c r="K879" s="21">
        <f t="shared" si="1604"/>
        <v>0</v>
      </c>
      <c r="L879" s="21">
        <f t="shared" si="1604"/>
        <v>0</v>
      </c>
      <c r="M879" s="21">
        <f t="shared" si="1604"/>
        <v>0</v>
      </c>
      <c r="N879" s="21">
        <f t="shared" si="1604"/>
        <v>0</v>
      </c>
      <c r="O879" s="21">
        <f t="shared" si="1604"/>
        <v>0</v>
      </c>
    </row>
    <row r="880">
      <c r="B880" s="20">
        <v>46268.0</v>
      </c>
      <c r="C880" s="21">
        <v>0.0</v>
      </c>
      <c r="D880" s="21">
        <v>0.0</v>
      </c>
      <c r="E880" s="21">
        <v>0.0</v>
      </c>
      <c r="F880" s="21">
        <v>0.0</v>
      </c>
      <c r="G880" s="21">
        <v>0.0</v>
      </c>
      <c r="H880" s="21">
        <v>0.0</v>
      </c>
      <c r="I880" s="21">
        <v>0.0</v>
      </c>
      <c r="J880" s="21">
        <v>0.0</v>
      </c>
      <c r="K880" s="21">
        <v>0.0</v>
      </c>
      <c r="L880" s="21">
        <v>0.0</v>
      </c>
      <c r="M880" s="21">
        <v>0.0</v>
      </c>
      <c r="N880" s="21">
        <v>0.0</v>
      </c>
      <c r="O880" s="21">
        <f>44</f>
        <v>44</v>
      </c>
    </row>
    <row r="881">
      <c r="B881" s="20">
        <v>46268.0</v>
      </c>
      <c r="C881" s="21">
        <f t="shared" ref="C881:H881" si="1605">0</f>
        <v>0</v>
      </c>
      <c r="D881" s="21">
        <f t="shared" si="1605"/>
        <v>0</v>
      </c>
      <c r="E881" s="21">
        <f t="shared" si="1605"/>
        <v>0</v>
      </c>
      <c r="F881" s="21">
        <f t="shared" si="1605"/>
        <v>0</v>
      </c>
      <c r="G881" s="21">
        <f t="shared" si="1605"/>
        <v>0</v>
      </c>
      <c r="H881" s="21">
        <f t="shared" si="1605"/>
        <v>0</v>
      </c>
      <c r="I881" s="21">
        <f>57.6</f>
        <v>57.6</v>
      </c>
      <c r="J881" s="21">
        <f t="shared" ref="J881:N881" si="1606">0</f>
        <v>0</v>
      </c>
      <c r="K881" s="21">
        <f t="shared" si="1606"/>
        <v>0</v>
      </c>
      <c r="L881" s="21">
        <f t="shared" si="1606"/>
        <v>0</v>
      </c>
      <c r="M881" s="21">
        <f t="shared" si="1606"/>
        <v>0</v>
      </c>
      <c r="N881" s="21">
        <f t="shared" si="1606"/>
        <v>0</v>
      </c>
      <c r="O881" s="21">
        <f>6.4</f>
        <v>6.4</v>
      </c>
    </row>
    <row r="882">
      <c r="B882" s="20">
        <v>46268.0</v>
      </c>
      <c r="C882" s="21">
        <f t="shared" ref="C882:E882" si="1607">0</f>
        <v>0</v>
      </c>
      <c r="D882" s="21">
        <f t="shared" si="1607"/>
        <v>0</v>
      </c>
      <c r="E882" s="21">
        <f t="shared" si="1607"/>
        <v>0</v>
      </c>
      <c r="F882" s="21">
        <f>22</f>
        <v>22</v>
      </c>
      <c r="G882" s="21">
        <f t="shared" ref="G882:I882" si="1608">0</f>
        <v>0</v>
      </c>
      <c r="H882" s="21">
        <f t="shared" si="1608"/>
        <v>0</v>
      </c>
      <c r="I882" s="21">
        <f t="shared" si="1608"/>
        <v>0</v>
      </c>
      <c r="J882" s="21">
        <f>13.2</f>
        <v>13.2</v>
      </c>
      <c r="K882" s="21">
        <f t="shared" ref="K882:N882" si="1609">0</f>
        <v>0</v>
      </c>
      <c r="L882" s="21">
        <f t="shared" si="1609"/>
        <v>0</v>
      </c>
      <c r="M882" s="21">
        <f t="shared" si="1609"/>
        <v>0</v>
      </c>
      <c r="N882" s="21">
        <f t="shared" si="1609"/>
        <v>0</v>
      </c>
      <c r="O882" s="21">
        <f>8.8</f>
        <v>8.8</v>
      </c>
    </row>
    <row r="883">
      <c r="B883" s="20">
        <v>46268.0</v>
      </c>
      <c r="C883" s="21">
        <f t="shared" ref="C883:H883" si="1610">0</f>
        <v>0</v>
      </c>
      <c r="D883" s="21">
        <f t="shared" si="1610"/>
        <v>0</v>
      </c>
      <c r="E883" s="21">
        <f t="shared" si="1610"/>
        <v>0</v>
      </c>
      <c r="F883" s="21">
        <f t="shared" si="1610"/>
        <v>0</v>
      </c>
      <c r="G883" s="21">
        <f t="shared" si="1610"/>
        <v>0</v>
      </c>
      <c r="H883" s="21">
        <f t="shared" si="1610"/>
        <v>0</v>
      </c>
      <c r="I883" s="21">
        <f>54</f>
        <v>54</v>
      </c>
      <c r="J883" s="21">
        <f t="shared" ref="J883:O883" si="1611">0</f>
        <v>0</v>
      </c>
      <c r="K883" s="21">
        <f t="shared" si="1611"/>
        <v>0</v>
      </c>
      <c r="L883" s="21">
        <f t="shared" si="1611"/>
        <v>0</v>
      </c>
      <c r="M883" s="21">
        <f t="shared" si="1611"/>
        <v>0</v>
      </c>
      <c r="N883" s="21">
        <f t="shared" si="1611"/>
        <v>0</v>
      </c>
      <c r="O883" s="21">
        <f t="shared" si="1611"/>
        <v>0</v>
      </c>
    </row>
    <row r="884">
      <c r="B884" s="20">
        <v>46268.0</v>
      </c>
      <c r="C884" s="21">
        <v>0.0</v>
      </c>
      <c r="D884" s="21">
        <v>0.0</v>
      </c>
      <c r="E884" s="21">
        <v>0.0</v>
      </c>
      <c r="F884" s="21">
        <v>0.0</v>
      </c>
      <c r="G884" s="21">
        <v>0.0</v>
      </c>
      <c r="H884" s="21">
        <v>0.0</v>
      </c>
      <c r="I884" s="21">
        <v>0.0</v>
      </c>
      <c r="J884" s="21">
        <v>0.0</v>
      </c>
      <c r="K884" s="21">
        <v>0.0</v>
      </c>
      <c r="L884" s="21">
        <v>0.0</v>
      </c>
      <c r="M884" s="21">
        <v>0.0</v>
      </c>
      <c r="N884" s="21">
        <v>0.0</v>
      </c>
      <c r="O884" s="21">
        <f>64</f>
        <v>64</v>
      </c>
    </row>
    <row r="885">
      <c r="B885" s="20">
        <v>46269.0</v>
      </c>
      <c r="C885" s="21">
        <f t="shared" ref="C885:H885" si="1612">0</f>
        <v>0</v>
      </c>
      <c r="D885" s="21">
        <f t="shared" si="1612"/>
        <v>0</v>
      </c>
      <c r="E885" s="21">
        <f t="shared" si="1612"/>
        <v>0</v>
      </c>
      <c r="F885" s="21">
        <f t="shared" si="1612"/>
        <v>0</v>
      </c>
      <c r="G885" s="21">
        <f t="shared" si="1612"/>
        <v>0</v>
      </c>
      <c r="H885" s="21">
        <f t="shared" si="1612"/>
        <v>0</v>
      </c>
      <c r="I885" s="21">
        <f>23</f>
        <v>23</v>
      </c>
      <c r="J885" s="21">
        <f>0</f>
        <v>0</v>
      </c>
      <c r="K885" s="21">
        <f>23</f>
        <v>23</v>
      </c>
      <c r="L885" s="21">
        <f t="shared" ref="L885:O885" si="1613">0</f>
        <v>0</v>
      </c>
      <c r="M885" s="21">
        <f t="shared" si="1613"/>
        <v>0</v>
      </c>
      <c r="N885" s="21">
        <f t="shared" si="1613"/>
        <v>0</v>
      </c>
      <c r="O885" s="21">
        <f t="shared" si="1613"/>
        <v>0</v>
      </c>
    </row>
    <row r="886">
      <c r="B886" s="20">
        <v>46269.0</v>
      </c>
      <c r="C886" s="21">
        <f>24.6</f>
        <v>24.6</v>
      </c>
      <c r="D886" s="21">
        <f t="shared" ref="D886:L886" si="1614">0</f>
        <v>0</v>
      </c>
      <c r="E886" s="21">
        <f t="shared" si="1614"/>
        <v>0</v>
      </c>
      <c r="F886" s="21">
        <f t="shared" si="1614"/>
        <v>0</v>
      </c>
      <c r="G886" s="21">
        <f t="shared" si="1614"/>
        <v>0</v>
      </c>
      <c r="H886" s="21">
        <f t="shared" si="1614"/>
        <v>0</v>
      </c>
      <c r="I886" s="21">
        <f t="shared" si="1614"/>
        <v>0</v>
      </c>
      <c r="J886" s="21">
        <f t="shared" si="1614"/>
        <v>0</v>
      </c>
      <c r="K886" s="21">
        <f t="shared" si="1614"/>
        <v>0</v>
      </c>
      <c r="L886" s="21">
        <f t="shared" si="1614"/>
        <v>0</v>
      </c>
      <c r="M886" s="21">
        <f>16.4</f>
        <v>16.4</v>
      </c>
      <c r="N886" s="21">
        <f t="shared" ref="N886:O886" si="1615">0</f>
        <v>0</v>
      </c>
      <c r="O886" s="21">
        <f t="shared" si="1615"/>
        <v>0</v>
      </c>
    </row>
    <row r="887">
      <c r="B887" s="20">
        <v>46269.0</v>
      </c>
      <c r="C887" s="21">
        <f t="shared" ref="C887:L887" si="1616">0</f>
        <v>0</v>
      </c>
      <c r="D887" s="21">
        <f t="shared" si="1616"/>
        <v>0</v>
      </c>
      <c r="E887" s="21">
        <f t="shared" si="1616"/>
        <v>0</v>
      </c>
      <c r="F887" s="21">
        <f t="shared" si="1616"/>
        <v>0</v>
      </c>
      <c r="G887" s="21">
        <f t="shared" si="1616"/>
        <v>0</v>
      </c>
      <c r="H887" s="21">
        <f t="shared" si="1616"/>
        <v>0</v>
      </c>
      <c r="I887" s="21">
        <f t="shared" si="1616"/>
        <v>0</v>
      </c>
      <c r="J887" s="21">
        <f t="shared" si="1616"/>
        <v>0</v>
      </c>
      <c r="K887" s="21">
        <f t="shared" si="1616"/>
        <v>0</v>
      </c>
      <c r="L887" s="21">
        <f t="shared" si="1616"/>
        <v>0</v>
      </c>
      <c r="M887" s="21">
        <f>3.2</f>
        <v>3.2</v>
      </c>
      <c r="N887" s="21">
        <f>28.8</f>
        <v>28.8</v>
      </c>
      <c r="O887" s="21">
        <f t="shared" ref="O887:O888" si="1619">0</f>
        <v>0</v>
      </c>
    </row>
    <row r="888">
      <c r="B888" s="20">
        <v>46269.0</v>
      </c>
      <c r="C888" s="21">
        <f t="shared" ref="C888:H888" si="1617">0</f>
        <v>0</v>
      </c>
      <c r="D888" s="21">
        <f t="shared" si="1617"/>
        <v>0</v>
      </c>
      <c r="E888" s="21">
        <f t="shared" si="1617"/>
        <v>0</v>
      </c>
      <c r="F888" s="21">
        <f t="shared" si="1617"/>
        <v>0</v>
      </c>
      <c r="G888" s="21">
        <f t="shared" si="1617"/>
        <v>0</v>
      </c>
      <c r="H888" s="21">
        <f t="shared" si="1617"/>
        <v>0</v>
      </c>
      <c r="I888" s="21">
        <f>33</f>
        <v>33</v>
      </c>
      <c r="J888" s="21">
        <f t="shared" ref="J888:J889" si="1621">0</f>
        <v>0</v>
      </c>
      <c r="K888" s="21">
        <f>5.5</f>
        <v>5.5</v>
      </c>
      <c r="L888" s="21">
        <f t="shared" ref="L888:M888" si="1618">0</f>
        <v>0</v>
      </c>
      <c r="M888" s="21">
        <f t="shared" si="1618"/>
        <v>0</v>
      </c>
      <c r="N888" s="21">
        <f>16.5</f>
        <v>16.5</v>
      </c>
      <c r="O888" s="21">
        <f t="shared" si="1619"/>
        <v>0</v>
      </c>
    </row>
    <row r="889">
      <c r="B889" s="20">
        <v>46269.0</v>
      </c>
      <c r="C889" s="21">
        <f t="shared" ref="C889:H889" si="1620">0</f>
        <v>0</v>
      </c>
      <c r="D889" s="21">
        <f t="shared" si="1620"/>
        <v>0</v>
      </c>
      <c r="E889" s="21">
        <f t="shared" si="1620"/>
        <v>0</v>
      </c>
      <c r="F889" s="21">
        <f t="shared" si="1620"/>
        <v>0</v>
      </c>
      <c r="G889" s="21">
        <f t="shared" si="1620"/>
        <v>0</v>
      </c>
      <c r="H889" s="21">
        <f t="shared" si="1620"/>
        <v>0</v>
      </c>
      <c r="I889" s="21">
        <f>42.3</f>
        <v>42.3</v>
      </c>
      <c r="J889" s="21">
        <f t="shared" si="1621"/>
        <v>0</v>
      </c>
      <c r="K889" s="21">
        <f t="shared" ref="K889:L889" si="1622">0</f>
        <v>0</v>
      </c>
      <c r="L889" s="21">
        <f t="shared" si="1622"/>
        <v>0</v>
      </c>
      <c r="M889" s="21">
        <f>4.7</f>
        <v>4.7</v>
      </c>
      <c r="N889" s="21">
        <f t="shared" ref="N889:O889" si="1623">0</f>
        <v>0</v>
      </c>
      <c r="O889" s="21">
        <f t="shared" si="1623"/>
        <v>0</v>
      </c>
    </row>
    <row r="890">
      <c r="B890" s="20">
        <v>46269.0</v>
      </c>
      <c r="C890" s="21">
        <v>0.0</v>
      </c>
      <c r="D890" s="21">
        <v>0.0</v>
      </c>
      <c r="E890" s="21">
        <v>0.0</v>
      </c>
      <c r="F890" s="21">
        <v>0.0</v>
      </c>
      <c r="G890" s="21">
        <v>0.0</v>
      </c>
      <c r="H890" s="21">
        <v>0.0</v>
      </c>
      <c r="I890" s="21">
        <v>0.0</v>
      </c>
      <c r="J890" s="21">
        <v>0.0</v>
      </c>
      <c r="K890" s="21">
        <v>0.0</v>
      </c>
      <c r="L890" s="21">
        <v>0.0</v>
      </c>
      <c r="M890" s="21">
        <v>0.0</v>
      </c>
      <c r="N890" s="21">
        <v>0.0</v>
      </c>
      <c r="O890" s="21">
        <f>25</f>
        <v>25</v>
      </c>
    </row>
    <row r="891">
      <c r="B891" s="20">
        <v>46269.0</v>
      </c>
      <c r="C891" s="21">
        <f t="shared" ref="C891:H891" si="1624">0</f>
        <v>0</v>
      </c>
      <c r="D891" s="21">
        <f t="shared" si="1624"/>
        <v>0</v>
      </c>
      <c r="E891" s="21">
        <f t="shared" si="1624"/>
        <v>0</v>
      </c>
      <c r="F891" s="21">
        <f t="shared" si="1624"/>
        <v>0</v>
      </c>
      <c r="G891" s="21">
        <f t="shared" si="1624"/>
        <v>0</v>
      </c>
      <c r="H891" s="21">
        <f t="shared" si="1624"/>
        <v>0</v>
      </c>
      <c r="I891" s="21">
        <f>22</f>
        <v>22</v>
      </c>
      <c r="J891" s="21">
        <f t="shared" ref="J891:O891" si="1625">0</f>
        <v>0</v>
      </c>
      <c r="K891" s="21">
        <f t="shared" si="1625"/>
        <v>0</v>
      </c>
      <c r="L891" s="21">
        <f t="shared" si="1625"/>
        <v>0</v>
      </c>
      <c r="M891" s="21">
        <f t="shared" si="1625"/>
        <v>0</v>
      </c>
      <c r="N891" s="21">
        <f t="shared" si="1625"/>
        <v>0</v>
      </c>
      <c r="O891" s="21">
        <f t="shared" si="1625"/>
        <v>0</v>
      </c>
    </row>
    <row r="892">
      <c r="B892" s="20">
        <v>46269.0</v>
      </c>
      <c r="C892" s="21">
        <f t="shared" ref="C892:I892" si="1626">0</f>
        <v>0</v>
      </c>
      <c r="D892" s="21">
        <f t="shared" si="1626"/>
        <v>0</v>
      </c>
      <c r="E892" s="21">
        <f t="shared" si="1626"/>
        <v>0</v>
      </c>
      <c r="F892" s="21">
        <f t="shared" si="1626"/>
        <v>0</v>
      </c>
      <c r="G892" s="21">
        <f t="shared" si="1626"/>
        <v>0</v>
      </c>
      <c r="H892" s="21">
        <f t="shared" si="1626"/>
        <v>0</v>
      </c>
      <c r="I892" s="21">
        <f t="shared" si="1626"/>
        <v>0</v>
      </c>
      <c r="J892" s="21">
        <f>469</f>
        <v>469</v>
      </c>
      <c r="K892" s="21">
        <f t="shared" ref="K892:O892" si="1627">0</f>
        <v>0</v>
      </c>
      <c r="L892" s="21">
        <f t="shared" si="1627"/>
        <v>0</v>
      </c>
      <c r="M892" s="21">
        <f t="shared" si="1627"/>
        <v>0</v>
      </c>
      <c r="N892" s="21">
        <f t="shared" si="1627"/>
        <v>0</v>
      </c>
      <c r="O892" s="21">
        <f t="shared" si="1627"/>
        <v>0</v>
      </c>
    </row>
    <row r="893">
      <c r="B893" s="20">
        <v>46269.0</v>
      </c>
      <c r="C893" s="21">
        <f t="shared" ref="C893:E893" si="1628">0</f>
        <v>0</v>
      </c>
      <c r="D893" s="21">
        <f t="shared" si="1628"/>
        <v>0</v>
      </c>
      <c r="E893" s="21">
        <f t="shared" si="1628"/>
        <v>0</v>
      </c>
      <c r="F893" s="21">
        <f>12.4</f>
        <v>12.4</v>
      </c>
      <c r="G893" s="21">
        <f t="shared" ref="G893:H893" si="1629">0</f>
        <v>0</v>
      </c>
      <c r="H893" s="21">
        <f t="shared" si="1629"/>
        <v>0</v>
      </c>
      <c r="I893" s="21">
        <f>18.6</f>
        <v>18.6</v>
      </c>
      <c r="J893" s="21">
        <f t="shared" ref="J893:O893" si="1630">0</f>
        <v>0</v>
      </c>
      <c r="K893" s="21">
        <f t="shared" si="1630"/>
        <v>0</v>
      </c>
      <c r="L893" s="21">
        <f t="shared" si="1630"/>
        <v>0</v>
      </c>
      <c r="M893" s="21">
        <f t="shared" si="1630"/>
        <v>0</v>
      </c>
      <c r="N893" s="21">
        <f t="shared" si="1630"/>
        <v>0</v>
      </c>
      <c r="O893" s="21">
        <f t="shared" si="1630"/>
        <v>0</v>
      </c>
    </row>
    <row r="894">
      <c r="B894" s="20">
        <v>46269.0</v>
      </c>
      <c r="C894" s="21">
        <f t="shared" ref="C894:H894" si="1631">0</f>
        <v>0</v>
      </c>
      <c r="D894" s="21">
        <f t="shared" si="1631"/>
        <v>0</v>
      </c>
      <c r="E894" s="21">
        <f t="shared" si="1631"/>
        <v>0</v>
      </c>
      <c r="F894" s="21">
        <f t="shared" si="1631"/>
        <v>0</v>
      </c>
      <c r="G894" s="21">
        <f t="shared" si="1631"/>
        <v>0</v>
      </c>
      <c r="H894" s="21">
        <f t="shared" si="1631"/>
        <v>0</v>
      </c>
      <c r="I894" s="21">
        <f>93.8</f>
        <v>93.8</v>
      </c>
      <c r="J894" s="21">
        <f t="shared" ref="J894:M894" si="1632">0</f>
        <v>0</v>
      </c>
      <c r="K894" s="21">
        <f t="shared" si="1632"/>
        <v>0</v>
      </c>
      <c r="L894" s="21">
        <f t="shared" si="1632"/>
        <v>0</v>
      </c>
      <c r="M894" s="21">
        <f t="shared" si="1632"/>
        <v>0</v>
      </c>
      <c r="N894" s="21">
        <f>40.2</f>
        <v>40.2</v>
      </c>
      <c r="O894" s="21">
        <f>0</f>
        <v>0</v>
      </c>
    </row>
    <row r="895">
      <c r="B895" s="20">
        <v>46269.0</v>
      </c>
      <c r="C895" s="21">
        <f t="shared" ref="C895:H895" si="1633">0</f>
        <v>0</v>
      </c>
      <c r="D895" s="21">
        <f t="shared" si="1633"/>
        <v>0</v>
      </c>
      <c r="E895" s="21">
        <f t="shared" si="1633"/>
        <v>0</v>
      </c>
      <c r="F895" s="21">
        <f t="shared" si="1633"/>
        <v>0</v>
      </c>
      <c r="G895" s="21">
        <f t="shared" si="1633"/>
        <v>0</v>
      </c>
      <c r="H895" s="21">
        <f t="shared" si="1633"/>
        <v>0</v>
      </c>
      <c r="I895" s="21">
        <f>66</f>
        <v>66</v>
      </c>
      <c r="J895" s="21">
        <f t="shared" ref="J895:O895" si="1634">0</f>
        <v>0</v>
      </c>
      <c r="K895" s="21">
        <f t="shared" si="1634"/>
        <v>0</v>
      </c>
      <c r="L895" s="21">
        <f t="shared" si="1634"/>
        <v>0</v>
      </c>
      <c r="M895" s="21">
        <f t="shared" si="1634"/>
        <v>0</v>
      </c>
      <c r="N895" s="21">
        <f t="shared" si="1634"/>
        <v>0</v>
      </c>
      <c r="O895" s="21">
        <f t="shared" si="1634"/>
        <v>0</v>
      </c>
    </row>
    <row r="896">
      <c r="B896" s="20">
        <v>46269.0</v>
      </c>
      <c r="C896" s="21">
        <v>0.0</v>
      </c>
      <c r="D896" s="21">
        <v>0.0</v>
      </c>
      <c r="E896" s="21">
        <v>0.0</v>
      </c>
      <c r="F896" s="21">
        <v>0.0</v>
      </c>
      <c r="G896" s="21">
        <v>0.0</v>
      </c>
      <c r="H896" s="21">
        <v>0.0</v>
      </c>
      <c r="I896" s="21">
        <v>0.0</v>
      </c>
      <c r="J896" s="21">
        <v>0.0</v>
      </c>
      <c r="K896" s="21">
        <v>0.0</v>
      </c>
      <c r="L896" s="21">
        <v>0.0</v>
      </c>
      <c r="M896" s="21">
        <v>0.0</v>
      </c>
      <c r="N896" s="21">
        <v>0.0</v>
      </c>
      <c r="O896" s="21">
        <f>28</f>
        <v>28</v>
      </c>
    </row>
    <row r="897">
      <c r="B897" s="20">
        <v>46269.0</v>
      </c>
      <c r="C897" s="21">
        <v>0.0</v>
      </c>
      <c r="D897" s="21">
        <v>0.0</v>
      </c>
      <c r="E897" s="21">
        <v>0.0</v>
      </c>
      <c r="F897" s="21">
        <v>0.0</v>
      </c>
      <c r="G897" s="21">
        <v>0.0</v>
      </c>
      <c r="H897" s="21">
        <v>0.0</v>
      </c>
      <c r="I897" s="21">
        <v>0.0</v>
      </c>
      <c r="J897" s="21">
        <v>0.0</v>
      </c>
      <c r="K897" s="21">
        <v>0.0</v>
      </c>
      <c r="L897" s="21">
        <v>0.0</v>
      </c>
      <c r="M897" s="21">
        <v>0.0</v>
      </c>
      <c r="N897" s="21">
        <v>0.0</v>
      </c>
      <c r="O897" s="21">
        <f>66</f>
        <v>66</v>
      </c>
    </row>
    <row r="898">
      <c r="B898" s="20">
        <v>46269.0</v>
      </c>
      <c r="C898" s="21">
        <v>0.0</v>
      </c>
      <c r="D898" s="21">
        <v>0.0</v>
      </c>
      <c r="E898" s="21">
        <v>0.0</v>
      </c>
      <c r="F898" s="21">
        <v>0.0</v>
      </c>
      <c r="G898" s="21">
        <v>0.0</v>
      </c>
      <c r="H898" s="21">
        <v>0.0</v>
      </c>
      <c r="I898" s="21">
        <v>0.0</v>
      </c>
      <c r="J898" s="21">
        <v>0.0</v>
      </c>
      <c r="K898" s="21">
        <v>0.0</v>
      </c>
      <c r="L898" s="21">
        <v>0.0</v>
      </c>
      <c r="M898" s="21">
        <v>0.0</v>
      </c>
      <c r="N898" s="21">
        <v>0.0</v>
      </c>
      <c r="O898" s="21">
        <f>37</f>
        <v>37</v>
      </c>
    </row>
    <row r="899">
      <c r="B899" s="20">
        <v>46269.0</v>
      </c>
      <c r="C899" s="21">
        <f>28</f>
        <v>28</v>
      </c>
      <c r="D899" s="21">
        <f>12</f>
        <v>12</v>
      </c>
      <c r="E899" s="21">
        <f t="shared" ref="E899:O899" si="1635">0</f>
        <v>0</v>
      </c>
      <c r="F899" s="21">
        <f t="shared" si="1635"/>
        <v>0</v>
      </c>
      <c r="G899" s="21">
        <f t="shared" si="1635"/>
        <v>0</v>
      </c>
      <c r="H899" s="21">
        <f t="shared" si="1635"/>
        <v>0</v>
      </c>
      <c r="I899" s="21">
        <f t="shared" si="1635"/>
        <v>0</v>
      </c>
      <c r="J899" s="21">
        <f t="shared" si="1635"/>
        <v>0</v>
      </c>
      <c r="K899" s="21">
        <f t="shared" si="1635"/>
        <v>0</v>
      </c>
      <c r="L899" s="21">
        <f t="shared" si="1635"/>
        <v>0</v>
      </c>
      <c r="M899" s="21">
        <f t="shared" si="1635"/>
        <v>0</v>
      </c>
      <c r="N899" s="21">
        <f t="shared" si="1635"/>
        <v>0</v>
      </c>
      <c r="O899" s="21">
        <f t="shared" si="1635"/>
        <v>0</v>
      </c>
    </row>
    <row r="900">
      <c r="B900" s="20">
        <v>46269.0</v>
      </c>
      <c r="C900" s="21">
        <f>34.4</f>
        <v>34.4</v>
      </c>
      <c r="D900" s="21">
        <f t="shared" ref="D900:L900" si="1636">0</f>
        <v>0</v>
      </c>
      <c r="E900" s="21">
        <f t="shared" si="1636"/>
        <v>0</v>
      </c>
      <c r="F900" s="21">
        <f t="shared" si="1636"/>
        <v>0</v>
      </c>
      <c r="G900" s="21">
        <f t="shared" si="1636"/>
        <v>0</v>
      </c>
      <c r="H900" s="21">
        <f t="shared" si="1636"/>
        <v>0</v>
      </c>
      <c r="I900" s="21">
        <f t="shared" si="1636"/>
        <v>0</v>
      </c>
      <c r="J900" s="21">
        <f t="shared" si="1636"/>
        <v>0</v>
      </c>
      <c r="K900" s="21">
        <f t="shared" si="1636"/>
        <v>0</v>
      </c>
      <c r="L900" s="21">
        <f t="shared" si="1636"/>
        <v>0</v>
      </c>
      <c r="M900" s="21">
        <f>8.6</f>
        <v>8.6</v>
      </c>
      <c r="N900" s="21">
        <f t="shared" ref="N900:O900" si="1637">0</f>
        <v>0</v>
      </c>
      <c r="O900" s="21">
        <f t="shared" si="1637"/>
        <v>0</v>
      </c>
    </row>
    <row r="901">
      <c r="B901" s="20">
        <v>46270.0</v>
      </c>
      <c r="C901" s="21">
        <f t="shared" ref="C901:L901" si="1638">0</f>
        <v>0</v>
      </c>
      <c r="D901" s="21">
        <f t="shared" si="1638"/>
        <v>0</v>
      </c>
      <c r="E901" s="21">
        <f t="shared" si="1638"/>
        <v>0</v>
      </c>
      <c r="F901" s="21">
        <f t="shared" si="1638"/>
        <v>0</v>
      </c>
      <c r="G901" s="21">
        <f t="shared" si="1638"/>
        <v>0</v>
      </c>
      <c r="H901" s="21">
        <f t="shared" si="1638"/>
        <v>0</v>
      </c>
      <c r="I901" s="21">
        <f t="shared" si="1638"/>
        <v>0</v>
      </c>
      <c r="J901" s="21">
        <f t="shared" si="1638"/>
        <v>0</v>
      </c>
      <c r="K901" s="21">
        <f t="shared" si="1638"/>
        <v>0</v>
      </c>
      <c r="L901" s="21">
        <f t="shared" si="1638"/>
        <v>0</v>
      </c>
      <c r="M901" s="21">
        <f>19.8</f>
        <v>19.8</v>
      </c>
      <c r="N901" s="21">
        <f t="shared" ref="N901:N902" si="1641">0</f>
        <v>0</v>
      </c>
      <c r="O901" s="21">
        <f>2.2</f>
        <v>2.2</v>
      </c>
    </row>
    <row r="902">
      <c r="B902" s="20">
        <v>46270.0</v>
      </c>
      <c r="C902" s="21">
        <f t="shared" ref="C902:H902" si="1639">0</f>
        <v>0</v>
      </c>
      <c r="D902" s="21">
        <f t="shared" si="1639"/>
        <v>0</v>
      </c>
      <c r="E902" s="21">
        <f t="shared" si="1639"/>
        <v>0</v>
      </c>
      <c r="F902" s="21">
        <f t="shared" si="1639"/>
        <v>0</v>
      </c>
      <c r="G902" s="21">
        <f t="shared" si="1639"/>
        <v>0</v>
      </c>
      <c r="H902" s="21">
        <f t="shared" si="1639"/>
        <v>0</v>
      </c>
      <c r="I902" s="21">
        <f>3.6</f>
        <v>3.6</v>
      </c>
      <c r="J902" s="21">
        <f t="shared" ref="J902:L902" si="1640">0</f>
        <v>0</v>
      </c>
      <c r="K902" s="21">
        <f t="shared" si="1640"/>
        <v>0</v>
      </c>
      <c r="L902" s="21">
        <f t="shared" si="1640"/>
        <v>0</v>
      </c>
      <c r="M902" s="21">
        <f>28.8</f>
        <v>28.8</v>
      </c>
      <c r="N902" s="21">
        <f t="shared" si="1641"/>
        <v>0</v>
      </c>
      <c r="O902" s="21">
        <f>3.6</f>
        <v>3.6</v>
      </c>
    </row>
    <row r="903">
      <c r="B903" s="20">
        <v>46270.0</v>
      </c>
      <c r="C903" s="21">
        <f t="shared" ref="C903:H903" si="1642">0</f>
        <v>0</v>
      </c>
      <c r="D903" s="21">
        <f t="shared" si="1642"/>
        <v>0</v>
      </c>
      <c r="E903" s="21">
        <f t="shared" si="1642"/>
        <v>0</v>
      </c>
      <c r="F903" s="21">
        <f t="shared" si="1642"/>
        <v>0</v>
      </c>
      <c r="G903" s="21">
        <f t="shared" si="1642"/>
        <v>0</v>
      </c>
      <c r="H903" s="21">
        <f t="shared" si="1642"/>
        <v>0</v>
      </c>
      <c r="I903" s="21">
        <f>14.5</f>
        <v>14.5</v>
      </c>
      <c r="J903" s="21">
        <f t="shared" ref="J903:L903" si="1643">0</f>
        <v>0</v>
      </c>
      <c r="K903" s="21">
        <f t="shared" si="1643"/>
        <v>0</v>
      </c>
      <c r="L903" s="21">
        <f t="shared" si="1643"/>
        <v>0</v>
      </c>
      <c r="M903" s="21">
        <f t="shared" ref="M903:N903" si="1644">5.8</f>
        <v>5.8</v>
      </c>
      <c r="N903" s="21">
        <f t="shared" si="1644"/>
        <v>5.8</v>
      </c>
      <c r="O903" s="21">
        <f>2.9</f>
        <v>2.9</v>
      </c>
    </row>
    <row r="904">
      <c r="B904" s="20">
        <v>46270.0</v>
      </c>
      <c r="C904" s="21">
        <f>3.6</f>
        <v>3.6</v>
      </c>
      <c r="D904" s="21">
        <f t="shared" ref="D904:F904" si="1645">0</f>
        <v>0</v>
      </c>
      <c r="E904" s="21">
        <f t="shared" si="1645"/>
        <v>0</v>
      </c>
      <c r="F904" s="21">
        <f t="shared" si="1645"/>
        <v>0</v>
      </c>
      <c r="G904" s="21">
        <f>1.8</f>
        <v>1.8</v>
      </c>
      <c r="H904" s="21">
        <f>0</f>
        <v>0</v>
      </c>
      <c r="I904" s="21">
        <f>12.6</f>
        <v>12.6</v>
      </c>
      <c r="J904" s="21">
        <f t="shared" ref="J904:O904" si="1646">0</f>
        <v>0</v>
      </c>
      <c r="K904" s="21">
        <f t="shared" si="1646"/>
        <v>0</v>
      </c>
      <c r="L904" s="21">
        <f t="shared" si="1646"/>
        <v>0</v>
      </c>
      <c r="M904" s="21">
        <f t="shared" si="1646"/>
        <v>0</v>
      </c>
      <c r="N904" s="21">
        <f t="shared" si="1646"/>
        <v>0</v>
      </c>
      <c r="O904" s="21">
        <f t="shared" si="1646"/>
        <v>0</v>
      </c>
    </row>
    <row r="905">
      <c r="B905" s="20">
        <v>46270.0</v>
      </c>
      <c r="C905" s="21">
        <f t="shared" ref="C905:H905" si="1647">0</f>
        <v>0</v>
      </c>
      <c r="D905" s="21">
        <f t="shared" si="1647"/>
        <v>0</v>
      </c>
      <c r="E905" s="21">
        <f t="shared" si="1647"/>
        <v>0</v>
      </c>
      <c r="F905" s="21">
        <f t="shared" si="1647"/>
        <v>0</v>
      </c>
      <c r="G905" s="21">
        <f t="shared" si="1647"/>
        <v>0</v>
      </c>
      <c r="H905" s="21">
        <f t="shared" si="1647"/>
        <v>0</v>
      </c>
      <c r="I905" s="21">
        <f>36</f>
        <v>36</v>
      </c>
      <c r="J905" s="21">
        <f t="shared" ref="J905:N905" si="1648">0</f>
        <v>0</v>
      </c>
      <c r="K905" s="21">
        <f t="shared" si="1648"/>
        <v>0</v>
      </c>
      <c r="L905" s="21">
        <f t="shared" si="1648"/>
        <v>0</v>
      </c>
      <c r="M905" s="21">
        <f t="shared" si="1648"/>
        <v>0</v>
      </c>
      <c r="N905" s="21">
        <f t="shared" si="1648"/>
        <v>0</v>
      </c>
      <c r="O905" s="21">
        <f>4</f>
        <v>4</v>
      </c>
    </row>
    <row r="906">
      <c r="B906" s="20">
        <v>46270.0</v>
      </c>
      <c r="C906" s="21">
        <f t="shared" ref="C906:H906" si="1649">0</f>
        <v>0</v>
      </c>
      <c r="D906" s="21">
        <f t="shared" si="1649"/>
        <v>0</v>
      </c>
      <c r="E906" s="21">
        <f t="shared" si="1649"/>
        <v>0</v>
      </c>
      <c r="F906" s="21">
        <f t="shared" si="1649"/>
        <v>0</v>
      </c>
      <c r="G906" s="21">
        <f t="shared" si="1649"/>
        <v>0</v>
      </c>
      <c r="H906" s="21">
        <f t="shared" si="1649"/>
        <v>0</v>
      </c>
      <c r="I906" s="21">
        <f>31</f>
        <v>31</v>
      </c>
      <c r="J906" s="21">
        <f t="shared" ref="J906:N906" si="1650">0</f>
        <v>0</v>
      </c>
      <c r="K906" s="21">
        <f t="shared" si="1650"/>
        <v>0</v>
      </c>
      <c r="L906" s="21">
        <f t="shared" si="1650"/>
        <v>0</v>
      </c>
      <c r="M906" s="21">
        <f t="shared" si="1650"/>
        <v>0</v>
      </c>
      <c r="N906" s="21">
        <f t="shared" si="1650"/>
        <v>0</v>
      </c>
      <c r="O906" s="21">
        <f>31</f>
        <v>31</v>
      </c>
    </row>
    <row r="907">
      <c r="B907" s="20">
        <v>46271.0</v>
      </c>
      <c r="C907" s="21">
        <f t="shared" ref="C907:L907" si="1651">0</f>
        <v>0</v>
      </c>
      <c r="D907" s="21">
        <f t="shared" si="1651"/>
        <v>0</v>
      </c>
      <c r="E907" s="21">
        <f t="shared" si="1651"/>
        <v>0</v>
      </c>
      <c r="F907" s="21">
        <f t="shared" si="1651"/>
        <v>0</v>
      </c>
      <c r="G907" s="21">
        <f t="shared" si="1651"/>
        <v>0</v>
      </c>
      <c r="H907" s="21">
        <f t="shared" si="1651"/>
        <v>0</v>
      </c>
      <c r="I907" s="21">
        <f t="shared" si="1651"/>
        <v>0</v>
      </c>
      <c r="J907" s="21">
        <f t="shared" si="1651"/>
        <v>0</v>
      </c>
      <c r="K907" s="21">
        <f t="shared" si="1651"/>
        <v>0</v>
      </c>
      <c r="L907" s="21">
        <f t="shared" si="1651"/>
        <v>0</v>
      </c>
      <c r="M907" s="21">
        <f>2.6</f>
        <v>2.6</v>
      </c>
      <c r="N907" s="21">
        <f>0</f>
        <v>0</v>
      </c>
      <c r="O907" s="21">
        <f>10.4</f>
        <v>10.4</v>
      </c>
    </row>
    <row r="908">
      <c r="B908" s="20">
        <v>46271.0</v>
      </c>
      <c r="C908" s="21">
        <v>0.0</v>
      </c>
      <c r="D908" s="21">
        <v>0.0</v>
      </c>
      <c r="E908" s="21">
        <v>0.0</v>
      </c>
      <c r="F908" s="21">
        <v>0.0</v>
      </c>
      <c r="G908" s="21">
        <v>0.0</v>
      </c>
      <c r="H908" s="21">
        <v>0.0</v>
      </c>
      <c r="I908" s="21">
        <v>0.0</v>
      </c>
      <c r="J908" s="21">
        <v>0.0</v>
      </c>
      <c r="K908" s="21">
        <v>0.0</v>
      </c>
      <c r="L908" s="21">
        <v>0.0</v>
      </c>
      <c r="M908" s="21">
        <v>0.0</v>
      </c>
      <c r="N908" s="21">
        <v>0.0</v>
      </c>
      <c r="O908" s="21">
        <f>19</f>
        <v>19</v>
      </c>
    </row>
    <row r="909">
      <c r="B909" s="20">
        <v>46271.0</v>
      </c>
      <c r="C909" s="21">
        <f t="shared" ref="C909:H909" si="1652">0</f>
        <v>0</v>
      </c>
      <c r="D909" s="21">
        <f t="shared" si="1652"/>
        <v>0</v>
      </c>
      <c r="E909" s="21">
        <f t="shared" si="1652"/>
        <v>0</v>
      </c>
      <c r="F909" s="21">
        <f t="shared" si="1652"/>
        <v>0</v>
      </c>
      <c r="G909" s="21">
        <f t="shared" si="1652"/>
        <v>0</v>
      </c>
      <c r="H909" s="21">
        <f t="shared" si="1652"/>
        <v>0</v>
      </c>
      <c r="I909" s="21">
        <f>9.5</f>
        <v>9.5</v>
      </c>
      <c r="J909" s="21">
        <f t="shared" ref="J909:N909" si="1653">0</f>
        <v>0</v>
      </c>
      <c r="K909" s="21">
        <f t="shared" si="1653"/>
        <v>0</v>
      </c>
      <c r="L909" s="21">
        <f t="shared" si="1653"/>
        <v>0</v>
      </c>
      <c r="M909" s="21">
        <f t="shared" si="1653"/>
        <v>0</v>
      </c>
      <c r="N909" s="21">
        <f t="shared" si="1653"/>
        <v>0</v>
      </c>
      <c r="O909" s="21">
        <f>9.5</f>
        <v>9.5</v>
      </c>
    </row>
    <row r="910">
      <c r="B910" s="20">
        <v>46271.0</v>
      </c>
      <c r="C910" s="21">
        <f>6.1</f>
        <v>6.1</v>
      </c>
      <c r="D910" s="21">
        <f t="shared" ref="D910:H910" si="1654">0</f>
        <v>0</v>
      </c>
      <c r="E910" s="21">
        <f t="shared" si="1654"/>
        <v>0</v>
      </c>
      <c r="F910" s="21">
        <f t="shared" si="1654"/>
        <v>0</v>
      </c>
      <c r="G910" s="21">
        <f t="shared" si="1654"/>
        <v>0</v>
      </c>
      <c r="H910" s="21">
        <f t="shared" si="1654"/>
        <v>0</v>
      </c>
      <c r="I910" s="21">
        <f>54.9</f>
        <v>54.9</v>
      </c>
      <c r="J910" s="21">
        <f t="shared" ref="J910:O910" si="1655">0</f>
        <v>0</v>
      </c>
      <c r="K910" s="21">
        <f t="shared" si="1655"/>
        <v>0</v>
      </c>
      <c r="L910" s="21">
        <f t="shared" si="1655"/>
        <v>0</v>
      </c>
      <c r="M910" s="21">
        <f t="shared" si="1655"/>
        <v>0</v>
      </c>
      <c r="N910" s="21">
        <f t="shared" si="1655"/>
        <v>0</v>
      </c>
      <c r="O910" s="21">
        <f t="shared" si="1655"/>
        <v>0</v>
      </c>
    </row>
    <row r="911">
      <c r="B911" s="20">
        <v>46271.0</v>
      </c>
      <c r="C911" s="21">
        <f>0</f>
        <v>0</v>
      </c>
      <c r="D911" s="21">
        <f>6.4</f>
        <v>6.4</v>
      </c>
      <c r="E911" s="21">
        <f t="shared" ref="E911:F911" si="1656">0</f>
        <v>0</v>
      </c>
      <c r="F911" s="21">
        <f t="shared" si="1656"/>
        <v>0</v>
      </c>
      <c r="G911" s="21">
        <f>3.2</f>
        <v>3.2</v>
      </c>
      <c r="H911" s="21">
        <f>0</f>
        <v>0</v>
      </c>
      <c r="I911" s="21">
        <f>3.2</f>
        <v>3.2</v>
      </c>
      <c r="J911" s="21">
        <f t="shared" ref="J911:L911" si="1657">0</f>
        <v>0</v>
      </c>
      <c r="K911" s="21">
        <f t="shared" si="1657"/>
        <v>0</v>
      </c>
      <c r="L911" s="21">
        <f t="shared" si="1657"/>
        <v>0</v>
      </c>
      <c r="M911" s="21">
        <f>3.2</f>
        <v>3.2</v>
      </c>
      <c r="N911" s="21">
        <f t="shared" ref="N911:O911" si="1658">0</f>
        <v>0</v>
      </c>
      <c r="O911" s="21">
        <f t="shared" si="1658"/>
        <v>0</v>
      </c>
    </row>
    <row r="912">
      <c r="B912" s="20">
        <v>46271.0</v>
      </c>
      <c r="C912" s="21">
        <v>0.0</v>
      </c>
      <c r="D912" s="21">
        <v>0.0</v>
      </c>
      <c r="E912" s="21">
        <v>0.0</v>
      </c>
      <c r="F912" s="21">
        <v>0.0</v>
      </c>
      <c r="G912" s="21">
        <v>0.0</v>
      </c>
      <c r="H912" s="21">
        <v>0.0</v>
      </c>
      <c r="I912" s="21">
        <v>0.0</v>
      </c>
      <c r="J912" s="21">
        <v>0.0</v>
      </c>
      <c r="K912" s="21">
        <v>0.0</v>
      </c>
      <c r="L912" s="21">
        <v>0.0</v>
      </c>
      <c r="M912" s="21">
        <v>0.0</v>
      </c>
      <c r="N912" s="21">
        <v>0.0</v>
      </c>
      <c r="O912" s="21">
        <f>54</f>
        <v>54</v>
      </c>
    </row>
    <row r="913">
      <c r="B913" s="20">
        <v>46271.0</v>
      </c>
      <c r="C913" s="21">
        <f>23.8</f>
        <v>23.8</v>
      </c>
      <c r="D913" s="21">
        <f t="shared" ref="D913:L913" si="1659">0</f>
        <v>0</v>
      </c>
      <c r="E913" s="21">
        <f t="shared" si="1659"/>
        <v>0</v>
      </c>
      <c r="F913" s="21">
        <f t="shared" si="1659"/>
        <v>0</v>
      </c>
      <c r="G913" s="21">
        <f t="shared" si="1659"/>
        <v>0</v>
      </c>
      <c r="H913" s="21">
        <f t="shared" si="1659"/>
        <v>0</v>
      </c>
      <c r="I913" s="21">
        <f t="shared" si="1659"/>
        <v>0</v>
      </c>
      <c r="J913" s="21">
        <f t="shared" si="1659"/>
        <v>0</v>
      </c>
      <c r="K913" s="21">
        <f t="shared" si="1659"/>
        <v>0</v>
      </c>
      <c r="L913" s="21">
        <f t="shared" si="1659"/>
        <v>0</v>
      </c>
      <c r="M913" s="21">
        <f>10.2</f>
        <v>10.2</v>
      </c>
      <c r="N913" s="21">
        <f t="shared" ref="N913:O913" si="1660">0</f>
        <v>0</v>
      </c>
      <c r="O913" s="21">
        <f t="shared" si="1660"/>
        <v>0</v>
      </c>
    </row>
    <row r="914">
      <c r="B914" s="20">
        <v>46271.0</v>
      </c>
      <c r="C914" s="21">
        <f>68</f>
        <v>68</v>
      </c>
      <c r="D914" s="21">
        <f t="shared" ref="D914:O914" si="1661">0</f>
        <v>0</v>
      </c>
      <c r="E914" s="21">
        <f t="shared" si="1661"/>
        <v>0</v>
      </c>
      <c r="F914" s="21">
        <f t="shared" si="1661"/>
        <v>0</v>
      </c>
      <c r="G914" s="21">
        <f t="shared" si="1661"/>
        <v>0</v>
      </c>
      <c r="H914" s="21">
        <f t="shared" si="1661"/>
        <v>0</v>
      </c>
      <c r="I914" s="21">
        <f t="shared" si="1661"/>
        <v>0</v>
      </c>
      <c r="J914" s="21">
        <f t="shared" si="1661"/>
        <v>0</v>
      </c>
      <c r="K914" s="21">
        <f t="shared" si="1661"/>
        <v>0</v>
      </c>
      <c r="L914" s="21">
        <f t="shared" si="1661"/>
        <v>0</v>
      </c>
      <c r="M914" s="21">
        <f t="shared" si="1661"/>
        <v>0</v>
      </c>
      <c r="N914" s="21">
        <f t="shared" si="1661"/>
        <v>0</v>
      </c>
      <c r="O914" s="21">
        <f t="shared" si="1661"/>
        <v>0</v>
      </c>
    </row>
    <row r="915">
      <c r="B915" s="20">
        <v>46271.0</v>
      </c>
      <c r="C915" s="21">
        <f>5.6</f>
        <v>5.6</v>
      </c>
      <c r="D915" s="21">
        <f t="shared" ref="D915:L915" si="1662">0</f>
        <v>0</v>
      </c>
      <c r="E915" s="21">
        <f t="shared" si="1662"/>
        <v>0</v>
      </c>
      <c r="F915" s="21">
        <f t="shared" si="1662"/>
        <v>0</v>
      </c>
      <c r="G915" s="21">
        <f t="shared" si="1662"/>
        <v>0</v>
      </c>
      <c r="H915" s="21">
        <f t="shared" si="1662"/>
        <v>0</v>
      </c>
      <c r="I915" s="21">
        <f t="shared" si="1662"/>
        <v>0</v>
      </c>
      <c r="J915" s="21">
        <f t="shared" si="1662"/>
        <v>0</v>
      </c>
      <c r="K915" s="21">
        <f t="shared" si="1662"/>
        <v>0</v>
      </c>
      <c r="L915" s="21">
        <f t="shared" si="1662"/>
        <v>0</v>
      </c>
      <c r="M915" s="21">
        <f>16.8</f>
        <v>16.8</v>
      </c>
      <c r="N915" s="21">
        <f>0</f>
        <v>0</v>
      </c>
      <c r="O915" s="21">
        <f>5.6</f>
        <v>5.6</v>
      </c>
    </row>
    <row r="916">
      <c r="B916" s="20">
        <v>46271.0</v>
      </c>
      <c r="C916" s="21">
        <v>0.0</v>
      </c>
      <c r="D916" s="21">
        <v>0.0</v>
      </c>
      <c r="E916" s="21">
        <v>0.0</v>
      </c>
      <c r="F916" s="21">
        <v>0.0</v>
      </c>
      <c r="G916" s="21">
        <v>0.0</v>
      </c>
      <c r="H916" s="21">
        <v>0.0</v>
      </c>
      <c r="I916" s="21">
        <v>0.0</v>
      </c>
      <c r="J916" s="21">
        <v>0.0</v>
      </c>
      <c r="K916" s="21">
        <v>0.0</v>
      </c>
      <c r="L916" s="21">
        <v>0.0</v>
      </c>
      <c r="M916" s="21">
        <v>0.0</v>
      </c>
      <c r="N916" s="21">
        <v>0.0</v>
      </c>
      <c r="O916" s="21">
        <f>32</f>
        <v>32</v>
      </c>
    </row>
    <row r="917">
      <c r="B917" s="20">
        <v>46271.0</v>
      </c>
      <c r="C917" s="21">
        <f t="shared" ref="C917:N917" si="1663">0</f>
        <v>0</v>
      </c>
      <c r="D917" s="21">
        <f t="shared" si="1663"/>
        <v>0</v>
      </c>
      <c r="E917" s="21">
        <f t="shared" si="1663"/>
        <v>0</v>
      </c>
      <c r="F917" s="21">
        <f t="shared" si="1663"/>
        <v>0</v>
      </c>
      <c r="G917" s="21">
        <f t="shared" si="1663"/>
        <v>0</v>
      </c>
      <c r="H917" s="21">
        <f t="shared" si="1663"/>
        <v>0</v>
      </c>
      <c r="I917" s="21">
        <f t="shared" si="1663"/>
        <v>0</v>
      </c>
      <c r="J917" s="21">
        <f t="shared" si="1663"/>
        <v>0</v>
      </c>
      <c r="K917" s="21">
        <f t="shared" si="1663"/>
        <v>0</v>
      </c>
      <c r="L917" s="21">
        <f t="shared" si="1663"/>
        <v>0</v>
      </c>
      <c r="M917" s="21">
        <f t="shared" si="1663"/>
        <v>0</v>
      </c>
      <c r="N917" s="21">
        <f t="shared" si="1663"/>
        <v>0</v>
      </c>
      <c r="O917" s="21">
        <f>37</f>
        <v>37</v>
      </c>
    </row>
    <row r="918">
      <c r="B918" s="20">
        <v>46271.0</v>
      </c>
      <c r="C918" s="21">
        <f t="shared" ref="C918:F918" si="1664">0</f>
        <v>0</v>
      </c>
      <c r="D918" s="21">
        <f t="shared" si="1664"/>
        <v>0</v>
      </c>
      <c r="E918" s="21">
        <f t="shared" si="1664"/>
        <v>0</v>
      </c>
      <c r="F918" s="21">
        <f t="shared" si="1664"/>
        <v>0</v>
      </c>
      <c r="G918" s="21">
        <f>37.8</f>
        <v>37.8</v>
      </c>
      <c r="H918" s="21">
        <f>0</f>
        <v>0</v>
      </c>
      <c r="I918" s="21">
        <f>4.2</f>
        <v>4.2</v>
      </c>
      <c r="J918" s="21">
        <f t="shared" ref="J918:O918" si="1665">0</f>
        <v>0</v>
      </c>
      <c r="K918" s="21">
        <f t="shared" si="1665"/>
        <v>0</v>
      </c>
      <c r="L918" s="21">
        <f t="shared" si="1665"/>
        <v>0</v>
      </c>
      <c r="M918" s="21">
        <f t="shared" si="1665"/>
        <v>0</v>
      </c>
      <c r="N918" s="21">
        <f t="shared" si="1665"/>
        <v>0</v>
      </c>
      <c r="O918" s="21">
        <f t="shared" si="1665"/>
        <v>0</v>
      </c>
    </row>
    <row r="919">
      <c r="B919" s="20">
        <v>46271.0</v>
      </c>
      <c r="C919" s="21">
        <f t="shared" ref="C919:H919" si="1666">0</f>
        <v>0</v>
      </c>
      <c r="D919" s="21">
        <f t="shared" si="1666"/>
        <v>0</v>
      </c>
      <c r="E919" s="21">
        <f t="shared" si="1666"/>
        <v>0</v>
      </c>
      <c r="F919" s="21">
        <f t="shared" si="1666"/>
        <v>0</v>
      </c>
      <c r="G919" s="21">
        <f t="shared" si="1666"/>
        <v>0</v>
      </c>
      <c r="H919" s="21">
        <f t="shared" si="1666"/>
        <v>0</v>
      </c>
      <c r="I919" s="21">
        <f>7.8</f>
        <v>7.8</v>
      </c>
      <c r="J919" s="21">
        <f t="shared" ref="J919:L919" si="1667">0</f>
        <v>0</v>
      </c>
      <c r="K919" s="21">
        <f t="shared" si="1667"/>
        <v>0</v>
      </c>
      <c r="L919" s="21">
        <f t="shared" si="1667"/>
        <v>0</v>
      </c>
      <c r="M919" s="21">
        <f>18.2</f>
        <v>18.2</v>
      </c>
      <c r="N919" s="21">
        <f t="shared" ref="N919:O919" si="1668">0</f>
        <v>0</v>
      </c>
      <c r="O919" s="21">
        <f t="shared" si="1668"/>
        <v>0</v>
      </c>
    </row>
    <row r="920">
      <c r="B920" s="20">
        <v>46271.0</v>
      </c>
      <c r="C920" s="21">
        <f t="shared" ref="C920:H920" si="1669">0</f>
        <v>0</v>
      </c>
      <c r="D920" s="21">
        <f t="shared" si="1669"/>
        <v>0</v>
      </c>
      <c r="E920" s="21">
        <f t="shared" si="1669"/>
        <v>0</v>
      </c>
      <c r="F920" s="21">
        <f t="shared" si="1669"/>
        <v>0</v>
      </c>
      <c r="G920" s="21">
        <f t="shared" si="1669"/>
        <v>0</v>
      </c>
      <c r="H920" s="21">
        <f t="shared" si="1669"/>
        <v>0</v>
      </c>
      <c r="I920" s="21">
        <f>39</f>
        <v>39</v>
      </c>
      <c r="J920" s="21">
        <f t="shared" ref="J920:O920" si="1670">0</f>
        <v>0</v>
      </c>
      <c r="K920" s="21">
        <f t="shared" si="1670"/>
        <v>0</v>
      </c>
      <c r="L920" s="21">
        <f t="shared" si="1670"/>
        <v>0</v>
      </c>
      <c r="M920" s="21">
        <f t="shared" si="1670"/>
        <v>0</v>
      </c>
      <c r="N920" s="21">
        <f t="shared" si="1670"/>
        <v>0</v>
      </c>
      <c r="O920" s="21">
        <f t="shared" si="1670"/>
        <v>0</v>
      </c>
    </row>
    <row r="921">
      <c r="B921" s="20">
        <v>46271.0</v>
      </c>
      <c r="C921" s="21">
        <v>0.0</v>
      </c>
      <c r="D921" s="21">
        <v>0.0</v>
      </c>
      <c r="E921" s="21">
        <v>0.0</v>
      </c>
      <c r="F921" s="21">
        <v>0.0</v>
      </c>
      <c r="G921" s="21">
        <v>0.0</v>
      </c>
      <c r="H921" s="21">
        <v>0.0</v>
      </c>
      <c r="I921" s="28">
        <f>18</f>
        <v>18</v>
      </c>
      <c r="J921" s="21">
        <v>0.0</v>
      </c>
      <c r="K921" s="21">
        <v>0.0</v>
      </c>
      <c r="L921" s="21">
        <v>0.0</v>
      </c>
      <c r="M921" s="21">
        <v>0.0</v>
      </c>
      <c r="N921" s="21">
        <v>0.0</v>
      </c>
      <c r="O921" s="21">
        <v>0.0</v>
      </c>
    </row>
    <row r="922">
      <c r="B922" s="20">
        <v>46271.0</v>
      </c>
      <c r="C922" s="21">
        <f>27.9</f>
        <v>27.9</v>
      </c>
      <c r="D922" s="21">
        <f t="shared" ref="D922:F922" si="1671">0</f>
        <v>0</v>
      </c>
      <c r="E922" s="21">
        <f t="shared" si="1671"/>
        <v>0</v>
      </c>
      <c r="F922" s="21">
        <f t="shared" si="1671"/>
        <v>0</v>
      </c>
      <c r="G922" s="21">
        <f>3.1</f>
        <v>3.1</v>
      </c>
      <c r="H922" s="21">
        <f t="shared" ref="H922:O922" si="1672">0</f>
        <v>0</v>
      </c>
      <c r="I922" s="21">
        <f t="shared" si="1672"/>
        <v>0</v>
      </c>
      <c r="J922" s="21">
        <f t="shared" si="1672"/>
        <v>0</v>
      </c>
      <c r="K922" s="21">
        <f t="shared" si="1672"/>
        <v>0</v>
      </c>
      <c r="L922" s="21">
        <f t="shared" si="1672"/>
        <v>0</v>
      </c>
      <c r="M922" s="21">
        <f t="shared" si="1672"/>
        <v>0</v>
      </c>
      <c r="N922" s="21">
        <f t="shared" si="1672"/>
        <v>0</v>
      </c>
      <c r="O922" s="21">
        <f t="shared" si="1672"/>
        <v>0</v>
      </c>
    </row>
    <row r="923">
      <c r="B923" s="20">
        <v>46271.0</v>
      </c>
      <c r="C923" s="21">
        <f t="shared" ref="C923:E923" si="1673">0</f>
        <v>0</v>
      </c>
      <c r="D923" s="21">
        <f t="shared" si="1673"/>
        <v>0</v>
      </c>
      <c r="E923" s="21">
        <f t="shared" si="1673"/>
        <v>0</v>
      </c>
      <c r="F923" s="21">
        <f>29.5</f>
        <v>29.5</v>
      </c>
      <c r="G923" s="21">
        <f t="shared" ref="G923:H923" si="1674">0</f>
        <v>0</v>
      </c>
      <c r="H923" s="21">
        <f t="shared" si="1674"/>
        <v>0</v>
      </c>
      <c r="I923" s="21">
        <f>29.5</f>
        <v>29.5</v>
      </c>
      <c r="J923" s="21">
        <f t="shared" ref="J923:O923" si="1675">0</f>
        <v>0</v>
      </c>
      <c r="K923" s="21">
        <f t="shared" si="1675"/>
        <v>0</v>
      </c>
      <c r="L923" s="21">
        <f t="shared" si="1675"/>
        <v>0</v>
      </c>
      <c r="M923" s="21">
        <f t="shared" si="1675"/>
        <v>0</v>
      </c>
      <c r="N923" s="21">
        <f t="shared" si="1675"/>
        <v>0</v>
      </c>
      <c r="O923" s="21">
        <f t="shared" si="1675"/>
        <v>0</v>
      </c>
    </row>
    <row r="924">
      <c r="B924" s="20">
        <v>46271.0</v>
      </c>
      <c r="C924" s="21">
        <f t="shared" ref="C924:E924" si="1676">0</f>
        <v>0</v>
      </c>
      <c r="D924" s="21">
        <f t="shared" si="1676"/>
        <v>0</v>
      </c>
      <c r="E924" s="21">
        <f t="shared" si="1676"/>
        <v>0</v>
      </c>
      <c r="F924" s="21">
        <f>45</f>
        <v>45</v>
      </c>
      <c r="G924" s="21">
        <f t="shared" ref="G924:O924" si="1677">0</f>
        <v>0</v>
      </c>
      <c r="H924" s="21">
        <f t="shared" si="1677"/>
        <v>0</v>
      </c>
      <c r="I924" s="21">
        <f t="shared" si="1677"/>
        <v>0</v>
      </c>
      <c r="J924" s="21">
        <f t="shared" si="1677"/>
        <v>0</v>
      </c>
      <c r="K924" s="21">
        <f t="shared" si="1677"/>
        <v>0</v>
      </c>
      <c r="L924" s="21">
        <f t="shared" si="1677"/>
        <v>0</v>
      </c>
      <c r="M924" s="21">
        <f t="shared" si="1677"/>
        <v>0</v>
      </c>
      <c r="N924" s="21">
        <f t="shared" si="1677"/>
        <v>0</v>
      </c>
      <c r="O924" s="21">
        <f t="shared" si="1677"/>
        <v>0</v>
      </c>
    </row>
    <row r="925">
      <c r="B925" s="20">
        <v>46271.0</v>
      </c>
      <c r="C925" s="21">
        <f t="shared" ref="C925:L925" si="1678">0</f>
        <v>0</v>
      </c>
      <c r="D925" s="21">
        <f t="shared" si="1678"/>
        <v>0</v>
      </c>
      <c r="E925" s="21">
        <f t="shared" si="1678"/>
        <v>0</v>
      </c>
      <c r="F925" s="21">
        <f t="shared" si="1678"/>
        <v>0</v>
      </c>
      <c r="G925" s="21">
        <f t="shared" si="1678"/>
        <v>0</v>
      </c>
      <c r="H925" s="21">
        <f t="shared" si="1678"/>
        <v>0</v>
      </c>
      <c r="I925" s="21">
        <f t="shared" si="1678"/>
        <v>0</v>
      </c>
      <c r="J925" s="21">
        <f t="shared" si="1678"/>
        <v>0</v>
      </c>
      <c r="K925" s="21">
        <f t="shared" si="1678"/>
        <v>0</v>
      </c>
      <c r="L925" s="21">
        <f t="shared" si="1678"/>
        <v>0</v>
      </c>
      <c r="M925" s="21">
        <f>22</f>
        <v>22</v>
      </c>
      <c r="N925" s="21">
        <f t="shared" ref="N925:O925" si="1679">0</f>
        <v>0</v>
      </c>
      <c r="O925" s="21">
        <f t="shared" si="1679"/>
        <v>0</v>
      </c>
    </row>
    <row r="926">
      <c r="B926" s="20">
        <v>46271.0</v>
      </c>
      <c r="C926" s="21">
        <v>0.0</v>
      </c>
      <c r="D926" s="21">
        <v>0.0</v>
      </c>
      <c r="E926" s="21">
        <v>0.0</v>
      </c>
      <c r="F926" s="21">
        <v>0.0</v>
      </c>
      <c r="G926" s="21">
        <v>0.0</v>
      </c>
      <c r="H926" s="21">
        <v>0.0</v>
      </c>
      <c r="I926" s="21">
        <v>0.0</v>
      </c>
      <c r="J926" s="21">
        <v>0.0</v>
      </c>
      <c r="K926" s="21">
        <v>0.0</v>
      </c>
      <c r="L926" s="21">
        <v>0.0</v>
      </c>
      <c r="M926" s="21">
        <v>0.0</v>
      </c>
      <c r="N926" s="21">
        <v>0.0</v>
      </c>
      <c r="O926" s="21">
        <f>25</f>
        <v>25</v>
      </c>
    </row>
    <row r="927">
      <c r="B927" s="20">
        <v>46271.0</v>
      </c>
      <c r="C927" s="21">
        <f t="shared" ref="C927:M927" si="1680">0</f>
        <v>0</v>
      </c>
      <c r="D927" s="21">
        <f t="shared" si="1680"/>
        <v>0</v>
      </c>
      <c r="E927" s="21">
        <f t="shared" si="1680"/>
        <v>0</v>
      </c>
      <c r="F927" s="21">
        <f t="shared" si="1680"/>
        <v>0</v>
      </c>
      <c r="G927" s="21">
        <f t="shared" si="1680"/>
        <v>0</v>
      </c>
      <c r="H927" s="21">
        <f t="shared" si="1680"/>
        <v>0</v>
      </c>
      <c r="I927" s="21">
        <f t="shared" si="1680"/>
        <v>0</v>
      </c>
      <c r="J927" s="21">
        <f t="shared" si="1680"/>
        <v>0</v>
      </c>
      <c r="K927" s="21">
        <f t="shared" si="1680"/>
        <v>0</v>
      </c>
      <c r="L927" s="21">
        <f t="shared" si="1680"/>
        <v>0</v>
      </c>
      <c r="M927" s="21">
        <f t="shared" si="1680"/>
        <v>0</v>
      </c>
      <c r="N927" s="21">
        <f>7.2</f>
        <v>7.2</v>
      </c>
      <c r="O927" s="21">
        <f>28.8</f>
        <v>28.8</v>
      </c>
    </row>
    <row r="928">
      <c r="B928" s="20">
        <v>46272.0</v>
      </c>
      <c r="C928" s="21">
        <f>22</f>
        <v>22</v>
      </c>
      <c r="D928" s="21">
        <f t="shared" ref="D928:I928" si="1681">0</f>
        <v>0</v>
      </c>
      <c r="E928" s="21">
        <f t="shared" si="1681"/>
        <v>0</v>
      </c>
      <c r="F928" s="21">
        <f t="shared" si="1681"/>
        <v>0</v>
      </c>
      <c r="G928" s="21">
        <f t="shared" si="1681"/>
        <v>0</v>
      </c>
      <c r="H928" s="21">
        <f t="shared" si="1681"/>
        <v>0</v>
      </c>
      <c r="I928" s="21">
        <f t="shared" si="1681"/>
        <v>0</v>
      </c>
      <c r="J928" s="21">
        <f>17.6</f>
        <v>17.6</v>
      </c>
      <c r="K928" s="21">
        <f t="shared" ref="K928:M928" si="1682">0</f>
        <v>0</v>
      </c>
      <c r="L928" s="21">
        <f t="shared" si="1682"/>
        <v>0</v>
      </c>
      <c r="M928" s="21">
        <f t="shared" si="1682"/>
        <v>0</v>
      </c>
      <c r="N928" s="21">
        <f>4.4</f>
        <v>4.4</v>
      </c>
      <c r="O928" s="21">
        <f>0</f>
        <v>0</v>
      </c>
    </row>
    <row r="929">
      <c r="B929" s="20">
        <v>46272.0</v>
      </c>
      <c r="C929" s="21">
        <f t="shared" ref="C929:C930" si="1685">0</f>
        <v>0</v>
      </c>
      <c r="D929" s="21">
        <f>12.3</f>
        <v>12.3</v>
      </c>
      <c r="E929" s="21">
        <f t="shared" ref="E929:H929" si="1683">0</f>
        <v>0</v>
      </c>
      <c r="F929" s="21">
        <f t="shared" si="1683"/>
        <v>0</v>
      </c>
      <c r="G929" s="21">
        <f t="shared" si="1683"/>
        <v>0</v>
      </c>
      <c r="H929" s="21">
        <f t="shared" si="1683"/>
        <v>0</v>
      </c>
      <c r="I929" s="21">
        <f>12.3</f>
        <v>12.3</v>
      </c>
      <c r="J929" s="21">
        <f t="shared" ref="J929:L929" si="1684">0</f>
        <v>0</v>
      </c>
      <c r="K929" s="21">
        <f t="shared" si="1684"/>
        <v>0</v>
      </c>
      <c r="L929" s="21">
        <f t="shared" si="1684"/>
        <v>0</v>
      </c>
      <c r="M929" s="21">
        <f>12.3</f>
        <v>12.3</v>
      </c>
      <c r="N929" s="21">
        <f>0</f>
        <v>0</v>
      </c>
      <c r="O929" s="21">
        <f>4.1</f>
        <v>4.1</v>
      </c>
    </row>
    <row r="930">
      <c r="B930" s="20">
        <v>46272.0</v>
      </c>
      <c r="C930" s="21">
        <f t="shared" si="1685"/>
        <v>0</v>
      </c>
      <c r="D930" s="21">
        <f t="shared" ref="D930:H930" si="1686">0</f>
        <v>0</v>
      </c>
      <c r="E930" s="21">
        <f t="shared" si="1686"/>
        <v>0</v>
      </c>
      <c r="F930" s="21">
        <f t="shared" si="1686"/>
        <v>0</v>
      </c>
      <c r="G930" s="21">
        <f t="shared" si="1686"/>
        <v>0</v>
      </c>
      <c r="H930" s="21">
        <f t="shared" si="1686"/>
        <v>0</v>
      </c>
      <c r="I930" s="21">
        <f>31</f>
        <v>31</v>
      </c>
      <c r="J930" s="21">
        <f t="shared" ref="J930:O930" si="1687">0</f>
        <v>0</v>
      </c>
      <c r="K930" s="21">
        <f t="shared" si="1687"/>
        <v>0</v>
      </c>
      <c r="L930" s="21">
        <f t="shared" si="1687"/>
        <v>0</v>
      </c>
      <c r="M930" s="21">
        <f t="shared" si="1687"/>
        <v>0</v>
      </c>
      <c r="N930" s="21">
        <f t="shared" si="1687"/>
        <v>0</v>
      </c>
      <c r="O930" s="21">
        <f t="shared" si="1687"/>
        <v>0</v>
      </c>
    </row>
    <row r="931">
      <c r="B931" s="20">
        <v>46272.0</v>
      </c>
      <c r="C931" s="21">
        <f>22</f>
        <v>22</v>
      </c>
      <c r="D931" s="21">
        <f t="shared" ref="D931:M931" si="1688">0</f>
        <v>0</v>
      </c>
      <c r="E931" s="21">
        <f t="shared" si="1688"/>
        <v>0</v>
      </c>
      <c r="F931" s="21">
        <f t="shared" si="1688"/>
        <v>0</v>
      </c>
      <c r="G931" s="21">
        <f t="shared" si="1688"/>
        <v>0</v>
      </c>
      <c r="H931" s="21">
        <f t="shared" si="1688"/>
        <v>0</v>
      </c>
      <c r="I931" s="21">
        <f t="shared" si="1688"/>
        <v>0</v>
      </c>
      <c r="J931" s="21">
        <f t="shared" si="1688"/>
        <v>0</v>
      </c>
      <c r="K931" s="21">
        <f t="shared" si="1688"/>
        <v>0</v>
      </c>
      <c r="L931" s="21">
        <f t="shared" si="1688"/>
        <v>0</v>
      </c>
      <c r="M931" s="21">
        <f t="shared" si="1688"/>
        <v>0</v>
      </c>
      <c r="N931" s="21">
        <f>22</f>
        <v>22</v>
      </c>
      <c r="O931" s="21">
        <f>0</f>
        <v>0</v>
      </c>
    </row>
    <row r="932">
      <c r="B932" s="20">
        <v>46272.0</v>
      </c>
      <c r="C932" s="21">
        <f>37</f>
        <v>37</v>
      </c>
      <c r="D932" s="21">
        <f t="shared" ref="D932:H932" si="1689">0</f>
        <v>0</v>
      </c>
      <c r="E932" s="21">
        <f t="shared" si="1689"/>
        <v>0</v>
      </c>
      <c r="F932" s="21">
        <f t="shared" si="1689"/>
        <v>0</v>
      </c>
      <c r="G932" s="21">
        <f t="shared" si="1689"/>
        <v>0</v>
      </c>
      <c r="H932" s="21">
        <f t="shared" si="1689"/>
        <v>0</v>
      </c>
      <c r="I932" s="21">
        <f>37</f>
        <v>37</v>
      </c>
      <c r="J932" s="21">
        <f t="shared" ref="J932:O932" si="1690">0</f>
        <v>0</v>
      </c>
      <c r="K932" s="21">
        <f t="shared" si="1690"/>
        <v>0</v>
      </c>
      <c r="L932" s="21">
        <f t="shared" si="1690"/>
        <v>0</v>
      </c>
      <c r="M932" s="21">
        <f t="shared" si="1690"/>
        <v>0</v>
      </c>
      <c r="N932" s="21">
        <f t="shared" si="1690"/>
        <v>0</v>
      </c>
      <c r="O932" s="21">
        <f t="shared" si="1690"/>
        <v>0</v>
      </c>
    </row>
    <row r="933">
      <c r="B933" s="20">
        <v>46272.0</v>
      </c>
      <c r="C933" s="21">
        <f t="shared" ref="C933:E933" si="1691">0</f>
        <v>0</v>
      </c>
      <c r="D933" s="21">
        <f t="shared" si="1691"/>
        <v>0</v>
      </c>
      <c r="E933" s="21">
        <f t="shared" si="1691"/>
        <v>0</v>
      </c>
      <c r="F933" s="21">
        <f t="shared" ref="F933:G933" si="1692">26.7</f>
        <v>26.7</v>
      </c>
      <c r="G933" s="21">
        <f t="shared" si="1692"/>
        <v>26.7</v>
      </c>
      <c r="H933" s="21">
        <f>0</f>
        <v>0</v>
      </c>
      <c r="I933" s="21">
        <f>26.7</f>
        <v>26.7</v>
      </c>
      <c r="J933" s="21">
        <f t="shared" ref="J933:N933" si="1693">0</f>
        <v>0</v>
      </c>
      <c r="K933" s="21">
        <f t="shared" si="1693"/>
        <v>0</v>
      </c>
      <c r="L933" s="21">
        <f t="shared" si="1693"/>
        <v>0</v>
      </c>
      <c r="M933" s="21">
        <f t="shared" si="1693"/>
        <v>0</v>
      </c>
      <c r="N933" s="21">
        <f t="shared" si="1693"/>
        <v>0</v>
      </c>
      <c r="O933" s="21">
        <f>8.9</f>
        <v>8.9</v>
      </c>
    </row>
    <row r="934">
      <c r="B934" s="20">
        <v>46272.0</v>
      </c>
      <c r="C934" s="21">
        <f t="shared" ref="C934:E934" si="1694">0</f>
        <v>0</v>
      </c>
      <c r="D934" s="21">
        <f t="shared" si="1694"/>
        <v>0</v>
      </c>
      <c r="E934" s="21">
        <f t="shared" si="1694"/>
        <v>0</v>
      </c>
      <c r="F934" s="21">
        <f>3.6</f>
        <v>3.6</v>
      </c>
      <c r="G934" s="21">
        <f t="shared" ref="G934:L934" si="1695">0</f>
        <v>0</v>
      </c>
      <c r="H934" s="21">
        <f t="shared" si="1695"/>
        <v>0</v>
      </c>
      <c r="I934" s="21">
        <f t="shared" si="1695"/>
        <v>0</v>
      </c>
      <c r="J934" s="21">
        <f t="shared" si="1695"/>
        <v>0</v>
      </c>
      <c r="K934" s="21">
        <f t="shared" si="1695"/>
        <v>0</v>
      </c>
      <c r="L934" s="21">
        <f t="shared" si="1695"/>
        <v>0</v>
      </c>
      <c r="M934" s="21">
        <f>4.8</f>
        <v>4.8</v>
      </c>
      <c r="N934" s="21">
        <f t="shared" ref="N934:N935" si="1699">0</f>
        <v>0</v>
      </c>
      <c r="O934" s="21">
        <f>3.6</f>
        <v>3.6</v>
      </c>
    </row>
    <row r="935">
      <c r="B935" s="20">
        <v>46272.0</v>
      </c>
      <c r="C935" s="21">
        <f t="shared" ref="C935:E935" si="1696">0</f>
        <v>0</v>
      </c>
      <c r="D935" s="21">
        <f t="shared" si="1696"/>
        <v>0</v>
      </c>
      <c r="E935" s="21">
        <f t="shared" si="1696"/>
        <v>0</v>
      </c>
      <c r="F935" s="21">
        <f t="shared" ref="F935:G935" si="1697">10.2</f>
        <v>10.2</v>
      </c>
      <c r="G935" s="21">
        <f t="shared" si="1697"/>
        <v>10.2</v>
      </c>
      <c r="H935" s="21">
        <f>0</f>
        <v>0</v>
      </c>
      <c r="I935" s="21">
        <f>10.2</f>
        <v>10.2</v>
      </c>
      <c r="J935" s="21">
        <f t="shared" ref="J935:L935" si="1698">0</f>
        <v>0</v>
      </c>
      <c r="K935" s="21">
        <f t="shared" si="1698"/>
        <v>0</v>
      </c>
      <c r="L935" s="21">
        <f t="shared" si="1698"/>
        <v>0</v>
      </c>
      <c r="M935" s="21">
        <f>20.4</f>
        <v>20.4</v>
      </c>
      <c r="N935" s="21">
        <f t="shared" si="1699"/>
        <v>0</v>
      </c>
      <c r="O935" s="21">
        <f>0</f>
        <v>0</v>
      </c>
    </row>
    <row r="936">
      <c r="B936" s="20">
        <v>46272.0</v>
      </c>
      <c r="C936" s="21">
        <f t="shared" ref="C936:E936" si="1700">0</f>
        <v>0</v>
      </c>
      <c r="D936" s="21">
        <f t="shared" si="1700"/>
        <v>0</v>
      </c>
      <c r="E936" s="21">
        <f t="shared" si="1700"/>
        <v>0</v>
      </c>
      <c r="F936" s="21">
        <f>21</f>
        <v>21</v>
      </c>
      <c r="G936" s="21">
        <f t="shared" ref="G936:H936" si="1701">0</f>
        <v>0</v>
      </c>
      <c r="H936" s="21">
        <f t="shared" si="1701"/>
        <v>0</v>
      </c>
      <c r="I936" s="21">
        <f>21</f>
        <v>21</v>
      </c>
      <c r="J936" s="21">
        <f t="shared" ref="J936:O936" si="1702">0</f>
        <v>0</v>
      </c>
      <c r="K936" s="21">
        <f t="shared" si="1702"/>
        <v>0</v>
      </c>
      <c r="L936" s="21">
        <f t="shared" si="1702"/>
        <v>0</v>
      </c>
      <c r="M936" s="21">
        <f t="shared" si="1702"/>
        <v>0</v>
      </c>
      <c r="N936" s="21">
        <f t="shared" si="1702"/>
        <v>0</v>
      </c>
      <c r="O936" s="21">
        <f t="shared" si="1702"/>
        <v>0</v>
      </c>
    </row>
    <row r="937">
      <c r="B937" s="20">
        <v>46272.0</v>
      </c>
      <c r="C937" s="21">
        <f t="shared" ref="C937:E937" si="1703">0</f>
        <v>0</v>
      </c>
      <c r="D937" s="21">
        <f t="shared" si="1703"/>
        <v>0</v>
      </c>
      <c r="E937" s="21">
        <f t="shared" si="1703"/>
        <v>0</v>
      </c>
      <c r="F937" s="21">
        <f>9.4</f>
        <v>9.4</v>
      </c>
      <c r="G937" s="21">
        <f t="shared" ref="G937:H937" si="1704">0</f>
        <v>0</v>
      </c>
      <c r="H937" s="21">
        <f t="shared" si="1704"/>
        <v>0</v>
      </c>
      <c r="I937" s="21">
        <f>9.4</f>
        <v>9.4</v>
      </c>
      <c r="J937" s="21">
        <f t="shared" ref="J937:L937" si="1705">0</f>
        <v>0</v>
      </c>
      <c r="K937" s="21">
        <f t="shared" si="1705"/>
        <v>0</v>
      </c>
      <c r="L937" s="21">
        <f t="shared" si="1705"/>
        <v>0</v>
      </c>
      <c r="M937" s="21">
        <f>4.7</f>
        <v>4.7</v>
      </c>
      <c r="N937" s="21">
        <f>0</f>
        <v>0</v>
      </c>
      <c r="O937" s="21">
        <f>23.5</f>
        <v>23.5</v>
      </c>
    </row>
    <row r="938">
      <c r="B938" s="20">
        <v>46272.0</v>
      </c>
      <c r="C938" s="21">
        <f t="shared" ref="C938:E938" si="1706">0</f>
        <v>0</v>
      </c>
      <c r="D938" s="21">
        <f t="shared" si="1706"/>
        <v>0</v>
      </c>
      <c r="E938" s="21">
        <f t="shared" si="1706"/>
        <v>0</v>
      </c>
      <c r="F938" s="21">
        <f t="shared" ref="F938:G938" si="1707">7.4</f>
        <v>7.4</v>
      </c>
      <c r="G938" s="21">
        <f t="shared" si="1707"/>
        <v>7.4</v>
      </c>
      <c r="H938" s="21">
        <f t="shared" ref="H938:L938" si="1708">0</f>
        <v>0</v>
      </c>
      <c r="I938" s="21">
        <f t="shared" si="1708"/>
        <v>0</v>
      </c>
      <c r="J938" s="21">
        <f t="shared" si="1708"/>
        <v>0</v>
      </c>
      <c r="K938" s="21">
        <f t="shared" si="1708"/>
        <v>0</v>
      </c>
      <c r="L938" s="21">
        <f t="shared" si="1708"/>
        <v>0</v>
      </c>
      <c r="M938" s="21">
        <f>7.4</f>
        <v>7.4</v>
      </c>
      <c r="N938" s="21">
        <f>3.7</f>
        <v>3.7</v>
      </c>
      <c r="O938" s="21">
        <f>11.1</f>
        <v>11.1</v>
      </c>
    </row>
    <row r="939">
      <c r="B939" s="20">
        <v>46272.0</v>
      </c>
      <c r="C939" s="21">
        <v>0.0</v>
      </c>
      <c r="D939" s="21">
        <v>0.0</v>
      </c>
      <c r="E939" s="21">
        <v>0.0</v>
      </c>
      <c r="F939" s="21">
        <v>0.0</v>
      </c>
      <c r="G939" s="21">
        <v>0.0</v>
      </c>
      <c r="H939" s="21">
        <v>0.0</v>
      </c>
      <c r="I939" s="21">
        <f>36</f>
        <v>36</v>
      </c>
      <c r="J939" s="21">
        <v>0.0</v>
      </c>
      <c r="K939" s="21">
        <v>0.0</v>
      </c>
      <c r="L939" s="21">
        <v>0.0</v>
      </c>
      <c r="M939" s="21">
        <v>0.0</v>
      </c>
      <c r="N939" s="21">
        <v>0.0</v>
      </c>
      <c r="O939" s="21">
        <v>0.0</v>
      </c>
    </row>
    <row r="940">
      <c r="B940" s="20">
        <v>46272.0</v>
      </c>
      <c r="C940" s="21">
        <f>43.2</f>
        <v>43.2</v>
      </c>
      <c r="D940" s="21">
        <f t="shared" ref="D940:F940" si="1709">0</f>
        <v>0</v>
      </c>
      <c r="E940" s="21">
        <f t="shared" si="1709"/>
        <v>0</v>
      </c>
      <c r="F940" s="21">
        <f t="shared" si="1709"/>
        <v>0</v>
      </c>
      <c r="G940" s="21">
        <f>28.8</f>
        <v>28.8</v>
      </c>
      <c r="H940" s="21">
        <f t="shared" ref="H940:O940" si="1710">0</f>
        <v>0</v>
      </c>
      <c r="I940" s="21">
        <f t="shared" si="1710"/>
        <v>0</v>
      </c>
      <c r="J940" s="21">
        <f t="shared" si="1710"/>
        <v>0</v>
      </c>
      <c r="K940" s="21">
        <f t="shared" si="1710"/>
        <v>0</v>
      </c>
      <c r="L940" s="21">
        <f t="shared" si="1710"/>
        <v>0</v>
      </c>
      <c r="M940" s="21">
        <f t="shared" si="1710"/>
        <v>0</v>
      </c>
      <c r="N940" s="21">
        <f t="shared" si="1710"/>
        <v>0</v>
      </c>
      <c r="O940" s="21">
        <f t="shared" si="1710"/>
        <v>0</v>
      </c>
    </row>
    <row r="941">
      <c r="B941" s="20">
        <v>46272.0</v>
      </c>
      <c r="C941" s="21">
        <f>9.6</f>
        <v>9.6</v>
      </c>
      <c r="D941" s="21">
        <f t="shared" ref="D941:L941" si="1711">0</f>
        <v>0</v>
      </c>
      <c r="E941" s="21">
        <f t="shared" si="1711"/>
        <v>0</v>
      </c>
      <c r="F941" s="21">
        <f t="shared" si="1711"/>
        <v>0</v>
      </c>
      <c r="G941" s="21">
        <f t="shared" si="1711"/>
        <v>0</v>
      </c>
      <c r="H941" s="21">
        <f t="shared" si="1711"/>
        <v>0</v>
      </c>
      <c r="I941" s="21">
        <f t="shared" si="1711"/>
        <v>0</v>
      </c>
      <c r="J941" s="21">
        <f t="shared" si="1711"/>
        <v>0</v>
      </c>
      <c r="K941" s="21">
        <f t="shared" si="1711"/>
        <v>0</v>
      </c>
      <c r="L941" s="21">
        <f t="shared" si="1711"/>
        <v>0</v>
      </c>
      <c r="M941" s="21">
        <f>14.4</f>
        <v>14.4</v>
      </c>
      <c r="N941" s="21">
        <f t="shared" ref="N941:O941" si="1712">0</f>
        <v>0</v>
      </c>
      <c r="O941" s="21">
        <f t="shared" si="1712"/>
        <v>0</v>
      </c>
    </row>
    <row r="942">
      <c r="B942" s="20">
        <v>46272.0</v>
      </c>
      <c r="C942" s="21">
        <f t="shared" ref="C942:N942" si="1713">0</f>
        <v>0</v>
      </c>
      <c r="D942" s="21">
        <f t="shared" si="1713"/>
        <v>0</v>
      </c>
      <c r="E942" s="21">
        <f t="shared" si="1713"/>
        <v>0</v>
      </c>
      <c r="F942" s="21">
        <f t="shared" si="1713"/>
        <v>0</v>
      </c>
      <c r="G942" s="21">
        <f t="shared" si="1713"/>
        <v>0</v>
      </c>
      <c r="H942" s="21">
        <f t="shared" si="1713"/>
        <v>0</v>
      </c>
      <c r="I942" s="21">
        <f t="shared" si="1713"/>
        <v>0</v>
      </c>
      <c r="J942" s="21">
        <f t="shared" si="1713"/>
        <v>0</v>
      </c>
      <c r="K942" s="21">
        <f t="shared" si="1713"/>
        <v>0</v>
      </c>
      <c r="L942" s="21">
        <f t="shared" si="1713"/>
        <v>0</v>
      </c>
      <c r="M942" s="21">
        <f t="shared" si="1713"/>
        <v>0</v>
      </c>
      <c r="N942" s="21">
        <f t="shared" si="1713"/>
        <v>0</v>
      </c>
      <c r="O942" s="21">
        <f>2</f>
        <v>2</v>
      </c>
    </row>
    <row r="943">
      <c r="B943" s="20">
        <v>46272.0</v>
      </c>
      <c r="C943" s="21">
        <f>18.9</f>
        <v>18.9</v>
      </c>
      <c r="D943" s="21">
        <f t="shared" ref="D943:L943" si="1714">0</f>
        <v>0</v>
      </c>
      <c r="E943" s="21">
        <f t="shared" si="1714"/>
        <v>0</v>
      </c>
      <c r="F943" s="21">
        <f t="shared" si="1714"/>
        <v>0</v>
      </c>
      <c r="G943" s="21">
        <f t="shared" si="1714"/>
        <v>0</v>
      </c>
      <c r="H943" s="21">
        <f t="shared" si="1714"/>
        <v>0</v>
      </c>
      <c r="I943" s="21">
        <f t="shared" si="1714"/>
        <v>0</v>
      </c>
      <c r="J943" s="21">
        <f t="shared" si="1714"/>
        <v>0</v>
      </c>
      <c r="K943" s="21">
        <f t="shared" si="1714"/>
        <v>0</v>
      </c>
      <c r="L943" s="21">
        <f t="shared" si="1714"/>
        <v>0</v>
      </c>
      <c r="M943" s="21">
        <f>2.1</f>
        <v>2.1</v>
      </c>
      <c r="N943" s="21">
        <f t="shared" ref="N943:O943" si="1715">0</f>
        <v>0</v>
      </c>
      <c r="O943" s="21">
        <f t="shared" si="1715"/>
        <v>0</v>
      </c>
    </row>
    <row r="944">
      <c r="B944" s="20">
        <v>46272.0</v>
      </c>
      <c r="C944" s="21">
        <f t="shared" ref="C944:H944" si="1716">0</f>
        <v>0</v>
      </c>
      <c r="D944" s="21">
        <f t="shared" si="1716"/>
        <v>0</v>
      </c>
      <c r="E944" s="21">
        <f t="shared" si="1716"/>
        <v>0</v>
      </c>
      <c r="F944" s="21">
        <f t="shared" si="1716"/>
        <v>0</v>
      </c>
      <c r="G944" s="21">
        <f t="shared" si="1716"/>
        <v>0</v>
      </c>
      <c r="H944" s="21">
        <f t="shared" si="1716"/>
        <v>0</v>
      </c>
      <c r="I944" s="21">
        <f>4</f>
        <v>4</v>
      </c>
      <c r="J944" s="21">
        <f t="shared" ref="J944:M944" si="1717">0</f>
        <v>0</v>
      </c>
      <c r="K944" s="21">
        <f t="shared" si="1717"/>
        <v>0</v>
      </c>
      <c r="L944" s="21">
        <f t="shared" si="1717"/>
        <v>0</v>
      </c>
      <c r="M944" s="21">
        <f t="shared" si="1717"/>
        <v>0</v>
      </c>
      <c r="N944" s="21">
        <f>16</f>
        <v>16</v>
      </c>
      <c r="O944" s="21">
        <f>0</f>
        <v>0</v>
      </c>
    </row>
    <row r="945">
      <c r="B945" s="20">
        <v>46273.0</v>
      </c>
      <c r="C945" s="21">
        <f t="shared" ref="C945:D945" si="1718">0</f>
        <v>0</v>
      </c>
      <c r="D945" s="21">
        <f t="shared" si="1718"/>
        <v>0</v>
      </c>
      <c r="E945" s="21">
        <f>18.8</f>
        <v>18.8</v>
      </c>
      <c r="F945" s="21">
        <f t="shared" ref="F945:L945" si="1719">0</f>
        <v>0</v>
      </c>
      <c r="G945" s="21">
        <f t="shared" si="1719"/>
        <v>0</v>
      </c>
      <c r="H945" s="21">
        <f t="shared" si="1719"/>
        <v>0</v>
      </c>
      <c r="I945" s="21">
        <f t="shared" si="1719"/>
        <v>0</v>
      </c>
      <c r="J945" s="21">
        <f t="shared" si="1719"/>
        <v>0</v>
      </c>
      <c r="K945" s="21">
        <f t="shared" si="1719"/>
        <v>0</v>
      </c>
      <c r="L945" s="21">
        <f t="shared" si="1719"/>
        <v>0</v>
      </c>
      <c r="M945" s="21">
        <f>18.8</f>
        <v>18.8</v>
      </c>
      <c r="N945" s="21">
        <f>0</f>
        <v>0</v>
      </c>
      <c r="O945" s="21">
        <f>9.4</f>
        <v>9.4</v>
      </c>
    </row>
    <row r="946">
      <c r="B946" s="20">
        <v>46273.0</v>
      </c>
      <c r="C946" s="21">
        <f t="shared" ref="C946:H946" si="1720">0</f>
        <v>0</v>
      </c>
      <c r="D946" s="21">
        <f t="shared" si="1720"/>
        <v>0</v>
      </c>
      <c r="E946" s="21">
        <f t="shared" si="1720"/>
        <v>0</v>
      </c>
      <c r="F946" s="21">
        <f t="shared" si="1720"/>
        <v>0</v>
      </c>
      <c r="G946" s="21">
        <f t="shared" si="1720"/>
        <v>0</v>
      </c>
      <c r="H946" s="21">
        <f t="shared" si="1720"/>
        <v>0</v>
      </c>
      <c r="I946" s="21">
        <f>59</f>
        <v>59</v>
      </c>
      <c r="J946" s="21">
        <f t="shared" ref="J946:O946" si="1721">0</f>
        <v>0</v>
      </c>
      <c r="K946" s="21">
        <f t="shared" si="1721"/>
        <v>0</v>
      </c>
      <c r="L946" s="21">
        <f t="shared" si="1721"/>
        <v>0</v>
      </c>
      <c r="M946" s="21">
        <f t="shared" si="1721"/>
        <v>0</v>
      </c>
      <c r="N946" s="21">
        <f t="shared" si="1721"/>
        <v>0</v>
      </c>
      <c r="O946" s="21">
        <f t="shared" si="1721"/>
        <v>0</v>
      </c>
    </row>
    <row r="947">
      <c r="B947" s="20">
        <v>46273.0</v>
      </c>
      <c r="C947" s="21">
        <f t="shared" ref="C947:H947" si="1722">0</f>
        <v>0</v>
      </c>
      <c r="D947" s="21">
        <f t="shared" si="1722"/>
        <v>0</v>
      </c>
      <c r="E947" s="21">
        <f t="shared" si="1722"/>
        <v>0</v>
      </c>
      <c r="F947" s="21">
        <f t="shared" si="1722"/>
        <v>0</v>
      </c>
      <c r="G947" s="21">
        <f t="shared" si="1722"/>
        <v>0</v>
      </c>
      <c r="H947" s="21">
        <f t="shared" si="1722"/>
        <v>0</v>
      </c>
      <c r="I947" s="21">
        <f>47.2</f>
        <v>47.2</v>
      </c>
      <c r="J947" s="21">
        <f t="shared" ref="J947:L947" si="1723">0</f>
        <v>0</v>
      </c>
      <c r="K947" s="21">
        <f t="shared" si="1723"/>
        <v>0</v>
      </c>
      <c r="L947" s="21">
        <f t="shared" si="1723"/>
        <v>0</v>
      </c>
      <c r="M947" s="21">
        <f>11.8</f>
        <v>11.8</v>
      </c>
      <c r="N947" s="21">
        <f t="shared" ref="N947:O947" si="1724">0</f>
        <v>0</v>
      </c>
      <c r="O947" s="21">
        <f t="shared" si="1724"/>
        <v>0</v>
      </c>
    </row>
    <row r="948">
      <c r="B948" s="20">
        <v>46273.0</v>
      </c>
      <c r="C948" s="21">
        <f>5.8</f>
        <v>5.8</v>
      </c>
      <c r="D948" s="21">
        <f t="shared" ref="D948:H948" si="1725">0</f>
        <v>0</v>
      </c>
      <c r="E948" s="21">
        <f t="shared" si="1725"/>
        <v>0</v>
      </c>
      <c r="F948" s="21">
        <f t="shared" si="1725"/>
        <v>0</v>
      </c>
      <c r="G948" s="21">
        <f t="shared" si="1725"/>
        <v>0</v>
      </c>
      <c r="H948" s="21">
        <f t="shared" si="1725"/>
        <v>0</v>
      </c>
      <c r="I948" s="21">
        <f>52.2</f>
        <v>52.2</v>
      </c>
      <c r="J948" s="21">
        <f t="shared" ref="J948:O948" si="1726">0</f>
        <v>0</v>
      </c>
      <c r="K948" s="21">
        <f t="shared" si="1726"/>
        <v>0</v>
      </c>
      <c r="L948" s="21">
        <f t="shared" si="1726"/>
        <v>0</v>
      </c>
      <c r="M948" s="21">
        <f t="shared" si="1726"/>
        <v>0</v>
      </c>
      <c r="N948" s="21">
        <f t="shared" si="1726"/>
        <v>0</v>
      </c>
      <c r="O948" s="21">
        <f t="shared" si="1726"/>
        <v>0</v>
      </c>
    </row>
    <row r="949">
      <c r="B949" s="20">
        <v>46273.0</v>
      </c>
      <c r="C949" s="21">
        <v>0.0</v>
      </c>
      <c r="D949" s="21">
        <v>0.0</v>
      </c>
      <c r="E949" s="21">
        <v>0.0</v>
      </c>
      <c r="F949" s="21">
        <v>0.0</v>
      </c>
      <c r="G949" s="21">
        <v>0.0</v>
      </c>
      <c r="H949" s="21">
        <v>0.0</v>
      </c>
      <c r="I949" s="21">
        <v>0.0</v>
      </c>
      <c r="J949" s="21">
        <v>0.0</v>
      </c>
      <c r="K949" s="21">
        <v>0.0</v>
      </c>
      <c r="L949" s="21">
        <v>0.0</v>
      </c>
      <c r="M949" s="21">
        <v>0.0</v>
      </c>
      <c r="N949" s="21">
        <v>0.0</v>
      </c>
      <c r="O949" s="21">
        <f>46</f>
        <v>46</v>
      </c>
    </row>
    <row r="950">
      <c r="B950" s="20">
        <v>46273.0</v>
      </c>
      <c r="C950" s="21">
        <v>0.0</v>
      </c>
      <c r="D950" s="21">
        <v>0.0</v>
      </c>
      <c r="E950" s="21">
        <v>0.0</v>
      </c>
      <c r="F950" s="21">
        <v>0.0</v>
      </c>
      <c r="G950" s="21">
        <v>0.0</v>
      </c>
      <c r="H950" s="21">
        <v>0.0</v>
      </c>
      <c r="I950" s="21">
        <f>76</f>
        <v>76</v>
      </c>
      <c r="J950" s="21">
        <v>0.0</v>
      </c>
      <c r="K950" s="21">
        <v>0.0</v>
      </c>
      <c r="L950" s="21">
        <v>0.0</v>
      </c>
      <c r="M950" s="21">
        <v>0.0</v>
      </c>
      <c r="N950" s="21">
        <v>0.0</v>
      </c>
      <c r="O950" s="21">
        <v>0.0</v>
      </c>
    </row>
    <row r="951">
      <c r="B951" s="20">
        <v>46273.0</v>
      </c>
      <c r="C951" s="21">
        <v>0.0</v>
      </c>
      <c r="D951" s="21">
        <v>0.0</v>
      </c>
      <c r="E951" s="21">
        <v>0.0</v>
      </c>
      <c r="F951" s="21">
        <v>0.0</v>
      </c>
      <c r="G951" s="21">
        <v>0.0</v>
      </c>
      <c r="H951" s="21">
        <v>0.0</v>
      </c>
      <c r="I951" s="21">
        <v>0.0</v>
      </c>
      <c r="J951" s="21">
        <v>0.0</v>
      </c>
      <c r="K951" s="21">
        <v>0.0</v>
      </c>
      <c r="L951" s="21">
        <v>0.0</v>
      </c>
      <c r="M951" s="21">
        <v>0.0</v>
      </c>
      <c r="N951" s="21">
        <v>0.0</v>
      </c>
      <c r="O951" s="21">
        <f>86</f>
        <v>86</v>
      </c>
    </row>
    <row r="952">
      <c r="B952" s="20">
        <v>46273.0</v>
      </c>
      <c r="C952" s="21">
        <f t="shared" ref="C952:F952" si="1727">0</f>
        <v>0</v>
      </c>
      <c r="D952" s="21">
        <f t="shared" si="1727"/>
        <v>0</v>
      </c>
      <c r="E952" s="21">
        <f t="shared" si="1727"/>
        <v>0</v>
      </c>
      <c r="F952" s="21">
        <f t="shared" si="1727"/>
        <v>0</v>
      </c>
      <c r="G952" s="21">
        <f>6</f>
        <v>6</v>
      </c>
      <c r="H952" s="21">
        <f t="shared" ref="H952:H953" si="1730">0</f>
        <v>0</v>
      </c>
      <c r="I952" s="21">
        <f>8</f>
        <v>8</v>
      </c>
      <c r="J952" s="21">
        <f t="shared" ref="J952:M952" si="1728">0</f>
        <v>0</v>
      </c>
      <c r="K952" s="21">
        <f t="shared" si="1728"/>
        <v>0</v>
      </c>
      <c r="L952" s="21">
        <f t="shared" si="1728"/>
        <v>0</v>
      </c>
      <c r="M952" s="21">
        <f t="shared" si="1728"/>
        <v>0</v>
      </c>
      <c r="N952" s="21">
        <f>6</f>
        <v>6</v>
      </c>
      <c r="O952" s="21">
        <f>0</f>
        <v>0</v>
      </c>
    </row>
    <row r="953">
      <c r="B953" s="20">
        <v>46273.0</v>
      </c>
      <c r="C953" s="21">
        <f>53.4</f>
        <v>53.4</v>
      </c>
      <c r="D953" s="21">
        <f>17.8</f>
        <v>17.8</v>
      </c>
      <c r="E953" s="21">
        <f t="shared" ref="E953:F953" si="1729">0</f>
        <v>0</v>
      </c>
      <c r="F953" s="21">
        <f t="shared" si="1729"/>
        <v>0</v>
      </c>
      <c r="G953" s="21">
        <f>17.8</f>
        <v>17.8</v>
      </c>
      <c r="H953" s="21">
        <f t="shared" si="1730"/>
        <v>0</v>
      </c>
      <c r="I953" s="21">
        <f t="shared" ref="I953:O953" si="1731">0</f>
        <v>0</v>
      </c>
      <c r="J953" s="21">
        <f t="shared" si="1731"/>
        <v>0</v>
      </c>
      <c r="K953" s="21">
        <f t="shared" si="1731"/>
        <v>0</v>
      </c>
      <c r="L953" s="21">
        <f t="shared" si="1731"/>
        <v>0</v>
      </c>
      <c r="M953" s="21">
        <f t="shared" si="1731"/>
        <v>0</v>
      </c>
      <c r="N953" s="21">
        <f t="shared" si="1731"/>
        <v>0</v>
      </c>
      <c r="O953" s="21">
        <f t="shared" si="1731"/>
        <v>0</v>
      </c>
    </row>
    <row r="954">
      <c r="B954" s="20">
        <v>46273.0</v>
      </c>
      <c r="C954" s="21">
        <f t="shared" ref="C954:H954" si="1732">0</f>
        <v>0</v>
      </c>
      <c r="D954" s="21">
        <f t="shared" si="1732"/>
        <v>0</v>
      </c>
      <c r="E954" s="21">
        <f t="shared" si="1732"/>
        <v>0</v>
      </c>
      <c r="F954" s="21">
        <f t="shared" si="1732"/>
        <v>0</v>
      </c>
      <c r="G954" s="21">
        <f t="shared" si="1732"/>
        <v>0</v>
      </c>
      <c r="H954" s="21">
        <f t="shared" si="1732"/>
        <v>0</v>
      </c>
      <c r="I954" s="21">
        <f>9.9</f>
        <v>9.9</v>
      </c>
      <c r="J954" s="21">
        <f t="shared" ref="J954:L954" si="1733">0</f>
        <v>0</v>
      </c>
      <c r="K954" s="21">
        <f t="shared" si="1733"/>
        <v>0</v>
      </c>
      <c r="L954" s="21">
        <f t="shared" si="1733"/>
        <v>0</v>
      </c>
      <c r="M954" s="21">
        <f>1.1</f>
        <v>1.1</v>
      </c>
      <c r="N954" s="21">
        <f t="shared" ref="N954:O954" si="1734">0</f>
        <v>0</v>
      </c>
      <c r="O954" s="21">
        <f t="shared" si="1734"/>
        <v>0</v>
      </c>
    </row>
    <row r="955">
      <c r="B955" s="20">
        <v>46273.0</v>
      </c>
      <c r="C955" s="21">
        <f t="shared" ref="C955:D955" si="1735">0</f>
        <v>0</v>
      </c>
      <c r="D955" s="21">
        <f t="shared" si="1735"/>
        <v>0</v>
      </c>
      <c r="E955" s="21">
        <f>15.6</f>
        <v>15.6</v>
      </c>
      <c r="F955" s="21">
        <f t="shared" ref="F955:G955" si="1736">0</f>
        <v>0</v>
      </c>
      <c r="G955" s="21">
        <f t="shared" si="1736"/>
        <v>0</v>
      </c>
      <c r="H955" s="21">
        <f>3.9</f>
        <v>3.9</v>
      </c>
      <c r="I955" s="21">
        <f t="shared" ref="I955:M955" si="1737">0</f>
        <v>0</v>
      </c>
      <c r="J955" s="21">
        <f t="shared" si="1737"/>
        <v>0</v>
      </c>
      <c r="K955" s="21">
        <f t="shared" si="1737"/>
        <v>0</v>
      </c>
      <c r="L955" s="21">
        <f t="shared" si="1737"/>
        <v>0</v>
      </c>
      <c r="M955" s="21">
        <f t="shared" si="1737"/>
        <v>0</v>
      </c>
      <c r="N955" s="21">
        <f>11.7</f>
        <v>11.7</v>
      </c>
      <c r="O955" s="21">
        <f>7.8</f>
        <v>7.8</v>
      </c>
    </row>
    <row r="956">
      <c r="B956" s="20">
        <v>46273.0</v>
      </c>
      <c r="C956" s="21">
        <f t="shared" ref="C956:F956" si="1738">0</f>
        <v>0</v>
      </c>
      <c r="D956" s="21">
        <f t="shared" si="1738"/>
        <v>0</v>
      </c>
      <c r="E956" s="21">
        <f t="shared" si="1738"/>
        <v>0</v>
      </c>
      <c r="F956" s="21">
        <f t="shared" si="1738"/>
        <v>0</v>
      </c>
      <c r="G956" s="21">
        <f>53</f>
        <v>53</v>
      </c>
      <c r="H956" s="21">
        <f>0</f>
        <v>0</v>
      </c>
      <c r="I956" s="21">
        <f>53</f>
        <v>53</v>
      </c>
      <c r="J956" s="21">
        <f t="shared" ref="J956:O956" si="1739">0</f>
        <v>0</v>
      </c>
      <c r="K956" s="21">
        <f t="shared" si="1739"/>
        <v>0</v>
      </c>
      <c r="L956" s="21">
        <f t="shared" si="1739"/>
        <v>0</v>
      </c>
      <c r="M956" s="21">
        <f t="shared" si="1739"/>
        <v>0</v>
      </c>
      <c r="N956" s="21">
        <f t="shared" si="1739"/>
        <v>0</v>
      </c>
      <c r="O956" s="21">
        <f t="shared" si="1739"/>
        <v>0</v>
      </c>
    </row>
    <row r="957">
      <c r="B957" s="20">
        <v>46273.0</v>
      </c>
      <c r="C957" s="21">
        <f t="shared" ref="C957:I957" si="1740">0</f>
        <v>0</v>
      </c>
      <c r="D957" s="21">
        <f t="shared" si="1740"/>
        <v>0</v>
      </c>
      <c r="E957" s="21">
        <f t="shared" si="1740"/>
        <v>0</v>
      </c>
      <c r="F957" s="21">
        <f t="shared" si="1740"/>
        <v>0</v>
      </c>
      <c r="G957" s="21">
        <f t="shared" si="1740"/>
        <v>0</v>
      </c>
      <c r="H957" s="21">
        <f t="shared" si="1740"/>
        <v>0</v>
      </c>
      <c r="I957" s="21">
        <f t="shared" si="1740"/>
        <v>0</v>
      </c>
      <c r="J957" s="21">
        <f>194</f>
        <v>194</v>
      </c>
      <c r="K957" s="21">
        <f t="shared" ref="K957:O957" si="1741">0</f>
        <v>0</v>
      </c>
      <c r="L957" s="21">
        <f t="shared" si="1741"/>
        <v>0</v>
      </c>
      <c r="M957" s="21">
        <f t="shared" si="1741"/>
        <v>0</v>
      </c>
      <c r="N957" s="21">
        <f t="shared" si="1741"/>
        <v>0</v>
      </c>
      <c r="O957" s="21">
        <f t="shared" si="1741"/>
        <v>0</v>
      </c>
    </row>
    <row r="958">
      <c r="B958" s="20">
        <v>46273.0</v>
      </c>
      <c r="C958" s="21">
        <f t="shared" ref="C958:I958" si="1742">0</f>
        <v>0</v>
      </c>
      <c r="D958" s="21">
        <f t="shared" si="1742"/>
        <v>0</v>
      </c>
      <c r="E958" s="21">
        <f t="shared" si="1742"/>
        <v>0</v>
      </c>
      <c r="F958" s="21">
        <f t="shared" si="1742"/>
        <v>0</v>
      </c>
      <c r="G958" s="21">
        <f t="shared" si="1742"/>
        <v>0</v>
      </c>
      <c r="H958" s="21">
        <f t="shared" si="1742"/>
        <v>0</v>
      </c>
      <c r="I958" s="21">
        <f t="shared" si="1742"/>
        <v>0</v>
      </c>
      <c r="J958" s="21">
        <f>174</f>
        <v>174</v>
      </c>
      <c r="K958" s="21">
        <f t="shared" ref="K958:O958" si="1743">0</f>
        <v>0</v>
      </c>
      <c r="L958" s="21">
        <f t="shared" si="1743"/>
        <v>0</v>
      </c>
      <c r="M958" s="21">
        <f t="shared" si="1743"/>
        <v>0</v>
      </c>
      <c r="N958" s="21">
        <f t="shared" si="1743"/>
        <v>0</v>
      </c>
      <c r="O958" s="21">
        <f t="shared" si="1743"/>
        <v>0</v>
      </c>
    </row>
    <row r="959">
      <c r="B959" s="20">
        <v>46273.0</v>
      </c>
      <c r="C959" s="21">
        <f t="shared" ref="C959:E959" si="1744">0</f>
        <v>0</v>
      </c>
      <c r="D959" s="21">
        <f t="shared" si="1744"/>
        <v>0</v>
      </c>
      <c r="E959" s="21">
        <f t="shared" si="1744"/>
        <v>0</v>
      </c>
      <c r="F959" s="21">
        <f>32.9</f>
        <v>32.9</v>
      </c>
      <c r="G959" s="21">
        <f>4.7</f>
        <v>4.7</v>
      </c>
      <c r="H959" s="21">
        <f t="shared" ref="H959:L959" si="1745">0</f>
        <v>0</v>
      </c>
      <c r="I959" s="21">
        <f t="shared" si="1745"/>
        <v>0</v>
      </c>
      <c r="J959" s="21">
        <f t="shared" si="1745"/>
        <v>0</v>
      </c>
      <c r="K959" s="21">
        <f t="shared" si="1745"/>
        <v>0</v>
      </c>
      <c r="L959" s="21">
        <f t="shared" si="1745"/>
        <v>0</v>
      </c>
      <c r="M959" s="21">
        <f>9.4</f>
        <v>9.4</v>
      </c>
      <c r="N959" s="21">
        <f t="shared" ref="N959:O959" si="1746">0</f>
        <v>0</v>
      </c>
      <c r="O959" s="21">
        <f t="shared" si="1746"/>
        <v>0</v>
      </c>
    </row>
    <row r="960">
      <c r="B960" s="20">
        <v>46273.0</v>
      </c>
      <c r="C960" s="21">
        <f t="shared" ref="C960:E960" si="1747">0</f>
        <v>0</v>
      </c>
      <c r="D960" s="21">
        <f t="shared" si="1747"/>
        <v>0</v>
      </c>
      <c r="E960" s="21">
        <f t="shared" si="1747"/>
        <v>0</v>
      </c>
      <c r="F960" s="21">
        <f t="shared" ref="F960:G960" si="1748">6.3</f>
        <v>6.3</v>
      </c>
      <c r="G960" s="21">
        <f t="shared" si="1748"/>
        <v>6.3</v>
      </c>
      <c r="H960" s="21">
        <f>0</f>
        <v>0</v>
      </c>
      <c r="I960" s="21">
        <f>8.4</f>
        <v>8.4</v>
      </c>
      <c r="J960" s="21">
        <f t="shared" ref="J960:O960" si="1749">0</f>
        <v>0</v>
      </c>
      <c r="K960" s="21">
        <f t="shared" si="1749"/>
        <v>0</v>
      </c>
      <c r="L960" s="21">
        <f t="shared" si="1749"/>
        <v>0</v>
      </c>
      <c r="M960" s="21">
        <f t="shared" si="1749"/>
        <v>0</v>
      </c>
      <c r="N960" s="21">
        <f t="shared" si="1749"/>
        <v>0</v>
      </c>
      <c r="O960" s="21">
        <f t="shared" si="1749"/>
        <v>0</v>
      </c>
    </row>
    <row r="961">
      <c r="B961" s="20">
        <v>46274.0</v>
      </c>
      <c r="C961" s="21">
        <f t="shared" ref="C961:H961" si="1750">0</f>
        <v>0</v>
      </c>
      <c r="D961" s="21">
        <f t="shared" si="1750"/>
        <v>0</v>
      </c>
      <c r="E961" s="21">
        <f t="shared" si="1750"/>
        <v>0</v>
      </c>
      <c r="F961" s="21">
        <f t="shared" si="1750"/>
        <v>0</v>
      </c>
      <c r="G961" s="21">
        <f t="shared" si="1750"/>
        <v>0</v>
      </c>
      <c r="H961" s="21">
        <f t="shared" si="1750"/>
        <v>0</v>
      </c>
      <c r="I961" s="21">
        <f>42.3</f>
        <v>42.3</v>
      </c>
      <c r="J961" s="21">
        <f t="shared" ref="J961:L961" si="1751">0</f>
        <v>0</v>
      </c>
      <c r="K961" s="21">
        <f t="shared" si="1751"/>
        <v>0</v>
      </c>
      <c r="L961" s="21">
        <f t="shared" si="1751"/>
        <v>0</v>
      </c>
      <c r="M961" s="21">
        <f>4.7</f>
        <v>4.7</v>
      </c>
      <c r="N961" s="21">
        <f t="shared" ref="N961:O961" si="1752">0</f>
        <v>0</v>
      </c>
      <c r="O961" s="21">
        <f t="shared" si="1752"/>
        <v>0</v>
      </c>
    </row>
    <row r="962">
      <c r="B962" s="20">
        <v>46274.0</v>
      </c>
      <c r="C962" s="21">
        <f t="shared" ref="C962:E962" si="1753">0</f>
        <v>0</v>
      </c>
      <c r="D962" s="21">
        <f t="shared" si="1753"/>
        <v>0</v>
      </c>
      <c r="E962" s="21">
        <f t="shared" si="1753"/>
        <v>0</v>
      </c>
      <c r="F962" s="21">
        <f>1.7</f>
        <v>1.7</v>
      </c>
      <c r="G962" s="21">
        <f t="shared" ref="G962:L962" si="1754">0</f>
        <v>0</v>
      </c>
      <c r="H962" s="21">
        <f t="shared" si="1754"/>
        <v>0</v>
      </c>
      <c r="I962" s="21">
        <f t="shared" si="1754"/>
        <v>0</v>
      </c>
      <c r="J962" s="21">
        <f t="shared" si="1754"/>
        <v>0</v>
      </c>
      <c r="K962" s="21">
        <f t="shared" si="1754"/>
        <v>0</v>
      </c>
      <c r="L962" s="21">
        <f t="shared" si="1754"/>
        <v>0</v>
      </c>
      <c r="M962" s="21">
        <f>15.3</f>
        <v>15.3</v>
      </c>
      <c r="N962" s="21">
        <f t="shared" ref="N962:O962" si="1755">0</f>
        <v>0</v>
      </c>
      <c r="O962" s="21">
        <f t="shared" si="1755"/>
        <v>0</v>
      </c>
    </row>
    <row r="963">
      <c r="B963" s="20">
        <v>46274.0</v>
      </c>
      <c r="C963" s="21">
        <f t="shared" ref="C963:N963" si="1756">0</f>
        <v>0</v>
      </c>
      <c r="D963" s="21">
        <f t="shared" si="1756"/>
        <v>0</v>
      </c>
      <c r="E963" s="21">
        <f t="shared" si="1756"/>
        <v>0</v>
      </c>
      <c r="F963" s="21">
        <f t="shared" si="1756"/>
        <v>0</v>
      </c>
      <c r="G963" s="21">
        <f t="shared" si="1756"/>
        <v>0</v>
      </c>
      <c r="H963" s="21">
        <f t="shared" si="1756"/>
        <v>0</v>
      </c>
      <c r="I963" s="21">
        <f t="shared" si="1756"/>
        <v>0</v>
      </c>
      <c r="J963" s="21">
        <f t="shared" si="1756"/>
        <v>0</v>
      </c>
      <c r="K963" s="21">
        <f t="shared" si="1756"/>
        <v>0</v>
      </c>
      <c r="L963" s="21">
        <f t="shared" si="1756"/>
        <v>0</v>
      </c>
      <c r="M963" s="21">
        <f t="shared" si="1756"/>
        <v>0</v>
      </c>
      <c r="N963" s="21">
        <f t="shared" si="1756"/>
        <v>0</v>
      </c>
      <c r="O963" s="21">
        <f>54</f>
        <v>54</v>
      </c>
    </row>
    <row r="964">
      <c r="B964" s="20">
        <v>46274.0</v>
      </c>
      <c r="C964" s="21">
        <f t="shared" ref="C964:E964" si="1757">0</f>
        <v>0</v>
      </c>
      <c r="D964" s="21">
        <f t="shared" si="1757"/>
        <v>0</v>
      </c>
      <c r="E964" s="21">
        <f t="shared" si="1757"/>
        <v>0</v>
      </c>
      <c r="F964" s="21">
        <f>147</f>
        <v>147</v>
      </c>
      <c r="G964" s="21">
        <f t="shared" ref="G964:O964" si="1758">0</f>
        <v>0</v>
      </c>
      <c r="H964" s="21">
        <f t="shared" si="1758"/>
        <v>0</v>
      </c>
      <c r="I964" s="21">
        <f t="shared" si="1758"/>
        <v>0</v>
      </c>
      <c r="J964" s="21">
        <f t="shared" si="1758"/>
        <v>0</v>
      </c>
      <c r="K964" s="21">
        <f t="shared" si="1758"/>
        <v>0</v>
      </c>
      <c r="L964" s="21">
        <f t="shared" si="1758"/>
        <v>0</v>
      </c>
      <c r="M964" s="21">
        <f t="shared" si="1758"/>
        <v>0</v>
      </c>
      <c r="N964" s="21">
        <f t="shared" si="1758"/>
        <v>0</v>
      </c>
      <c r="O964" s="21">
        <f t="shared" si="1758"/>
        <v>0</v>
      </c>
    </row>
    <row r="965">
      <c r="B965" s="20">
        <v>46274.0</v>
      </c>
      <c r="C965" s="21">
        <f t="shared" ref="C965:E965" si="1759">0</f>
        <v>0</v>
      </c>
      <c r="D965" s="21">
        <f t="shared" si="1759"/>
        <v>0</v>
      </c>
      <c r="E965" s="21">
        <f t="shared" si="1759"/>
        <v>0</v>
      </c>
      <c r="F965" s="21">
        <f>121.5</f>
        <v>121.5</v>
      </c>
      <c r="G965" s="21">
        <f t="shared" ref="G965:N965" si="1760">0</f>
        <v>0</v>
      </c>
      <c r="H965" s="21">
        <f t="shared" si="1760"/>
        <v>0</v>
      </c>
      <c r="I965" s="21">
        <f t="shared" si="1760"/>
        <v>0</v>
      </c>
      <c r="J965" s="21">
        <f t="shared" si="1760"/>
        <v>0</v>
      </c>
      <c r="K965" s="21">
        <f t="shared" si="1760"/>
        <v>0</v>
      </c>
      <c r="L965" s="21">
        <f t="shared" si="1760"/>
        <v>0</v>
      </c>
      <c r="M965" s="21">
        <f t="shared" si="1760"/>
        <v>0</v>
      </c>
      <c r="N965" s="21">
        <f t="shared" si="1760"/>
        <v>0</v>
      </c>
      <c r="O965" s="21">
        <f>13.5</f>
        <v>13.5</v>
      </c>
    </row>
    <row r="966">
      <c r="B966" s="20">
        <v>46274.0</v>
      </c>
      <c r="C966" s="21">
        <f t="shared" ref="C966:H966" si="1761">0</f>
        <v>0</v>
      </c>
      <c r="D966" s="21">
        <f t="shared" si="1761"/>
        <v>0</v>
      </c>
      <c r="E966" s="21">
        <f t="shared" si="1761"/>
        <v>0</v>
      </c>
      <c r="F966" s="21">
        <f t="shared" si="1761"/>
        <v>0</v>
      </c>
      <c r="G966" s="21">
        <f t="shared" si="1761"/>
        <v>0</v>
      </c>
      <c r="H966" s="21">
        <f t="shared" si="1761"/>
        <v>0</v>
      </c>
      <c r="I966" s="21">
        <f>152</f>
        <v>152</v>
      </c>
      <c r="J966" s="21">
        <f t="shared" ref="J966:O966" si="1762">0</f>
        <v>0</v>
      </c>
      <c r="K966" s="21">
        <f t="shared" si="1762"/>
        <v>0</v>
      </c>
      <c r="L966" s="21">
        <f t="shared" si="1762"/>
        <v>0</v>
      </c>
      <c r="M966" s="21">
        <f t="shared" si="1762"/>
        <v>0</v>
      </c>
      <c r="N966" s="21">
        <f t="shared" si="1762"/>
        <v>0</v>
      </c>
      <c r="O966" s="21">
        <f t="shared" si="1762"/>
        <v>0</v>
      </c>
    </row>
    <row r="967">
      <c r="B967" s="20">
        <v>46274.0</v>
      </c>
      <c r="C967" s="21">
        <f t="shared" ref="C967:H967" si="1763">0</f>
        <v>0</v>
      </c>
      <c r="D967" s="21">
        <f t="shared" si="1763"/>
        <v>0</v>
      </c>
      <c r="E967" s="21">
        <f t="shared" si="1763"/>
        <v>0</v>
      </c>
      <c r="F967" s="21">
        <f t="shared" si="1763"/>
        <v>0</v>
      </c>
      <c r="G967" s="21">
        <f t="shared" si="1763"/>
        <v>0</v>
      </c>
      <c r="H967" s="21">
        <f t="shared" si="1763"/>
        <v>0</v>
      </c>
      <c r="I967" s="21">
        <f>44</f>
        <v>44</v>
      </c>
      <c r="J967" s="21">
        <f t="shared" ref="J967:L967" si="1764">0</f>
        <v>0</v>
      </c>
      <c r="K967" s="21">
        <f t="shared" si="1764"/>
        <v>0</v>
      </c>
      <c r="L967" s="21">
        <f t="shared" si="1764"/>
        <v>0</v>
      </c>
      <c r="M967" s="21">
        <f>44</f>
        <v>44</v>
      </c>
      <c r="N967" s="21">
        <f t="shared" ref="N967:O967" si="1765">0</f>
        <v>0</v>
      </c>
      <c r="O967" s="21">
        <f t="shared" si="1765"/>
        <v>0</v>
      </c>
    </row>
    <row r="968">
      <c r="B968" s="20">
        <v>46274.0</v>
      </c>
      <c r="C968" s="21">
        <v>0.0</v>
      </c>
      <c r="D968" s="21">
        <v>0.0</v>
      </c>
      <c r="E968" s="21">
        <v>0.0</v>
      </c>
      <c r="F968" s="21">
        <v>0.0</v>
      </c>
      <c r="G968" s="21">
        <v>0.0</v>
      </c>
      <c r="H968" s="21">
        <v>0.0</v>
      </c>
      <c r="I968" s="21">
        <v>0.0</v>
      </c>
      <c r="J968" s="21">
        <v>0.0</v>
      </c>
      <c r="K968" s="21">
        <v>0.0</v>
      </c>
      <c r="L968" s="21">
        <v>0.0</v>
      </c>
      <c r="M968" s="21">
        <v>0.0</v>
      </c>
      <c r="N968" s="21">
        <v>0.0</v>
      </c>
      <c r="O968" s="21">
        <f>52</f>
        <v>52</v>
      </c>
    </row>
    <row r="969">
      <c r="B969" s="20">
        <v>46275.0</v>
      </c>
      <c r="C969" s="21">
        <f t="shared" ref="C969:I969" si="1766">0</f>
        <v>0</v>
      </c>
      <c r="D969" s="21">
        <f t="shared" si="1766"/>
        <v>0</v>
      </c>
      <c r="E969" s="21">
        <f t="shared" si="1766"/>
        <v>0</v>
      </c>
      <c r="F969" s="21">
        <f t="shared" si="1766"/>
        <v>0</v>
      </c>
      <c r="G969" s="21">
        <f t="shared" si="1766"/>
        <v>0</v>
      </c>
      <c r="H969" s="21">
        <f t="shared" si="1766"/>
        <v>0</v>
      </c>
      <c r="I969" s="21">
        <f t="shared" si="1766"/>
        <v>0</v>
      </c>
      <c r="J969" s="21">
        <f>33</f>
        <v>33</v>
      </c>
      <c r="K969" s="21">
        <f t="shared" ref="K969:O969" si="1767">0</f>
        <v>0</v>
      </c>
      <c r="L969" s="21">
        <f t="shared" si="1767"/>
        <v>0</v>
      </c>
      <c r="M969" s="21">
        <f t="shared" si="1767"/>
        <v>0</v>
      </c>
      <c r="N969" s="21">
        <f t="shared" si="1767"/>
        <v>0</v>
      </c>
      <c r="O969" s="21">
        <f t="shared" si="1767"/>
        <v>0</v>
      </c>
    </row>
    <row r="970">
      <c r="B970" s="20">
        <v>46275.0</v>
      </c>
      <c r="C970" s="21">
        <f>6.2</f>
        <v>6.2</v>
      </c>
      <c r="D970" s="21">
        <f t="shared" ref="D970:H970" si="1768">0</f>
        <v>0</v>
      </c>
      <c r="E970" s="21">
        <f t="shared" si="1768"/>
        <v>0</v>
      </c>
      <c r="F970" s="21">
        <f t="shared" si="1768"/>
        <v>0</v>
      </c>
      <c r="G970" s="21">
        <f t="shared" si="1768"/>
        <v>0</v>
      </c>
      <c r="H970" s="21">
        <f t="shared" si="1768"/>
        <v>0</v>
      </c>
      <c r="I970" s="21">
        <f>9.3</f>
        <v>9.3</v>
      </c>
      <c r="J970" s="21">
        <f t="shared" ref="J970:L970" si="1769">0</f>
        <v>0</v>
      </c>
      <c r="K970" s="21">
        <f t="shared" si="1769"/>
        <v>0</v>
      </c>
      <c r="L970" s="21">
        <f t="shared" si="1769"/>
        <v>0</v>
      </c>
      <c r="M970" s="21">
        <f>15.5</f>
        <v>15.5</v>
      </c>
      <c r="N970" s="21">
        <f t="shared" ref="N970:O970" si="1770">0</f>
        <v>0</v>
      </c>
      <c r="O970" s="21">
        <f t="shared" si="1770"/>
        <v>0</v>
      </c>
    </row>
    <row r="971">
      <c r="B971" s="20">
        <v>46275.0</v>
      </c>
      <c r="C971" s="21">
        <f t="shared" ref="C971:H971" si="1771">0</f>
        <v>0</v>
      </c>
      <c r="D971" s="21">
        <f t="shared" si="1771"/>
        <v>0</v>
      </c>
      <c r="E971" s="21">
        <f t="shared" si="1771"/>
        <v>0</v>
      </c>
      <c r="F971" s="21">
        <f t="shared" si="1771"/>
        <v>0</v>
      </c>
      <c r="G971" s="21">
        <f t="shared" si="1771"/>
        <v>0</v>
      </c>
      <c r="H971" s="21">
        <f t="shared" si="1771"/>
        <v>0</v>
      </c>
      <c r="I971" s="21">
        <f>51</f>
        <v>51</v>
      </c>
      <c r="J971" s="21">
        <f t="shared" ref="J971:O971" si="1772">0</f>
        <v>0</v>
      </c>
      <c r="K971" s="21">
        <f t="shared" si="1772"/>
        <v>0</v>
      </c>
      <c r="L971" s="21">
        <f t="shared" si="1772"/>
        <v>0</v>
      </c>
      <c r="M971" s="21">
        <f t="shared" si="1772"/>
        <v>0</v>
      </c>
      <c r="N971" s="21">
        <f t="shared" si="1772"/>
        <v>0</v>
      </c>
      <c r="O971" s="21">
        <f t="shared" si="1772"/>
        <v>0</v>
      </c>
    </row>
    <row r="972">
      <c r="B972" s="20">
        <v>46275.0</v>
      </c>
      <c r="C972" s="21">
        <f t="shared" ref="C972:F972" si="1773">0</f>
        <v>0</v>
      </c>
      <c r="D972" s="21">
        <f t="shared" si="1773"/>
        <v>0</v>
      </c>
      <c r="E972" s="21">
        <f t="shared" si="1773"/>
        <v>0</v>
      </c>
      <c r="F972" s="21">
        <f t="shared" si="1773"/>
        <v>0</v>
      </c>
      <c r="G972" s="21">
        <f>5.4</f>
        <v>5.4</v>
      </c>
      <c r="H972" s="21">
        <f t="shared" ref="H972:L972" si="1774">0</f>
        <v>0</v>
      </c>
      <c r="I972" s="21">
        <f t="shared" si="1774"/>
        <v>0</v>
      </c>
      <c r="J972" s="21">
        <f t="shared" si="1774"/>
        <v>0</v>
      </c>
      <c r="K972" s="21">
        <f t="shared" si="1774"/>
        <v>0</v>
      </c>
      <c r="L972" s="21">
        <f t="shared" si="1774"/>
        <v>0</v>
      </c>
      <c r="M972" s="21">
        <f>8.1</f>
        <v>8.1</v>
      </c>
      <c r="N972" s="21">
        <f t="shared" ref="N972:N973" si="1777">0</f>
        <v>0</v>
      </c>
      <c r="O972" s="21">
        <f>13.5</f>
        <v>13.5</v>
      </c>
    </row>
    <row r="973">
      <c r="B973" s="20">
        <v>46275.0</v>
      </c>
      <c r="C973" s="21">
        <f>4.3</f>
        <v>4.3</v>
      </c>
      <c r="D973" s="21">
        <f t="shared" ref="D973:H973" si="1775">0</f>
        <v>0</v>
      </c>
      <c r="E973" s="21">
        <f t="shared" si="1775"/>
        <v>0</v>
      </c>
      <c r="F973" s="21">
        <f t="shared" si="1775"/>
        <v>0</v>
      </c>
      <c r="G973" s="21">
        <f t="shared" si="1775"/>
        <v>0</v>
      </c>
      <c r="H973" s="21">
        <f t="shared" si="1775"/>
        <v>0</v>
      </c>
      <c r="I973" s="21">
        <f>4.3</f>
        <v>4.3</v>
      </c>
      <c r="J973" s="21">
        <f t="shared" ref="J973:L973" si="1776">0</f>
        <v>0</v>
      </c>
      <c r="K973" s="21">
        <f t="shared" si="1776"/>
        <v>0</v>
      </c>
      <c r="L973" s="21">
        <f t="shared" si="1776"/>
        <v>0</v>
      </c>
      <c r="M973" s="21">
        <f>30.1</f>
        <v>30.1</v>
      </c>
      <c r="N973" s="21">
        <f t="shared" si="1777"/>
        <v>0</v>
      </c>
      <c r="O973" s="21">
        <f>4.3</f>
        <v>4.3</v>
      </c>
    </row>
    <row r="974">
      <c r="B974" s="20">
        <v>46275.0</v>
      </c>
      <c r="C974" s="21">
        <f t="shared" ref="C974:H974" si="1778">0</f>
        <v>0</v>
      </c>
      <c r="D974" s="21">
        <f t="shared" si="1778"/>
        <v>0</v>
      </c>
      <c r="E974" s="21">
        <f t="shared" si="1778"/>
        <v>0</v>
      </c>
      <c r="F974" s="21">
        <f t="shared" si="1778"/>
        <v>0</v>
      </c>
      <c r="G974" s="21">
        <f t="shared" si="1778"/>
        <v>0</v>
      </c>
      <c r="H974" s="21">
        <f t="shared" si="1778"/>
        <v>0</v>
      </c>
      <c r="I974" s="21">
        <f>6.9</f>
        <v>6.9</v>
      </c>
      <c r="J974" s="21">
        <f t="shared" ref="J974:L974" si="1779">0</f>
        <v>0</v>
      </c>
      <c r="K974" s="21">
        <f t="shared" si="1779"/>
        <v>0</v>
      </c>
      <c r="L974" s="21">
        <f t="shared" si="1779"/>
        <v>0</v>
      </c>
      <c r="M974" s="21">
        <f>11.5</f>
        <v>11.5</v>
      </c>
      <c r="N974" s="21">
        <f>4.6</f>
        <v>4.6</v>
      </c>
      <c r="O974" s="21">
        <f>0</f>
        <v>0</v>
      </c>
    </row>
    <row r="975">
      <c r="B975" s="20">
        <v>46275.0</v>
      </c>
      <c r="C975" s="21">
        <f t="shared" ref="C975:F975" si="1780">0</f>
        <v>0</v>
      </c>
      <c r="D975" s="21">
        <f t="shared" si="1780"/>
        <v>0</v>
      </c>
      <c r="E975" s="21">
        <f t="shared" si="1780"/>
        <v>0</v>
      </c>
      <c r="F975" s="21">
        <f t="shared" si="1780"/>
        <v>0</v>
      </c>
      <c r="G975" s="21">
        <f>8</f>
        <v>8</v>
      </c>
      <c r="H975" s="21">
        <f t="shared" ref="H975:O975" si="1781">0</f>
        <v>0</v>
      </c>
      <c r="I975" s="21">
        <f t="shared" si="1781"/>
        <v>0</v>
      </c>
      <c r="J975" s="21">
        <f t="shared" si="1781"/>
        <v>0</v>
      </c>
      <c r="K975" s="21">
        <f t="shared" si="1781"/>
        <v>0</v>
      </c>
      <c r="L975" s="21">
        <f t="shared" si="1781"/>
        <v>0</v>
      </c>
      <c r="M975" s="21">
        <f t="shared" si="1781"/>
        <v>0</v>
      </c>
      <c r="N975" s="21">
        <f t="shared" si="1781"/>
        <v>0</v>
      </c>
      <c r="O975" s="21">
        <f t="shared" si="1781"/>
        <v>0</v>
      </c>
    </row>
    <row r="976">
      <c r="B976" s="20">
        <v>46275.0</v>
      </c>
      <c r="C976" s="21">
        <f t="shared" ref="C976:F976" si="1782">0</f>
        <v>0</v>
      </c>
      <c r="D976" s="21">
        <f t="shared" si="1782"/>
        <v>0</v>
      </c>
      <c r="E976" s="21">
        <f t="shared" si="1782"/>
        <v>0</v>
      </c>
      <c r="F976" s="21">
        <f t="shared" si="1782"/>
        <v>0</v>
      </c>
      <c r="G976" s="21">
        <f>17.4</f>
        <v>17.4</v>
      </c>
      <c r="H976" s="21">
        <f t="shared" ref="H976:N976" si="1783">0</f>
        <v>0</v>
      </c>
      <c r="I976" s="21">
        <f t="shared" si="1783"/>
        <v>0</v>
      </c>
      <c r="J976" s="21">
        <f t="shared" si="1783"/>
        <v>0</v>
      </c>
      <c r="K976" s="21">
        <f t="shared" si="1783"/>
        <v>0</v>
      </c>
      <c r="L976" s="21">
        <f t="shared" si="1783"/>
        <v>0</v>
      </c>
      <c r="M976" s="21">
        <f t="shared" si="1783"/>
        <v>0</v>
      </c>
      <c r="N976" s="21">
        <f t="shared" si="1783"/>
        <v>0</v>
      </c>
      <c r="O976" s="21">
        <f>11.6</f>
        <v>11.6</v>
      </c>
    </row>
    <row r="977">
      <c r="B977" s="20">
        <v>46275.0</v>
      </c>
      <c r="C977" s="21">
        <f>18</f>
        <v>18</v>
      </c>
      <c r="D977" s="21">
        <f t="shared" ref="D977:O977" si="1784">0</f>
        <v>0</v>
      </c>
      <c r="E977" s="21">
        <f t="shared" si="1784"/>
        <v>0</v>
      </c>
      <c r="F977" s="21">
        <f t="shared" si="1784"/>
        <v>0</v>
      </c>
      <c r="G977" s="21">
        <f t="shared" si="1784"/>
        <v>0</v>
      </c>
      <c r="H977" s="21">
        <f t="shared" si="1784"/>
        <v>0</v>
      </c>
      <c r="I977" s="21">
        <f t="shared" si="1784"/>
        <v>0</v>
      </c>
      <c r="J977" s="21">
        <f t="shared" si="1784"/>
        <v>0</v>
      </c>
      <c r="K977" s="21">
        <f t="shared" si="1784"/>
        <v>0</v>
      </c>
      <c r="L977" s="21">
        <f t="shared" si="1784"/>
        <v>0</v>
      </c>
      <c r="M977" s="21">
        <f t="shared" si="1784"/>
        <v>0</v>
      </c>
      <c r="N977" s="21">
        <f t="shared" si="1784"/>
        <v>0</v>
      </c>
      <c r="O977" s="21">
        <f t="shared" si="1784"/>
        <v>0</v>
      </c>
    </row>
    <row r="978">
      <c r="B978" s="20">
        <v>46275.0</v>
      </c>
      <c r="C978" s="21">
        <f t="shared" ref="C978:L978" si="1785">0</f>
        <v>0</v>
      </c>
      <c r="D978" s="21">
        <f t="shared" si="1785"/>
        <v>0</v>
      </c>
      <c r="E978" s="21">
        <f t="shared" si="1785"/>
        <v>0</v>
      </c>
      <c r="F978" s="21">
        <f t="shared" si="1785"/>
        <v>0</v>
      </c>
      <c r="G978" s="21">
        <f t="shared" si="1785"/>
        <v>0</v>
      </c>
      <c r="H978" s="21">
        <f t="shared" si="1785"/>
        <v>0</v>
      </c>
      <c r="I978" s="21">
        <f t="shared" si="1785"/>
        <v>0</v>
      </c>
      <c r="J978" s="21">
        <f t="shared" si="1785"/>
        <v>0</v>
      </c>
      <c r="K978" s="21">
        <f t="shared" si="1785"/>
        <v>0</v>
      </c>
      <c r="L978" s="21">
        <f t="shared" si="1785"/>
        <v>0</v>
      </c>
      <c r="M978" s="21">
        <f>18</f>
        <v>18</v>
      </c>
      <c r="N978" s="21">
        <f t="shared" ref="N978:O978" si="1786">0</f>
        <v>0</v>
      </c>
      <c r="O978" s="21">
        <f t="shared" si="1786"/>
        <v>0</v>
      </c>
    </row>
    <row r="979">
      <c r="B979" s="20">
        <v>46276.0</v>
      </c>
      <c r="C979" s="21">
        <f>21</f>
        <v>21</v>
      </c>
      <c r="D979" s="21">
        <f t="shared" ref="D979:O979" si="1787">0</f>
        <v>0</v>
      </c>
      <c r="E979" s="21">
        <f t="shared" si="1787"/>
        <v>0</v>
      </c>
      <c r="F979" s="21">
        <f t="shared" si="1787"/>
        <v>0</v>
      </c>
      <c r="G979" s="21">
        <f t="shared" si="1787"/>
        <v>0</v>
      </c>
      <c r="H979" s="21">
        <f t="shared" si="1787"/>
        <v>0</v>
      </c>
      <c r="I979" s="21">
        <f t="shared" si="1787"/>
        <v>0</v>
      </c>
      <c r="J979" s="21">
        <f t="shared" si="1787"/>
        <v>0</v>
      </c>
      <c r="K979" s="21">
        <f t="shared" si="1787"/>
        <v>0</v>
      </c>
      <c r="L979" s="21">
        <f t="shared" si="1787"/>
        <v>0</v>
      </c>
      <c r="M979" s="21">
        <f t="shared" si="1787"/>
        <v>0</v>
      </c>
      <c r="N979" s="21">
        <f t="shared" si="1787"/>
        <v>0</v>
      </c>
      <c r="O979" s="21">
        <f t="shared" si="1787"/>
        <v>0</v>
      </c>
    </row>
    <row r="980">
      <c r="B980" s="20">
        <v>46276.0</v>
      </c>
      <c r="C980" s="21">
        <f>25.5</f>
        <v>25.5</v>
      </c>
      <c r="D980" s="21">
        <f t="shared" ref="D980:H980" si="1788">0</f>
        <v>0</v>
      </c>
      <c r="E980" s="21">
        <f t="shared" si="1788"/>
        <v>0</v>
      </c>
      <c r="F980" s="21">
        <f t="shared" si="1788"/>
        <v>0</v>
      </c>
      <c r="G980" s="21">
        <f t="shared" si="1788"/>
        <v>0</v>
      </c>
      <c r="H980" s="21">
        <f t="shared" si="1788"/>
        <v>0</v>
      </c>
      <c r="I980" s="21">
        <f>25.5</f>
        <v>25.5</v>
      </c>
      <c r="J980" s="21">
        <f t="shared" ref="J980:O980" si="1789">0</f>
        <v>0</v>
      </c>
      <c r="K980" s="21">
        <f t="shared" si="1789"/>
        <v>0</v>
      </c>
      <c r="L980" s="21">
        <f t="shared" si="1789"/>
        <v>0</v>
      </c>
      <c r="M980" s="21">
        <f t="shared" si="1789"/>
        <v>0</v>
      </c>
      <c r="N980" s="21">
        <f t="shared" si="1789"/>
        <v>0</v>
      </c>
      <c r="O980" s="21">
        <f t="shared" si="1789"/>
        <v>0</v>
      </c>
    </row>
    <row r="981">
      <c r="B981" s="20">
        <v>46276.0</v>
      </c>
      <c r="C981" s="21">
        <f>19.6</f>
        <v>19.6</v>
      </c>
      <c r="D981" s="21">
        <f t="shared" ref="D981:L981" si="1790">0</f>
        <v>0</v>
      </c>
      <c r="E981" s="21">
        <f t="shared" si="1790"/>
        <v>0</v>
      </c>
      <c r="F981" s="21">
        <f t="shared" si="1790"/>
        <v>0</v>
      </c>
      <c r="G981" s="21">
        <f t="shared" si="1790"/>
        <v>0</v>
      </c>
      <c r="H981" s="21">
        <f t="shared" si="1790"/>
        <v>0</v>
      </c>
      <c r="I981" s="21">
        <f t="shared" si="1790"/>
        <v>0</v>
      </c>
      <c r="J981" s="21">
        <f t="shared" si="1790"/>
        <v>0</v>
      </c>
      <c r="K981" s="21">
        <f t="shared" si="1790"/>
        <v>0</v>
      </c>
      <c r="L981" s="21">
        <f t="shared" si="1790"/>
        <v>0</v>
      </c>
      <c r="M981" s="21">
        <f>8.4</f>
        <v>8.4</v>
      </c>
      <c r="N981" s="21">
        <f t="shared" ref="N981:O981" si="1791">0</f>
        <v>0</v>
      </c>
      <c r="O981" s="21">
        <f t="shared" si="1791"/>
        <v>0</v>
      </c>
    </row>
    <row r="982">
      <c r="B982" s="20">
        <v>46276.0</v>
      </c>
      <c r="C982" s="21">
        <f>13.2</f>
        <v>13.2</v>
      </c>
      <c r="D982" s="21">
        <f t="shared" ref="D982:L982" si="1792">0</f>
        <v>0</v>
      </c>
      <c r="E982" s="21">
        <f t="shared" si="1792"/>
        <v>0</v>
      </c>
      <c r="F982" s="21">
        <f t="shared" si="1792"/>
        <v>0</v>
      </c>
      <c r="G982" s="21">
        <f t="shared" si="1792"/>
        <v>0</v>
      </c>
      <c r="H982" s="21">
        <f t="shared" si="1792"/>
        <v>0</v>
      </c>
      <c r="I982" s="21">
        <f t="shared" si="1792"/>
        <v>0</v>
      </c>
      <c r="J982" s="21">
        <f t="shared" si="1792"/>
        <v>0</v>
      </c>
      <c r="K982" s="21">
        <f t="shared" si="1792"/>
        <v>0</v>
      </c>
      <c r="L982" s="21">
        <f t="shared" si="1792"/>
        <v>0</v>
      </c>
      <c r="M982" s="21">
        <f>8.8</f>
        <v>8.8</v>
      </c>
      <c r="N982" s="21">
        <f t="shared" ref="N982:O982" si="1793">0</f>
        <v>0</v>
      </c>
      <c r="O982" s="21">
        <f t="shared" si="1793"/>
        <v>0</v>
      </c>
    </row>
    <row r="983">
      <c r="B983" s="20">
        <v>46276.0</v>
      </c>
      <c r="C983" s="21">
        <f t="shared" ref="C983:H983" si="1794">0</f>
        <v>0</v>
      </c>
      <c r="D983" s="21">
        <f t="shared" si="1794"/>
        <v>0</v>
      </c>
      <c r="E983" s="21">
        <f t="shared" si="1794"/>
        <v>0</v>
      </c>
      <c r="F983" s="21">
        <f t="shared" si="1794"/>
        <v>0</v>
      </c>
      <c r="G983" s="21">
        <f t="shared" si="1794"/>
        <v>0</v>
      </c>
      <c r="H983" s="21">
        <f t="shared" si="1794"/>
        <v>0</v>
      </c>
      <c r="I983" s="21">
        <f>13.6</f>
        <v>13.6</v>
      </c>
      <c r="J983" s="21">
        <f t="shared" ref="J983:L983" si="1795">0</f>
        <v>0</v>
      </c>
      <c r="K983" s="21">
        <f t="shared" si="1795"/>
        <v>0</v>
      </c>
      <c r="L983" s="21">
        <f t="shared" si="1795"/>
        <v>0</v>
      </c>
      <c r="M983" s="21">
        <f t="shared" ref="M983:N983" si="1796">10.2</f>
        <v>10.2</v>
      </c>
      <c r="N983" s="21">
        <f t="shared" si="1796"/>
        <v>10.2</v>
      </c>
      <c r="O983" s="21">
        <f>0</f>
        <v>0</v>
      </c>
    </row>
    <row r="984">
      <c r="B984" s="20">
        <v>46276.0</v>
      </c>
      <c r="C984" s="21">
        <f t="shared" ref="C984:E984" si="1797">0</f>
        <v>0</v>
      </c>
      <c r="D984" s="21">
        <f t="shared" si="1797"/>
        <v>0</v>
      </c>
      <c r="E984" s="21">
        <f t="shared" si="1797"/>
        <v>0</v>
      </c>
      <c r="F984" s="21">
        <f>5.1</f>
        <v>5.1</v>
      </c>
      <c r="G984" s="21">
        <f>11.9</f>
        <v>11.9</v>
      </c>
      <c r="H984" s="21">
        <f t="shared" ref="H984:O984" si="1798">0</f>
        <v>0</v>
      </c>
      <c r="I984" s="21">
        <f t="shared" si="1798"/>
        <v>0</v>
      </c>
      <c r="J984" s="21">
        <f t="shared" si="1798"/>
        <v>0</v>
      </c>
      <c r="K984" s="21">
        <f t="shared" si="1798"/>
        <v>0</v>
      </c>
      <c r="L984" s="21">
        <f t="shared" si="1798"/>
        <v>0</v>
      </c>
      <c r="M984" s="21">
        <f t="shared" si="1798"/>
        <v>0</v>
      </c>
      <c r="N984" s="21">
        <f t="shared" si="1798"/>
        <v>0</v>
      </c>
      <c r="O984" s="21">
        <f t="shared" si="1798"/>
        <v>0</v>
      </c>
    </row>
    <row r="985">
      <c r="B985" s="20">
        <v>46276.0</v>
      </c>
      <c r="C985" s="21">
        <f t="shared" ref="C985:E985" si="1799">0</f>
        <v>0</v>
      </c>
      <c r="D985" s="21">
        <f t="shared" si="1799"/>
        <v>0</v>
      </c>
      <c r="E985" s="21">
        <f t="shared" si="1799"/>
        <v>0</v>
      </c>
      <c r="F985" s="21">
        <f>6.6</f>
        <v>6.6</v>
      </c>
      <c r="G985" s="21">
        <f>15.4</f>
        <v>15.4</v>
      </c>
      <c r="H985" s="21">
        <f t="shared" ref="H985:O985" si="1800">0</f>
        <v>0</v>
      </c>
      <c r="I985" s="21">
        <f t="shared" si="1800"/>
        <v>0</v>
      </c>
      <c r="J985" s="21">
        <f t="shared" si="1800"/>
        <v>0</v>
      </c>
      <c r="K985" s="21">
        <f t="shared" si="1800"/>
        <v>0</v>
      </c>
      <c r="L985" s="21">
        <f t="shared" si="1800"/>
        <v>0</v>
      </c>
      <c r="M985" s="21">
        <f t="shared" si="1800"/>
        <v>0</v>
      </c>
      <c r="N985" s="21">
        <f t="shared" si="1800"/>
        <v>0</v>
      </c>
      <c r="O985" s="21">
        <f t="shared" si="1800"/>
        <v>0</v>
      </c>
    </row>
    <row r="986">
      <c r="B986" s="20">
        <v>46276.0</v>
      </c>
      <c r="C986" s="21">
        <f t="shared" ref="C986:H986" si="1801">0</f>
        <v>0</v>
      </c>
      <c r="D986" s="21">
        <f t="shared" si="1801"/>
        <v>0</v>
      </c>
      <c r="E986" s="21">
        <f t="shared" si="1801"/>
        <v>0</v>
      </c>
      <c r="F986" s="21">
        <f t="shared" si="1801"/>
        <v>0</v>
      </c>
      <c r="G986" s="21">
        <f t="shared" si="1801"/>
        <v>0</v>
      </c>
      <c r="H986" s="21">
        <f t="shared" si="1801"/>
        <v>0</v>
      </c>
      <c r="I986" s="21">
        <f>58</f>
        <v>58</v>
      </c>
      <c r="J986" s="21">
        <f t="shared" ref="J986:O986" si="1802">0</f>
        <v>0</v>
      </c>
      <c r="K986" s="21">
        <f t="shared" si="1802"/>
        <v>0</v>
      </c>
      <c r="L986" s="21">
        <f t="shared" si="1802"/>
        <v>0</v>
      </c>
      <c r="M986" s="21">
        <f t="shared" si="1802"/>
        <v>0</v>
      </c>
      <c r="N986" s="21">
        <f t="shared" si="1802"/>
        <v>0</v>
      </c>
      <c r="O986" s="21">
        <f t="shared" si="1802"/>
        <v>0</v>
      </c>
    </row>
    <row r="987">
      <c r="B987" s="20">
        <v>46276.0</v>
      </c>
      <c r="C987" s="21">
        <f>6.6</f>
        <v>6.6</v>
      </c>
      <c r="D987" s="21">
        <f t="shared" ref="D987:L987" si="1803">0</f>
        <v>0</v>
      </c>
      <c r="E987" s="21">
        <f t="shared" si="1803"/>
        <v>0</v>
      </c>
      <c r="F987" s="21">
        <f t="shared" si="1803"/>
        <v>0</v>
      </c>
      <c r="G987" s="21">
        <f t="shared" si="1803"/>
        <v>0</v>
      </c>
      <c r="H987" s="21">
        <f t="shared" si="1803"/>
        <v>0</v>
      </c>
      <c r="I987" s="21">
        <f t="shared" si="1803"/>
        <v>0</v>
      </c>
      <c r="J987" s="21">
        <f t="shared" si="1803"/>
        <v>0</v>
      </c>
      <c r="K987" s="21">
        <f t="shared" si="1803"/>
        <v>0</v>
      </c>
      <c r="L987" s="21">
        <f t="shared" si="1803"/>
        <v>0</v>
      </c>
      <c r="M987" s="21">
        <f>6.6</f>
        <v>6.6</v>
      </c>
      <c r="N987" s="21">
        <f t="shared" ref="N987:O987" si="1804">0</f>
        <v>0</v>
      </c>
      <c r="O987" s="21">
        <f t="shared" si="1804"/>
        <v>0</v>
      </c>
    </row>
    <row r="988">
      <c r="B988" s="20">
        <v>46276.0</v>
      </c>
      <c r="C988" s="21">
        <f>56</f>
        <v>56</v>
      </c>
      <c r="D988" s="21">
        <f t="shared" ref="D988:H988" si="1805">0</f>
        <v>0</v>
      </c>
      <c r="E988" s="21">
        <f t="shared" si="1805"/>
        <v>0</v>
      </c>
      <c r="F988" s="21">
        <f t="shared" si="1805"/>
        <v>0</v>
      </c>
      <c r="G988" s="21">
        <f t="shared" si="1805"/>
        <v>0</v>
      </c>
      <c r="H988" s="21">
        <f t="shared" si="1805"/>
        <v>0</v>
      </c>
      <c r="I988" s="21">
        <f>24</f>
        <v>24</v>
      </c>
      <c r="J988" s="21">
        <f t="shared" ref="J988:O988" si="1806">0</f>
        <v>0</v>
      </c>
      <c r="K988" s="21">
        <f t="shared" si="1806"/>
        <v>0</v>
      </c>
      <c r="L988" s="21">
        <f t="shared" si="1806"/>
        <v>0</v>
      </c>
      <c r="M988" s="21">
        <f t="shared" si="1806"/>
        <v>0</v>
      </c>
      <c r="N988" s="21">
        <f t="shared" si="1806"/>
        <v>0</v>
      </c>
      <c r="O988" s="21">
        <f t="shared" si="1806"/>
        <v>0</v>
      </c>
    </row>
    <row r="989">
      <c r="B989" s="20">
        <v>46276.0</v>
      </c>
      <c r="C989" s="21">
        <f>50</f>
        <v>50</v>
      </c>
      <c r="D989" s="21">
        <f t="shared" ref="D989:O989" si="1807">0</f>
        <v>0</v>
      </c>
      <c r="E989" s="21">
        <f t="shared" si="1807"/>
        <v>0</v>
      </c>
      <c r="F989" s="21">
        <f t="shared" si="1807"/>
        <v>0</v>
      </c>
      <c r="G989" s="21">
        <f t="shared" si="1807"/>
        <v>0</v>
      </c>
      <c r="H989" s="21">
        <f t="shared" si="1807"/>
        <v>0</v>
      </c>
      <c r="I989" s="21">
        <f t="shared" si="1807"/>
        <v>0</v>
      </c>
      <c r="J989" s="21">
        <f t="shared" si="1807"/>
        <v>0</v>
      </c>
      <c r="K989" s="21">
        <f t="shared" si="1807"/>
        <v>0</v>
      </c>
      <c r="L989" s="21">
        <f t="shared" si="1807"/>
        <v>0</v>
      </c>
      <c r="M989" s="21">
        <f t="shared" si="1807"/>
        <v>0</v>
      </c>
      <c r="N989" s="21">
        <f t="shared" si="1807"/>
        <v>0</v>
      </c>
      <c r="O989" s="21">
        <f t="shared" si="1807"/>
        <v>0</v>
      </c>
    </row>
    <row r="990">
      <c r="B990" s="20">
        <v>46276.0</v>
      </c>
      <c r="C990" s="21">
        <f t="shared" ref="C990:L990" si="1808">0</f>
        <v>0</v>
      </c>
      <c r="D990" s="21">
        <f t="shared" si="1808"/>
        <v>0</v>
      </c>
      <c r="E990" s="21">
        <f t="shared" si="1808"/>
        <v>0</v>
      </c>
      <c r="F990" s="21">
        <f t="shared" si="1808"/>
        <v>0</v>
      </c>
      <c r="G990" s="21">
        <f t="shared" si="1808"/>
        <v>0</v>
      </c>
      <c r="H990" s="21">
        <f t="shared" si="1808"/>
        <v>0</v>
      </c>
      <c r="I990" s="21">
        <f t="shared" si="1808"/>
        <v>0</v>
      </c>
      <c r="J990" s="21">
        <f t="shared" si="1808"/>
        <v>0</v>
      </c>
      <c r="K990" s="21">
        <f t="shared" si="1808"/>
        <v>0</v>
      </c>
      <c r="L990" s="21">
        <f t="shared" si="1808"/>
        <v>0</v>
      </c>
      <c r="M990" s="21">
        <f>9.5</f>
        <v>9.5</v>
      </c>
      <c r="N990" s="21">
        <f>0</f>
        <v>0</v>
      </c>
      <c r="O990" s="21">
        <f>9.5</f>
        <v>9.5</v>
      </c>
    </row>
    <row r="991">
      <c r="B991" s="20">
        <v>46276.0</v>
      </c>
      <c r="C991" s="21">
        <f t="shared" ref="C991:D991" si="1809">0</f>
        <v>0</v>
      </c>
      <c r="D991" s="21">
        <f t="shared" si="1809"/>
        <v>0</v>
      </c>
      <c r="E991" s="21">
        <f>15.2</f>
        <v>15.2</v>
      </c>
      <c r="F991" s="21">
        <f>0</f>
        <v>0</v>
      </c>
      <c r="G991" s="21">
        <f>3.8</f>
        <v>3.8</v>
      </c>
      <c r="H991" s="21">
        <f t="shared" ref="H991:O991" si="1810">0</f>
        <v>0</v>
      </c>
      <c r="I991" s="21">
        <f t="shared" si="1810"/>
        <v>0</v>
      </c>
      <c r="J991" s="21">
        <f t="shared" si="1810"/>
        <v>0</v>
      </c>
      <c r="K991" s="21">
        <f t="shared" si="1810"/>
        <v>0</v>
      </c>
      <c r="L991" s="21">
        <f t="shared" si="1810"/>
        <v>0</v>
      </c>
      <c r="M991" s="21">
        <f t="shared" si="1810"/>
        <v>0</v>
      </c>
      <c r="N991" s="21">
        <f t="shared" si="1810"/>
        <v>0</v>
      </c>
      <c r="O991" s="21">
        <f t="shared" si="1810"/>
        <v>0</v>
      </c>
    </row>
    <row r="992">
      <c r="B992" s="20">
        <v>46276.0</v>
      </c>
      <c r="C992" s="21">
        <f t="shared" ref="C992:J992" si="1811">0</f>
        <v>0</v>
      </c>
      <c r="D992" s="21">
        <f t="shared" si="1811"/>
        <v>0</v>
      </c>
      <c r="E992" s="21">
        <f t="shared" si="1811"/>
        <v>0</v>
      </c>
      <c r="F992" s="21">
        <f t="shared" si="1811"/>
        <v>0</v>
      </c>
      <c r="G992" s="21">
        <f t="shared" si="1811"/>
        <v>0</v>
      </c>
      <c r="H992" s="21">
        <f t="shared" si="1811"/>
        <v>0</v>
      </c>
      <c r="I992" s="21">
        <f t="shared" si="1811"/>
        <v>0</v>
      </c>
      <c r="J992" s="21">
        <f t="shared" si="1811"/>
        <v>0</v>
      </c>
      <c r="K992" s="21">
        <f>32.2</f>
        <v>32.2</v>
      </c>
      <c r="L992" s="21">
        <f>0</f>
        <v>0</v>
      </c>
      <c r="M992" s="21">
        <f>13.8</f>
        <v>13.8</v>
      </c>
      <c r="N992" s="21">
        <f t="shared" ref="N992:O992" si="1812">0</f>
        <v>0</v>
      </c>
      <c r="O992" s="21">
        <f t="shared" si="1812"/>
        <v>0</v>
      </c>
    </row>
    <row r="993">
      <c r="B993" s="20">
        <v>46276.0</v>
      </c>
      <c r="C993" s="21">
        <f t="shared" ref="C993:H993" si="1813">0</f>
        <v>0</v>
      </c>
      <c r="D993" s="21">
        <f t="shared" si="1813"/>
        <v>0</v>
      </c>
      <c r="E993" s="21">
        <f t="shared" si="1813"/>
        <v>0</v>
      </c>
      <c r="F993" s="21">
        <f t="shared" si="1813"/>
        <v>0</v>
      </c>
      <c r="G993" s="21">
        <f t="shared" si="1813"/>
        <v>0</v>
      </c>
      <c r="H993" s="21">
        <f t="shared" si="1813"/>
        <v>0</v>
      </c>
      <c r="I993" s="21">
        <f>26</f>
        <v>26</v>
      </c>
      <c r="J993" s="21">
        <f t="shared" ref="J993:O993" si="1814">0</f>
        <v>0</v>
      </c>
      <c r="K993" s="21">
        <f t="shared" si="1814"/>
        <v>0</v>
      </c>
      <c r="L993" s="21">
        <f t="shared" si="1814"/>
        <v>0</v>
      </c>
      <c r="M993" s="21">
        <f t="shared" si="1814"/>
        <v>0</v>
      </c>
      <c r="N993" s="21">
        <f t="shared" si="1814"/>
        <v>0</v>
      </c>
      <c r="O993" s="21">
        <f t="shared" si="1814"/>
        <v>0</v>
      </c>
    </row>
    <row r="994">
      <c r="B994" s="20">
        <v>46276.0</v>
      </c>
      <c r="C994" s="21">
        <f t="shared" ref="C994:H994" si="1815">0</f>
        <v>0</v>
      </c>
      <c r="D994" s="21">
        <f t="shared" si="1815"/>
        <v>0</v>
      </c>
      <c r="E994" s="21">
        <f t="shared" si="1815"/>
        <v>0</v>
      </c>
      <c r="F994" s="21">
        <f t="shared" si="1815"/>
        <v>0</v>
      </c>
      <c r="G994" s="21">
        <f t="shared" si="1815"/>
        <v>0</v>
      </c>
      <c r="H994" s="21">
        <f t="shared" si="1815"/>
        <v>0</v>
      </c>
      <c r="I994" s="21">
        <f>36</f>
        <v>36</v>
      </c>
      <c r="J994" s="21">
        <f t="shared" ref="J994:O994" si="1816">0</f>
        <v>0</v>
      </c>
      <c r="K994" s="21">
        <f t="shared" si="1816"/>
        <v>0</v>
      </c>
      <c r="L994" s="21">
        <f t="shared" si="1816"/>
        <v>0</v>
      </c>
      <c r="M994" s="21">
        <f t="shared" si="1816"/>
        <v>0</v>
      </c>
      <c r="N994" s="21">
        <f t="shared" si="1816"/>
        <v>0</v>
      </c>
      <c r="O994" s="21">
        <f t="shared" si="1816"/>
        <v>0</v>
      </c>
    </row>
    <row r="995">
      <c r="B995" s="20">
        <v>46276.0</v>
      </c>
      <c r="C995" s="21">
        <v>0.0</v>
      </c>
      <c r="D995" s="21">
        <v>0.0</v>
      </c>
      <c r="E995" s="21">
        <v>0.0</v>
      </c>
      <c r="F995" s="21">
        <v>0.0</v>
      </c>
      <c r="G995" s="21">
        <v>0.0</v>
      </c>
      <c r="H995" s="21">
        <v>0.0</v>
      </c>
      <c r="I995" s="21">
        <v>0.0</v>
      </c>
      <c r="J995" s="21">
        <v>0.0</v>
      </c>
      <c r="K995" s="21">
        <v>0.0</v>
      </c>
      <c r="L995" s="21">
        <v>0.0</v>
      </c>
      <c r="M995" s="21">
        <v>0.0</v>
      </c>
      <c r="N995" s="21">
        <v>0.0</v>
      </c>
      <c r="O995" s="21">
        <f>9</f>
        <v>9</v>
      </c>
    </row>
    <row r="996">
      <c r="B996" s="20">
        <v>46276.0</v>
      </c>
      <c r="C996" s="21">
        <f>64</f>
        <v>64</v>
      </c>
      <c r="D996" s="21">
        <f t="shared" ref="D996:O996" si="1817">0</f>
        <v>0</v>
      </c>
      <c r="E996" s="21">
        <f t="shared" si="1817"/>
        <v>0</v>
      </c>
      <c r="F996" s="21">
        <f t="shared" si="1817"/>
        <v>0</v>
      </c>
      <c r="G996" s="21">
        <f t="shared" si="1817"/>
        <v>0</v>
      </c>
      <c r="H996" s="21">
        <f t="shared" si="1817"/>
        <v>0</v>
      </c>
      <c r="I996" s="21">
        <f t="shared" si="1817"/>
        <v>0</v>
      </c>
      <c r="J996" s="21">
        <f t="shared" si="1817"/>
        <v>0</v>
      </c>
      <c r="K996" s="21">
        <f t="shared" si="1817"/>
        <v>0</v>
      </c>
      <c r="L996" s="21">
        <f t="shared" si="1817"/>
        <v>0</v>
      </c>
      <c r="M996" s="21">
        <f t="shared" si="1817"/>
        <v>0</v>
      </c>
      <c r="N996" s="21">
        <f t="shared" si="1817"/>
        <v>0</v>
      </c>
      <c r="O996" s="21">
        <f t="shared" si="1817"/>
        <v>0</v>
      </c>
    </row>
    <row r="997">
      <c r="B997" s="20">
        <v>46276.0</v>
      </c>
      <c r="C997" s="21">
        <f>17</f>
        <v>17</v>
      </c>
      <c r="D997" s="21">
        <f t="shared" ref="D997:F997" si="1818">0</f>
        <v>0</v>
      </c>
      <c r="E997" s="21">
        <f t="shared" si="1818"/>
        <v>0</v>
      </c>
      <c r="F997" s="21">
        <f t="shared" si="1818"/>
        <v>0</v>
      </c>
      <c r="G997" s="21">
        <f>10.2</f>
        <v>10.2</v>
      </c>
      <c r="H997" s="21">
        <f t="shared" ref="H997:L997" si="1819">0</f>
        <v>0</v>
      </c>
      <c r="I997" s="21">
        <f t="shared" si="1819"/>
        <v>0</v>
      </c>
      <c r="J997" s="21">
        <f t="shared" si="1819"/>
        <v>0</v>
      </c>
      <c r="K997" s="21">
        <f t="shared" si="1819"/>
        <v>0</v>
      </c>
      <c r="L997" s="21">
        <f t="shared" si="1819"/>
        <v>0</v>
      </c>
      <c r="M997" s="21">
        <f>6.8</f>
        <v>6.8</v>
      </c>
      <c r="N997" s="21">
        <f t="shared" ref="N997:O997" si="1820">0</f>
        <v>0</v>
      </c>
      <c r="O997" s="21">
        <f t="shared" si="1820"/>
        <v>0</v>
      </c>
    </row>
    <row r="998">
      <c r="B998" s="20">
        <v>46276.0</v>
      </c>
      <c r="C998" s="21">
        <f t="shared" ref="C998:L998" si="1821">0</f>
        <v>0</v>
      </c>
      <c r="D998" s="21">
        <f t="shared" si="1821"/>
        <v>0</v>
      </c>
      <c r="E998" s="21">
        <f t="shared" si="1821"/>
        <v>0</v>
      </c>
      <c r="F998" s="21">
        <f t="shared" si="1821"/>
        <v>0</v>
      </c>
      <c r="G998" s="21">
        <f t="shared" si="1821"/>
        <v>0</v>
      </c>
      <c r="H998" s="21">
        <f t="shared" si="1821"/>
        <v>0</v>
      </c>
      <c r="I998" s="21">
        <f t="shared" si="1821"/>
        <v>0</v>
      </c>
      <c r="J998" s="21">
        <f t="shared" si="1821"/>
        <v>0</v>
      </c>
      <c r="K998" s="21">
        <f t="shared" si="1821"/>
        <v>0</v>
      </c>
      <c r="L998" s="21">
        <f t="shared" si="1821"/>
        <v>0</v>
      </c>
      <c r="M998" s="21">
        <f>19.2</f>
        <v>19.2</v>
      </c>
      <c r="N998" s="21">
        <f>4.8</f>
        <v>4.8</v>
      </c>
      <c r="O998" s="21">
        <f>0</f>
        <v>0</v>
      </c>
    </row>
    <row r="999">
      <c r="B999" s="20">
        <v>46276.0</v>
      </c>
      <c r="C999" s="21">
        <f>17.6</f>
        <v>17.6</v>
      </c>
      <c r="D999" s="21">
        <f t="shared" ref="D999:H999" si="1822">0</f>
        <v>0</v>
      </c>
      <c r="E999" s="21">
        <f t="shared" si="1822"/>
        <v>0</v>
      </c>
      <c r="F999" s="21">
        <f t="shared" si="1822"/>
        <v>0</v>
      </c>
      <c r="G999" s="21">
        <f t="shared" si="1822"/>
        <v>0</v>
      </c>
      <c r="H999" s="21">
        <f t="shared" si="1822"/>
        <v>0</v>
      </c>
      <c r="I999" s="21">
        <f>4.4</f>
        <v>4.4</v>
      </c>
      <c r="J999" s="21">
        <f t="shared" ref="J999:O999" si="1823">0</f>
        <v>0</v>
      </c>
      <c r="K999" s="21">
        <f t="shared" si="1823"/>
        <v>0</v>
      </c>
      <c r="L999" s="21">
        <f t="shared" si="1823"/>
        <v>0</v>
      </c>
      <c r="M999" s="21">
        <f t="shared" si="1823"/>
        <v>0</v>
      </c>
      <c r="N999" s="21">
        <f t="shared" si="1823"/>
        <v>0</v>
      </c>
      <c r="O999" s="21">
        <f t="shared" si="1823"/>
        <v>0</v>
      </c>
    </row>
    <row r="1000">
      <c r="B1000" s="20">
        <v>46276.0</v>
      </c>
      <c r="C1000" s="21">
        <v>0.0</v>
      </c>
      <c r="D1000" s="21">
        <v>0.0</v>
      </c>
      <c r="E1000" s="21">
        <v>0.0</v>
      </c>
      <c r="F1000" s="21">
        <v>0.0</v>
      </c>
      <c r="G1000" s="21">
        <v>0.0</v>
      </c>
      <c r="H1000" s="21">
        <v>0.0</v>
      </c>
      <c r="I1000" s="21">
        <v>0.0</v>
      </c>
      <c r="J1000" s="21">
        <v>0.0</v>
      </c>
      <c r="K1000" s="21">
        <v>0.0</v>
      </c>
      <c r="L1000" s="21">
        <v>0.0</v>
      </c>
      <c r="M1000" s="21">
        <v>0.0</v>
      </c>
      <c r="N1000" s="21">
        <v>0.0</v>
      </c>
      <c r="O1000" s="21">
        <f>53</f>
        <v>53</v>
      </c>
    </row>
    <row r="1001">
      <c r="B1001" s="20">
        <v>46276.0</v>
      </c>
      <c r="C1001" s="21">
        <f t="shared" ref="C1001:N1001" si="1824">0</f>
        <v>0</v>
      </c>
      <c r="D1001" s="21">
        <f t="shared" si="1824"/>
        <v>0</v>
      </c>
      <c r="E1001" s="21">
        <f t="shared" si="1824"/>
        <v>0</v>
      </c>
      <c r="F1001" s="21">
        <f t="shared" si="1824"/>
        <v>0</v>
      </c>
      <c r="G1001" s="21">
        <f t="shared" si="1824"/>
        <v>0</v>
      </c>
      <c r="H1001" s="21">
        <f t="shared" si="1824"/>
        <v>0</v>
      </c>
      <c r="I1001" s="21">
        <f t="shared" si="1824"/>
        <v>0</v>
      </c>
      <c r="J1001" s="21">
        <f t="shared" si="1824"/>
        <v>0</v>
      </c>
      <c r="K1001" s="21">
        <f t="shared" si="1824"/>
        <v>0</v>
      </c>
      <c r="L1001" s="21">
        <f t="shared" si="1824"/>
        <v>0</v>
      </c>
      <c r="M1001" s="21">
        <f t="shared" si="1824"/>
        <v>0</v>
      </c>
      <c r="N1001" s="21">
        <f t="shared" si="1824"/>
        <v>0</v>
      </c>
      <c r="O1001" s="21">
        <f>55</f>
        <v>55</v>
      </c>
    </row>
    <row r="1002">
      <c r="B1002" s="20">
        <v>46276.0</v>
      </c>
      <c r="C1002" s="21">
        <f t="shared" ref="C1002:L1002" si="1825">0</f>
        <v>0</v>
      </c>
      <c r="D1002" s="21">
        <f t="shared" si="1825"/>
        <v>0</v>
      </c>
      <c r="E1002" s="21">
        <f t="shared" si="1825"/>
        <v>0</v>
      </c>
      <c r="F1002" s="21">
        <f t="shared" si="1825"/>
        <v>0</v>
      </c>
      <c r="G1002" s="21">
        <f t="shared" si="1825"/>
        <v>0</v>
      </c>
      <c r="H1002" s="21">
        <f t="shared" si="1825"/>
        <v>0</v>
      </c>
      <c r="I1002" s="21">
        <f t="shared" si="1825"/>
        <v>0</v>
      </c>
      <c r="J1002" s="21">
        <f t="shared" si="1825"/>
        <v>0</v>
      </c>
      <c r="K1002" s="21">
        <f t="shared" si="1825"/>
        <v>0</v>
      </c>
      <c r="L1002" s="21">
        <f t="shared" si="1825"/>
        <v>0</v>
      </c>
      <c r="M1002" s="21">
        <f>16.4</f>
        <v>16.4</v>
      </c>
      <c r="N1002" s="21">
        <f t="shared" ref="N1002:O1002" si="1826">0</f>
        <v>0</v>
      </c>
      <c r="O1002" s="21">
        <f t="shared" si="1826"/>
        <v>0</v>
      </c>
    </row>
    <row r="1003">
      <c r="B1003" s="20">
        <v>46276.0</v>
      </c>
      <c r="C1003" s="21">
        <f>7.8</f>
        <v>7.8</v>
      </c>
      <c r="D1003" s="21">
        <f t="shared" ref="D1003:F1003" si="1827">0</f>
        <v>0</v>
      </c>
      <c r="E1003" s="21">
        <f t="shared" si="1827"/>
        <v>0</v>
      </c>
      <c r="F1003" s="21">
        <f t="shared" si="1827"/>
        <v>0</v>
      </c>
      <c r="G1003" s="21">
        <f>3.9</f>
        <v>3.9</v>
      </c>
      <c r="H1003" s="21">
        <f>0</f>
        <v>0</v>
      </c>
      <c r="I1003" s="21">
        <f>27.3</f>
        <v>27.3</v>
      </c>
      <c r="J1003" s="21">
        <f t="shared" ref="J1003:O1003" si="1828">0</f>
        <v>0</v>
      </c>
      <c r="K1003" s="21">
        <f t="shared" si="1828"/>
        <v>0</v>
      </c>
      <c r="L1003" s="21">
        <f t="shared" si="1828"/>
        <v>0</v>
      </c>
      <c r="M1003" s="21">
        <f t="shared" si="1828"/>
        <v>0</v>
      </c>
      <c r="N1003" s="21">
        <f t="shared" si="1828"/>
        <v>0</v>
      </c>
      <c r="O1003" s="21">
        <f t="shared" si="1828"/>
        <v>0</v>
      </c>
    </row>
    <row r="1004">
      <c r="B1004" s="20">
        <v>46276.0</v>
      </c>
      <c r="C1004" s="21">
        <f t="shared" ref="C1004:D1004" si="1829">0</f>
        <v>0</v>
      </c>
      <c r="D1004" s="21">
        <f t="shared" si="1829"/>
        <v>0</v>
      </c>
      <c r="E1004" s="21">
        <f>7.2</f>
        <v>7.2</v>
      </c>
      <c r="F1004" s="21">
        <f t="shared" ref="F1004:H1004" si="1830">0</f>
        <v>0</v>
      </c>
      <c r="G1004" s="21">
        <f t="shared" si="1830"/>
        <v>0</v>
      </c>
      <c r="H1004" s="21">
        <f t="shared" si="1830"/>
        <v>0</v>
      </c>
      <c r="I1004" s="21">
        <f>64.8</f>
        <v>64.8</v>
      </c>
      <c r="J1004" s="21">
        <f t="shared" ref="J1004:O1004" si="1831">0</f>
        <v>0</v>
      </c>
      <c r="K1004" s="21">
        <f t="shared" si="1831"/>
        <v>0</v>
      </c>
      <c r="L1004" s="21">
        <f t="shared" si="1831"/>
        <v>0</v>
      </c>
      <c r="M1004" s="21">
        <f t="shared" si="1831"/>
        <v>0</v>
      </c>
      <c r="N1004" s="21">
        <f t="shared" si="1831"/>
        <v>0</v>
      </c>
      <c r="O1004" s="21">
        <f t="shared" si="1831"/>
        <v>0</v>
      </c>
    </row>
    <row r="1005">
      <c r="B1005" s="20">
        <v>46276.0</v>
      </c>
      <c r="C1005" s="21">
        <f t="shared" ref="C1005:H1005" si="1832">0</f>
        <v>0</v>
      </c>
      <c r="D1005" s="21">
        <f t="shared" si="1832"/>
        <v>0</v>
      </c>
      <c r="E1005" s="21">
        <f t="shared" si="1832"/>
        <v>0</v>
      </c>
      <c r="F1005" s="21">
        <f t="shared" si="1832"/>
        <v>0</v>
      </c>
      <c r="G1005" s="21">
        <f t="shared" si="1832"/>
        <v>0</v>
      </c>
      <c r="H1005" s="21">
        <f t="shared" si="1832"/>
        <v>0</v>
      </c>
      <c r="I1005" s="21">
        <f>11</f>
        <v>11</v>
      </c>
      <c r="J1005" s="21">
        <f t="shared" ref="J1005:L1005" si="1833">0</f>
        <v>0</v>
      </c>
      <c r="K1005" s="21">
        <f t="shared" si="1833"/>
        <v>0</v>
      </c>
      <c r="L1005" s="21">
        <f t="shared" si="1833"/>
        <v>0</v>
      </c>
      <c r="M1005" s="21">
        <f>11</f>
        <v>11</v>
      </c>
      <c r="N1005" s="21">
        <f t="shared" ref="N1005:O1005" si="1834">0</f>
        <v>0</v>
      </c>
      <c r="O1005" s="21">
        <f t="shared" si="1834"/>
        <v>0</v>
      </c>
    </row>
    <row r="1006">
      <c r="B1006" s="20">
        <v>46277.0</v>
      </c>
      <c r="C1006" s="21">
        <f t="shared" ref="C1006:I1006" si="1835">0</f>
        <v>0</v>
      </c>
      <c r="D1006" s="21">
        <f t="shared" si="1835"/>
        <v>0</v>
      </c>
      <c r="E1006" s="21">
        <f t="shared" si="1835"/>
        <v>0</v>
      </c>
      <c r="F1006" s="21">
        <f t="shared" si="1835"/>
        <v>0</v>
      </c>
      <c r="G1006" s="21">
        <f t="shared" si="1835"/>
        <v>0</v>
      </c>
      <c r="H1006" s="21">
        <f t="shared" si="1835"/>
        <v>0</v>
      </c>
      <c r="I1006" s="21">
        <f t="shared" si="1835"/>
        <v>0</v>
      </c>
      <c r="J1006" s="21">
        <f>32</f>
        <v>32</v>
      </c>
      <c r="K1006" s="21">
        <f t="shared" ref="K1006:O1006" si="1836">0</f>
        <v>0</v>
      </c>
      <c r="L1006" s="21">
        <f t="shared" si="1836"/>
        <v>0</v>
      </c>
      <c r="M1006" s="21">
        <f t="shared" si="1836"/>
        <v>0</v>
      </c>
      <c r="N1006" s="21">
        <f t="shared" si="1836"/>
        <v>0</v>
      </c>
      <c r="O1006" s="21">
        <f t="shared" si="1836"/>
        <v>0</v>
      </c>
    </row>
    <row r="1007">
      <c r="B1007" s="20">
        <v>46277.0</v>
      </c>
      <c r="C1007" s="21">
        <f>38.5</f>
        <v>38.5</v>
      </c>
      <c r="D1007" s="21">
        <f t="shared" ref="D1007:H1007" si="1837">0</f>
        <v>0</v>
      </c>
      <c r="E1007" s="21">
        <f t="shared" si="1837"/>
        <v>0</v>
      </c>
      <c r="F1007" s="21">
        <f t="shared" si="1837"/>
        <v>0</v>
      </c>
      <c r="G1007" s="21">
        <f t="shared" si="1837"/>
        <v>0</v>
      </c>
      <c r="H1007" s="21">
        <f t="shared" si="1837"/>
        <v>0</v>
      </c>
      <c r="I1007" s="21">
        <f>16.5</f>
        <v>16.5</v>
      </c>
      <c r="J1007" s="21">
        <f t="shared" ref="J1007:O1007" si="1838">0</f>
        <v>0</v>
      </c>
      <c r="K1007" s="21">
        <f t="shared" si="1838"/>
        <v>0</v>
      </c>
      <c r="L1007" s="21">
        <f t="shared" si="1838"/>
        <v>0</v>
      </c>
      <c r="M1007" s="21">
        <f t="shared" si="1838"/>
        <v>0</v>
      </c>
      <c r="N1007" s="21">
        <f t="shared" si="1838"/>
        <v>0</v>
      </c>
      <c r="O1007" s="21">
        <f t="shared" si="1838"/>
        <v>0</v>
      </c>
    </row>
    <row r="1008">
      <c r="B1008" s="20">
        <v>46277.0</v>
      </c>
      <c r="C1008" s="21">
        <f>8.4</f>
        <v>8.4</v>
      </c>
      <c r="D1008" s="21">
        <f t="shared" ref="D1008:H1008" si="1839">0</f>
        <v>0</v>
      </c>
      <c r="E1008" s="21">
        <f t="shared" si="1839"/>
        <v>0</v>
      </c>
      <c r="F1008" s="21">
        <f t="shared" si="1839"/>
        <v>0</v>
      </c>
      <c r="G1008" s="21">
        <f t="shared" si="1839"/>
        <v>0</v>
      </c>
      <c r="H1008" s="21">
        <f t="shared" si="1839"/>
        <v>0</v>
      </c>
      <c r="I1008" s="21">
        <f>21</f>
        <v>21</v>
      </c>
      <c r="J1008" s="21">
        <f t="shared" ref="J1008:L1008" si="1840">0</f>
        <v>0</v>
      </c>
      <c r="K1008" s="21">
        <f t="shared" si="1840"/>
        <v>0</v>
      </c>
      <c r="L1008" s="21">
        <f t="shared" si="1840"/>
        <v>0</v>
      </c>
      <c r="M1008" s="21">
        <f>12.6</f>
        <v>12.6</v>
      </c>
      <c r="N1008" s="21">
        <f t="shared" ref="N1008:O1008" si="1841">0</f>
        <v>0</v>
      </c>
      <c r="O1008" s="21">
        <f t="shared" si="1841"/>
        <v>0</v>
      </c>
    </row>
    <row r="1009">
      <c r="B1009" s="20">
        <v>46277.0</v>
      </c>
      <c r="C1009" s="21">
        <f t="shared" ref="C1009:G1009" si="1842">0</f>
        <v>0</v>
      </c>
      <c r="D1009" s="21">
        <f t="shared" si="1842"/>
        <v>0</v>
      </c>
      <c r="E1009" s="21">
        <f t="shared" si="1842"/>
        <v>0</v>
      </c>
      <c r="F1009" s="21">
        <f t="shared" si="1842"/>
        <v>0</v>
      </c>
      <c r="G1009" s="21">
        <f t="shared" si="1842"/>
        <v>0</v>
      </c>
      <c r="H1009" s="21">
        <f>46</f>
        <v>46</v>
      </c>
      <c r="I1009" s="21">
        <f t="shared" ref="I1009:O1009" si="1843">0</f>
        <v>0</v>
      </c>
      <c r="J1009" s="21">
        <f t="shared" si="1843"/>
        <v>0</v>
      </c>
      <c r="K1009" s="21">
        <f t="shared" si="1843"/>
        <v>0</v>
      </c>
      <c r="L1009" s="21">
        <f t="shared" si="1843"/>
        <v>0</v>
      </c>
      <c r="M1009" s="21">
        <f t="shared" si="1843"/>
        <v>0</v>
      </c>
      <c r="N1009" s="21">
        <f t="shared" si="1843"/>
        <v>0</v>
      </c>
      <c r="O1009" s="21">
        <f t="shared" si="1843"/>
        <v>0</v>
      </c>
    </row>
    <row r="1010">
      <c r="B1010" s="20">
        <v>46277.0</v>
      </c>
      <c r="C1010" s="21">
        <f>19</f>
        <v>19</v>
      </c>
      <c r="D1010" s="21">
        <f t="shared" ref="D1010:O1010" si="1844">0</f>
        <v>0</v>
      </c>
      <c r="E1010" s="21">
        <f t="shared" si="1844"/>
        <v>0</v>
      </c>
      <c r="F1010" s="21">
        <f t="shared" si="1844"/>
        <v>0</v>
      </c>
      <c r="G1010" s="21">
        <f t="shared" si="1844"/>
        <v>0</v>
      </c>
      <c r="H1010" s="21">
        <f t="shared" si="1844"/>
        <v>0</v>
      </c>
      <c r="I1010" s="21">
        <f t="shared" si="1844"/>
        <v>0</v>
      </c>
      <c r="J1010" s="21">
        <f t="shared" si="1844"/>
        <v>0</v>
      </c>
      <c r="K1010" s="21">
        <f t="shared" si="1844"/>
        <v>0</v>
      </c>
      <c r="L1010" s="21">
        <f t="shared" si="1844"/>
        <v>0</v>
      </c>
      <c r="M1010" s="21">
        <f t="shared" si="1844"/>
        <v>0</v>
      </c>
      <c r="N1010" s="21">
        <f t="shared" si="1844"/>
        <v>0</v>
      </c>
      <c r="O1010" s="21">
        <f t="shared" si="1844"/>
        <v>0</v>
      </c>
    </row>
    <row r="1011">
      <c r="B1011" s="20">
        <v>46277.0</v>
      </c>
      <c r="C1011" s="21">
        <f t="shared" ref="C1011:D1011" si="1845">2.6</f>
        <v>2.6</v>
      </c>
      <c r="D1011" s="21">
        <f t="shared" si="1845"/>
        <v>2.6</v>
      </c>
      <c r="E1011" s="21">
        <f t="shared" ref="E1011:H1011" si="1846">0</f>
        <v>0</v>
      </c>
      <c r="F1011" s="21">
        <f t="shared" si="1846"/>
        <v>0</v>
      </c>
      <c r="G1011" s="21">
        <f t="shared" si="1846"/>
        <v>0</v>
      </c>
      <c r="H1011" s="21">
        <f t="shared" si="1846"/>
        <v>0</v>
      </c>
      <c r="I1011" s="21">
        <f>7.8</f>
        <v>7.8</v>
      </c>
      <c r="J1011" s="21">
        <f t="shared" ref="J1011:N1011" si="1847">0</f>
        <v>0</v>
      </c>
      <c r="K1011" s="21">
        <f t="shared" si="1847"/>
        <v>0</v>
      </c>
      <c r="L1011" s="21">
        <f t="shared" si="1847"/>
        <v>0</v>
      </c>
      <c r="M1011" s="21">
        <f t="shared" si="1847"/>
        <v>0</v>
      </c>
      <c r="N1011" s="21">
        <f t="shared" si="1847"/>
        <v>0</v>
      </c>
      <c r="O1011" s="21">
        <f>13</f>
        <v>13</v>
      </c>
    </row>
    <row r="1012">
      <c r="B1012" s="20">
        <v>46277.0</v>
      </c>
      <c r="C1012" s="21">
        <f t="shared" ref="C1012:H1012" si="1848">0</f>
        <v>0</v>
      </c>
      <c r="D1012" s="21">
        <f t="shared" si="1848"/>
        <v>0</v>
      </c>
      <c r="E1012" s="21">
        <f t="shared" si="1848"/>
        <v>0</v>
      </c>
      <c r="F1012" s="21">
        <f t="shared" si="1848"/>
        <v>0</v>
      </c>
      <c r="G1012" s="21">
        <f t="shared" si="1848"/>
        <v>0</v>
      </c>
      <c r="H1012" s="21">
        <f t="shared" si="1848"/>
        <v>0</v>
      </c>
      <c r="I1012" s="21">
        <f>29.4</f>
        <v>29.4</v>
      </c>
      <c r="J1012" s="21">
        <f t="shared" ref="J1012:M1012" si="1849">0</f>
        <v>0</v>
      </c>
      <c r="K1012" s="21">
        <f t="shared" si="1849"/>
        <v>0</v>
      </c>
      <c r="L1012" s="21">
        <f t="shared" si="1849"/>
        <v>0</v>
      </c>
      <c r="M1012" s="21">
        <f t="shared" si="1849"/>
        <v>0</v>
      </c>
      <c r="N1012" s="21">
        <f>12.6</f>
        <v>12.6</v>
      </c>
      <c r="O1012" s="21">
        <f>0</f>
        <v>0</v>
      </c>
    </row>
    <row r="1013">
      <c r="B1013" s="20">
        <v>46277.0</v>
      </c>
      <c r="C1013" s="21">
        <f t="shared" ref="C1013:F1013" si="1850">0</f>
        <v>0</v>
      </c>
      <c r="D1013" s="21">
        <f t="shared" si="1850"/>
        <v>0</v>
      </c>
      <c r="E1013" s="21">
        <f t="shared" si="1850"/>
        <v>0</v>
      </c>
      <c r="F1013" s="21">
        <f t="shared" si="1850"/>
        <v>0</v>
      </c>
      <c r="G1013" s="21">
        <f t="shared" ref="G1013:H1013" si="1851">26.4</f>
        <v>26.4</v>
      </c>
      <c r="H1013" s="21">
        <f t="shared" si="1851"/>
        <v>26.4</v>
      </c>
      <c r="I1013" s="21">
        <f t="shared" ref="I1013:N1013" si="1852">0</f>
        <v>0</v>
      </c>
      <c r="J1013" s="21">
        <f t="shared" si="1852"/>
        <v>0</v>
      </c>
      <c r="K1013" s="21">
        <f t="shared" si="1852"/>
        <v>0</v>
      </c>
      <c r="L1013" s="21">
        <f t="shared" si="1852"/>
        <v>0</v>
      </c>
      <c r="M1013" s="21">
        <f t="shared" si="1852"/>
        <v>0</v>
      </c>
      <c r="N1013" s="21">
        <f t="shared" si="1852"/>
        <v>0</v>
      </c>
      <c r="O1013" s="21">
        <f>13.2</f>
        <v>13.2</v>
      </c>
    </row>
    <row r="1014">
      <c r="B1014" s="20">
        <v>46277.0</v>
      </c>
      <c r="C1014" s="21">
        <f t="shared" ref="C1014:H1014" si="1853">0</f>
        <v>0</v>
      </c>
      <c r="D1014" s="21">
        <f t="shared" si="1853"/>
        <v>0</v>
      </c>
      <c r="E1014" s="21">
        <f t="shared" si="1853"/>
        <v>0</v>
      </c>
      <c r="F1014" s="21">
        <f t="shared" si="1853"/>
        <v>0</v>
      </c>
      <c r="G1014" s="21">
        <f t="shared" si="1853"/>
        <v>0</v>
      </c>
      <c r="H1014" s="21">
        <f t="shared" si="1853"/>
        <v>0</v>
      </c>
      <c r="I1014" s="21">
        <f>29.2</f>
        <v>29.2</v>
      </c>
      <c r="J1014" s="21">
        <f t="shared" ref="J1014:N1014" si="1854">0</f>
        <v>0</v>
      </c>
      <c r="K1014" s="21">
        <f t="shared" si="1854"/>
        <v>0</v>
      </c>
      <c r="L1014" s="21">
        <f t="shared" si="1854"/>
        <v>0</v>
      </c>
      <c r="M1014" s="21">
        <f t="shared" si="1854"/>
        <v>0</v>
      </c>
      <c r="N1014" s="21">
        <f t="shared" si="1854"/>
        <v>0</v>
      </c>
      <c r="O1014" s="21">
        <f>43.8</f>
        <v>43.8</v>
      </c>
    </row>
    <row r="1015">
      <c r="B1015" s="20">
        <v>46277.0</v>
      </c>
      <c r="C1015" s="21">
        <v>0.0</v>
      </c>
      <c r="D1015" s="21">
        <v>0.0</v>
      </c>
      <c r="E1015" s="21">
        <v>0.0</v>
      </c>
      <c r="F1015" s="21">
        <v>0.0</v>
      </c>
      <c r="G1015" s="21">
        <v>0.0</v>
      </c>
      <c r="H1015" s="21">
        <v>0.0</v>
      </c>
      <c r="I1015" s="21">
        <v>0.0</v>
      </c>
      <c r="J1015" s="21">
        <v>0.0</v>
      </c>
      <c r="K1015" s="21">
        <v>0.0</v>
      </c>
      <c r="L1015" s="21">
        <v>0.0</v>
      </c>
      <c r="M1015" s="21">
        <v>0.0</v>
      </c>
      <c r="N1015" s="21">
        <v>0.0</v>
      </c>
      <c r="O1015" s="21">
        <f>26</f>
        <v>26</v>
      </c>
    </row>
    <row r="1016">
      <c r="B1016" s="20">
        <v>46277.0</v>
      </c>
      <c r="C1016" s="21">
        <f t="shared" ref="C1016:D1016" si="1855">0</f>
        <v>0</v>
      </c>
      <c r="D1016" s="21">
        <f t="shared" si="1855"/>
        <v>0</v>
      </c>
      <c r="E1016" s="21">
        <f>45.5</f>
        <v>45.5</v>
      </c>
      <c r="F1016" s="21">
        <f t="shared" ref="F1016:H1016" si="1856">0</f>
        <v>0</v>
      </c>
      <c r="G1016" s="21">
        <f t="shared" si="1856"/>
        <v>0</v>
      </c>
      <c r="H1016" s="21">
        <f t="shared" si="1856"/>
        <v>0</v>
      </c>
      <c r="I1016" s="21">
        <f>45.5</f>
        <v>45.5</v>
      </c>
      <c r="J1016" s="21">
        <f t="shared" ref="J1016:O1016" si="1857">0</f>
        <v>0</v>
      </c>
      <c r="K1016" s="21">
        <f t="shared" si="1857"/>
        <v>0</v>
      </c>
      <c r="L1016" s="21">
        <f t="shared" si="1857"/>
        <v>0</v>
      </c>
      <c r="M1016" s="21">
        <f t="shared" si="1857"/>
        <v>0</v>
      </c>
      <c r="N1016" s="21">
        <f t="shared" si="1857"/>
        <v>0</v>
      </c>
      <c r="O1016" s="21">
        <f t="shared" si="1857"/>
        <v>0</v>
      </c>
    </row>
    <row r="1017">
      <c r="B1017" s="20">
        <v>46277.0</v>
      </c>
      <c r="C1017" s="21">
        <f>0</f>
        <v>0</v>
      </c>
      <c r="D1017" s="21">
        <f>92</f>
        <v>92</v>
      </c>
      <c r="E1017" s="21">
        <f t="shared" ref="E1017:F1017" si="1858">0</f>
        <v>0</v>
      </c>
      <c r="F1017" s="21">
        <f t="shared" si="1858"/>
        <v>0</v>
      </c>
      <c r="G1017" s="21">
        <f>92</f>
        <v>92</v>
      </c>
      <c r="H1017" s="21">
        <f t="shared" ref="H1017:O1017" si="1859">0</f>
        <v>0</v>
      </c>
      <c r="I1017" s="21">
        <f t="shared" si="1859"/>
        <v>0</v>
      </c>
      <c r="J1017" s="21">
        <f t="shared" si="1859"/>
        <v>0</v>
      </c>
      <c r="K1017" s="21">
        <f t="shared" si="1859"/>
        <v>0</v>
      </c>
      <c r="L1017" s="21">
        <f t="shared" si="1859"/>
        <v>0</v>
      </c>
      <c r="M1017" s="21">
        <f t="shared" si="1859"/>
        <v>0</v>
      </c>
      <c r="N1017" s="21">
        <f t="shared" si="1859"/>
        <v>0</v>
      </c>
      <c r="O1017" s="21">
        <f t="shared" si="1859"/>
        <v>0</v>
      </c>
    </row>
    <row r="1018">
      <c r="B1018" s="20">
        <v>46277.0</v>
      </c>
      <c r="C1018" s="21">
        <f>7.2</f>
        <v>7.2</v>
      </c>
      <c r="D1018" s="21">
        <f t="shared" ref="D1018:F1018" si="1860">0</f>
        <v>0</v>
      </c>
      <c r="E1018" s="21">
        <f t="shared" si="1860"/>
        <v>0</v>
      </c>
      <c r="F1018" s="21">
        <f t="shared" si="1860"/>
        <v>0</v>
      </c>
      <c r="G1018" s="21">
        <f>14.4</f>
        <v>14.4</v>
      </c>
      <c r="H1018" s="21">
        <f t="shared" ref="H1018:N1018" si="1861">0</f>
        <v>0</v>
      </c>
      <c r="I1018" s="21">
        <f t="shared" si="1861"/>
        <v>0</v>
      </c>
      <c r="J1018" s="21">
        <f t="shared" si="1861"/>
        <v>0</v>
      </c>
      <c r="K1018" s="21">
        <f t="shared" si="1861"/>
        <v>0</v>
      </c>
      <c r="L1018" s="21">
        <f t="shared" si="1861"/>
        <v>0</v>
      </c>
      <c r="M1018" s="21">
        <f t="shared" si="1861"/>
        <v>0</v>
      </c>
      <c r="N1018" s="21">
        <f t="shared" si="1861"/>
        <v>0</v>
      </c>
      <c r="O1018" s="21">
        <f>2.4</f>
        <v>2.4</v>
      </c>
    </row>
    <row r="1019">
      <c r="B1019" s="20">
        <v>46277.0</v>
      </c>
      <c r="C1019" s="21">
        <f t="shared" ref="C1019:D1019" si="1862">0</f>
        <v>0</v>
      </c>
      <c r="D1019" s="21">
        <f t="shared" si="1862"/>
        <v>0</v>
      </c>
      <c r="E1019" s="21">
        <f>16.8</f>
        <v>16.8</v>
      </c>
      <c r="F1019" s="21">
        <f t="shared" ref="F1019:H1019" si="1863">0</f>
        <v>0</v>
      </c>
      <c r="G1019" s="21">
        <f t="shared" si="1863"/>
        <v>0</v>
      </c>
      <c r="H1019" s="21">
        <f t="shared" si="1863"/>
        <v>0</v>
      </c>
      <c r="I1019" s="21">
        <f>25.2</f>
        <v>25.2</v>
      </c>
      <c r="J1019" s="21">
        <f t="shared" ref="J1019:O1019" si="1864">0</f>
        <v>0</v>
      </c>
      <c r="K1019" s="21">
        <f t="shared" si="1864"/>
        <v>0</v>
      </c>
      <c r="L1019" s="21">
        <f t="shared" si="1864"/>
        <v>0</v>
      </c>
      <c r="M1019" s="21">
        <f t="shared" si="1864"/>
        <v>0</v>
      </c>
      <c r="N1019" s="21">
        <f t="shared" si="1864"/>
        <v>0</v>
      </c>
      <c r="O1019" s="21">
        <f t="shared" si="1864"/>
        <v>0</v>
      </c>
    </row>
    <row r="1020">
      <c r="B1020" s="20">
        <v>46277.0</v>
      </c>
      <c r="C1020" s="21">
        <f>0</f>
        <v>0</v>
      </c>
      <c r="D1020" s="21">
        <f>15.4</f>
        <v>15.4</v>
      </c>
      <c r="E1020" s="21">
        <f t="shared" ref="E1020:L1020" si="1865">0</f>
        <v>0</v>
      </c>
      <c r="F1020" s="21">
        <f t="shared" si="1865"/>
        <v>0</v>
      </c>
      <c r="G1020" s="21">
        <f t="shared" si="1865"/>
        <v>0</v>
      </c>
      <c r="H1020" s="21">
        <f t="shared" si="1865"/>
        <v>0</v>
      </c>
      <c r="I1020" s="21">
        <f t="shared" si="1865"/>
        <v>0</v>
      </c>
      <c r="J1020" s="21">
        <f t="shared" si="1865"/>
        <v>0</v>
      </c>
      <c r="K1020" s="21">
        <f t="shared" si="1865"/>
        <v>0</v>
      </c>
      <c r="L1020" s="21">
        <f t="shared" si="1865"/>
        <v>0</v>
      </c>
      <c r="M1020" s="21">
        <f>6.6</f>
        <v>6.6</v>
      </c>
      <c r="N1020" s="21">
        <f t="shared" ref="N1020:O1020" si="1866">0</f>
        <v>0</v>
      </c>
      <c r="O1020" s="21">
        <f t="shared" si="1866"/>
        <v>0</v>
      </c>
    </row>
    <row r="1021">
      <c r="B1021" s="20">
        <v>46277.0</v>
      </c>
      <c r="C1021" s="21">
        <f>12.4</f>
        <v>12.4</v>
      </c>
      <c r="D1021" s="21">
        <f>0</f>
        <v>0</v>
      </c>
      <c r="E1021" s="21">
        <f>12.4</f>
        <v>12.4</v>
      </c>
      <c r="F1021" s="21">
        <f t="shared" ref="F1021:N1021" si="1867">0</f>
        <v>0</v>
      </c>
      <c r="G1021" s="21">
        <f t="shared" si="1867"/>
        <v>0</v>
      </c>
      <c r="H1021" s="21">
        <f t="shared" si="1867"/>
        <v>0</v>
      </c>
      <c r="I1021" s="21">
        <f t="shared" si="1867"/>
        <v>0</v>
      </c>
      <c r="J1021" s="21">
        <f t="shared" si="1867"/>
        <v>0</v>
      </c>
      <c r="K1021" s="21">
        <f t="shared" si="1867"/>
        <v>0</v>
      </c>
      <c r="L1021" s="21">
        <f t="shared" si="1867"/>
        <v>0</v>
      </c>
      <c r="M1021" s="21">
        <f t="shared" si="1867"/>
        <v>0</v>
      </c>
      <c r="N1021" s="21">
        <f t="shared" si="1867"/>
        <v>0</v>
      </c>
      <c r="O1021" s="21">
        <f>6.2</f>
        <v>6.2</v>
      </c>
    </row>
    <row r="1022">
      <c r="B1022" s="20">
        <v>46278.0</v>
      </c>
      <c r="C1022" s="21">
        <f t="shared" ref="C1022:H1022" si="1868">0</f>
        <v>0</v>
      </c>
      <c r="D1022" s="21">
        <f t="shared" si="1868"/>
        <v>0</v>
      </c>
      <c r="E1022" s="21">
        <f t="shared" si="1868"/>
        <v>0</v>
      </c>
      <c r="F1022" s="21">
        <f t="shared" si="1868"/>
        <v>0</v>
      </c>
      <c r="G1022" s="21">
        <f t="shared" si="1868"/>
        <v>0</v>
      </c>
      <c r="H1022" s="21">
        <f t="shared" si="1868"/>
        <v>0</v>
      </c>
      <c r="I1022" s="21">
        <f>44</f>
        <v>44</v>
      </c>
      <c r="J1022" s="21">
        <f t="shared" ref="J1022:O1022" si="1869">0</f>
        <v>0</v>
      </c>
      <c r="K1022" s="21">
        <f t="shared" si="1869"/>
        <v>0</v>
      </c>
      <c r="L1022" s="21">
        <f t="shared" si="1869"/>
        <v>0</v>
      </c>
      <c r="M1022" s="21">
        <f t="shared" si="1869"/>
        <v>0</v>
      </c>
      <c r="N1022" s="21">
        <f t="shared" si="1869"/>
        <v>0</v>
      </c>
      <c r="O1022" s="21">
        <f t="shared" si="1869"/>
        <v>0</v>
      </c>
    </row>
    <row r="1023">
      <c r="B1023" s="20">
        <v>46278.0</v>
      </c>
      <c r="C1023" s="21">
        <f t="shared" ref="C1023:L1023" si="1870">0</f>
        <v>0</v>
      </c>
      <c r="D1023" s="21">
        <f t="shared" si="1870"/>
        <v>0</v>
      </c>
      <c r="E1023" s="21">
        <f t="shared" si="1870"/>
        <v>0</v>
      </c>
      <c r="F1023" s="21">
        <f t="shared" si="1870"/>
        <v>0</v>
      </c>
      <c r="G1023" s="21">
        <f t="shared" si="1870"/>
        <v>0</v>
      </c>
      <c r="H1023" s="21">
        <f t="shared" si="1870"/>
        <v>0</v>
      </c>
      <c r="I1023" s="21">
        <f t="shared" si="1870"/>
        <v>0</v>
      </c>
      <c r="J1023" s="21">
        <f t="shared" si="1870"/>
        <v>0</v>
      </c>
      <c r="K1023" s="21">
        <f t="shared" si="1870"/>
        <v>0</v>
      </c>
      <c r="L1023" s="21">
        <f t="shared" si="1870"/>
        <v>0</v>
      </c>
      <c r="M1023" s="21">
        <f>18</f>
        <v>18</v>
      </c>
      <c r="N1023" s="21">
        <f>0</f>
        <v>0</v>
      </c>
      <c r="O1023" s="21">
        <f>18</f>
        <v>18</v>
      </c>
    </row>
    <row r="1024">
      <c r="B1024" s="20">
        <v>46278.0</v>
      </c>
      <c r="C1024" s="21">
        <v>0.0</v>
      </c>
      <c r="D1024" s="21">
        <v>0.0</v>
      </c>
      <c r="E1024" s="21">
        <v>0.0</v>
      </c>
      <c r="F1024" s="21">
        <v>0.0</v>
      </c>
      <c r="G1024" s="21">
        <v>0.0</v>
      </c>
      <c r="H1024" s="21">
        <v>0.0</v>
      </c>
      <c r="I1024" s="21">
        <v>0.0</v>
      </c>
      <c r="J1024" s="21">
        <v>0.0</v>
      </c>
      <c r="K1024" s="21">
        <v>0.0</v>
      </c>
      <c r="L1024" s="21">
        <v>0.0</v>
      </c>
      <c r="M1024" s="21">
        <v>0.0</v>
      </c>
      <c r="N1024" s="21">
        <v>0.0</v>
      </c>
      <c r="O1024" s="21">
        <f>56</f>
        <v>56</v>
      </c>
    </row>
    <row r="1025">
      <c r="B1025" s="20">
        <v>46278.0</v>
      </c>
      <c r="C1025" s="21">
        <v>0.0</v>
      </c>
      <c r="D1025" s="21">
        <v>0.0</v>
      </c>
      <c r="E1025" s="21">
        <v>0.0</v>
      </c>
      <c r="F1025" s="21">
        <v>0.0</v>
      </c>
      <c r="G1025" s="21">
        <v>0.0</v>
      </c>
      <c r="H1025" s="21">
        <v>0.0</v>
      </c>
      <c r="I1025" s="21">
        <v>0.0</v>
      </c>
      <c r="J1025" s="21">
        <v>0.0</v>
      </c>
      <c r="K1025" s="21">
        <v>0.0</v>
      </c>
      <c r="L1025" s="21">
        <v>0.0</v>
      </c>
      <c r="M1025" s="21">
        <v>0.0</v>
      </c>
      <c r="N1025" s="21">
        <v>0.0</v>
      </c>
      <c r="O1025" s="21">
        <f>57</f>
        <v>57</v>
      </c>
    </row>
    <row r="1026">
      <c r="B1026" s="20">
        <v>46278.0</v>
      </c>
      <c r="C1026" s="21">
        <f t="shared" ref="C1026:F1026" si="1871">0</f>
        <v>0</v>
      </c>
      <c r="D1026" s="21">
        <f t="shared" si="1871"/>
        <v>0</v>
      </c>
      <c r="E1026" s="21">
        <f t="shared" si="1871"/>
        <v>0</v>
      </c>
      <c r="F1026" s="21">
        <f t="shared" si="1871"/>
        <v>0</v>
      </c>
      <c r="G1026" s="21">
        <f>5.7</f>
        <v>5.7</v>
      </c>
      <c r="H1026" s="21">
        <f>7.6</f>
        <v>7.6</v>
      </c>
      <c r="I1026" s="21">
        <f t="shared" ref="I1026:N1026" si="1872">0</f>
        <v>0</v>
      </c>
      <c r="J1026" s="21">
        <f t="shared" si="1872"/>
        <v>0</v>
      </c>
      <c r="K1026" s="21">
        <f t="shared" si="1872"/>
        <v>0</v>
      </c>
      <c r="L1026" s="21">
        <f t="shared" si="1872"/>
        <v>0</v>
      </c>
      <c r="M1026" s="21">
        <f t="shared" si="1872"/>
        <v>0</v>
      </c>
      <c r="N1026" s="21">
        <f t="shared" si="1872"/>
        <v>0</v>
      </c>
      <c r="O1026" s="21">
        <f>5.7</f>
        <v>5.7</v>
      </c>
    </row>
    <row r="1027">
      <c r="B1027" s="20">
        <v>46278.0</v>
      </c>
      <c r="C1027" s="21">
        <f>13</f>
        <v>13</v>
      </c>
      <c r="D1027" s="21">
        <f t="shared" ref="D1027:H1027" si="1873">0</f>
        <v>0</v>
      </c>
      <c r="E1027" s="21">
        <f t="shared" si="1873"/>
        <v>0</v>
      </c>
      <c r="F1027" s="21">
        <f t="shared" si="1873"/>
        <v>0</v>
      </c>
      <c r="G1027" s="21">
        <f t="shared" si="1873"/>
        <v>0</v>
      </c>
      <c r="H1027" s="21">
        <f t="shared" si="1873"/>
        <v>0</v>
      </c>
      <c r="I1027" s="21">
        <f>13</f>
        <v>13</v>
      </c>
      <c r="J1027" s="21">
        <f t="shared" ref="J1027:O1027" si="1874">0</f>
        <v>0</v>
      </c>
      <c r="K1027" s="21">
        <f t="shared" si="1874"/>
        <v>0</v>
      </c>
      <c r="L1027" s="21">
        <f t="shared" si="1874"/>
        <v>0</v>
      </c>
      <c r="M1027" s="21">
        <f t="shared" si="1874"/>
        <v>0</v>
      </c>
      <c r="N1027" s="21">
        <f t="shared" si="1874"/>
        <v>0</v>
      </c>
      <c r="O1027" s="21">
        <f t="shared" si="1874"/>
        <v>0</v>
      </c>
    </row>
    <row r="1028">
      <c r="B1028" s="20">
        <v>46278.0</v>
      </c>
      <c r="C1028" s="21">
        <f t="shared" ref="C1028:H1028" si="1875">0</f>
        <v>0</v>
      </c>
      <c r="D1028" s="21">
        <f t="shared" si="1875"/>
        <v>0</v>
      </c>
      <c r="E1028" s="21">
        <f t="shared" si="1875"/>
        <v>0</v>
      </c>
      <c r="F1028" s="21">
        <f t="shared" si="1875"/>
        <v>0</v>
      </c>
      <c r="G1028" s="21">
        <f t="shared" si="1875"/>
        <v>0</v>
      </c>
      <c r="H1028" s="21">
        <f t="shared" si="1875"/>
        <v>0</v>
      </c>
      <c r="I1028" s="21">
        <f>64</f>
        <v>64</v>
      </c>
      <c r="J1028" s="21">
        <f t="shared" ref="J1028:O1028" si="1876">0</f>
        <v>0</v>
      </c>
      <c r="K1028" s="21">
        <f t="shared" si="1876"/>
        <v>0</v>
      </c>
      <c r="L1028" s="21">
        <f t="shared" si="1876"/>
        <v>0</v>
      </c>
      <c r="M1028" s="21">
        <f t="shared" si="1876"/>
        <v>0</v>
      </c>
      <c r="N1028" s="21">
        <f t="shared" si="1876"/>
        <v>0</v>
      </c>
      <c r="O1028" s="21">
        <f t="shared" si="1876"/>
        <v>0</v>
      </c>
    </row>
    <row r="1029">
      <c r="B1029" s="20">
        <v>46278.0</v>
      </c>
      <c r="C1029" s="21">
        <f t="shared" ref="C1029:F1029" si="1877">0</f>
        <v>0</v>
      </c>
      <c r="D1029" s="21">
        <f t="shared" si="1877"/>
        <v>0</v>
      </c>
      <c r="E1029" s="21">
        <f t="shared" si="1877"/>
        <v>0</v>
      </c>
      <c r="F1029" s="21">
        <f t="shared" si="1877"/>
        <v>0</v>
      </c>
      <c r="G1029" s="21">
        <f>4.4</f>
        <v>4.4</v>
      </c>
      <c r="H1029" s="21">
        <f t="shared" ref="H1029:J1029" si="1878">0</f>
        <v>0</v>
      </c>
      <c r="I1029" s="21">
        <f t="shared" si="1878"/>
        <v>0</v>
      </c>
      <c r="J1029" s="21">
        <f t="shared" si="1878"/>
        <v>0</v>
      </c>
      <c r="K1029" s="21">
        <f>17.6</f>
        <v>17.6</v>
      </c>
      <c r="L1029" s="21">
        <f t="shared" ref="L1029:O1029" si="1879">0</f>
        <v>0</v>
      </c>
      <c r="M1029" s="21">
        <f t="shared" si="1879"/>
        <v>0</v>
      </c>
      <c r="N1029" s="21">
        <f t="shared" si="1879"/>
        <v>0</v>
      </c>
      <c r="O1029" s="21">
        <f t="shared" si="1879"/>
        <v>0</v>
      </c>
    </row>
    <row r="1030">
      <c r="B1030" s="20">
        <v>46278.0</v>
      </c>
      <c r="C1030" s="21">
        <f t="shared" ref="C1030:L1030" si="1880">0</f>
        <v>0</v>
      </c>
      <c r="D1030" s="21">
        <f t="shared" si="1880"/>
        <v>0</v>
      </c>
      <c r="E1030" s="21">
        <f t="shared" si="1880"/>
        <v>0</v>
      </c>
      <c r="F1030" s="21">
        <f t="shared" si="1880"/>
        <v>0</v>
      </c>
      <c r="G1030" s="21">
        <f t="shared" si="1880"/>
        <v>0</v>
      </c>
      <c r="H1030" s="21">
        <f t="shared" si="1880"/>
        <v>0</v>
      </c>
      <c r="I1030" s="21">
        <f t="shared" si="1880"/>
        <v>0</v>
      </c>
      <c r="J1030" s="21">
        <f t="shared" si="1880"/>
        <v>0</v>
      </c>
      <c r="K1030" s="21">
        <f t="shared" si="1880"/>
        <v>0</v>
      </c>
      <c r="L1030" s="21">
        <f t="shared" si="1880"/>
        <v>0</v>
      </c>
      <c r="M1030" s="21">
        <f>18</f>
        <v>18</v>
      </c>
      <c r="N1030" s="21">
        <f>0</f>
        <v>0</v>
      </c>
      <c r="O1030" s="21">
        <f>18</f>
        <v>18</v>
      </c>
    </row>
    <row r="1031">
      <c r="B1031" s="20">
        <v>46278.0</v>
      </c>
      <c r="C1031" s="21">
        <f t="shared" ref="C1031:F1031" si="1881">0</f>
        <v>0</v>
      </c>
      <c r="D1031" s="21">
        <f t="shared" si="1881"/>
        <v>0</v>
      </c>
      <c r="E1031" s="21">
        <f t="shared" si="1881"/>
        <v>0</v>
      </c>
      <c r="F1031" s="21">
        <f t="shared" si="1881"/>
        <v>0</v>
      </c>
      <c r="G1031" s="21">
        <f>26</f>
        <v>26</v>
      </c>
      <c r="H1031" s="21">
        <f t="shared" ref="H1031:O1031" si="1882">0</f>
        <v>0</v>
      </c>
      <c r="I1031" s="21">
        <f t="shared" si="1882"/>
        <v>0</v>
      </c>
      <c r="J1031" s="21">
        <f t="shared" si="1882"/>
        <v>0</v>
      </c>
      <c r="K1031" s="21">
        <f t="shared" si="1882"/>
        <v>0</v>
      </c>
      <c r="L1031" s="21">
        <f t="shared" si="1882"/>
        <v>0</v>
      </c>
      <c r="M1031" s="21">
        <f t="shared" si="1882"/>
        <v>0</v>
      </c>
      <c r="N1031" s="21">
        <f t="shared" si="1882"/>
        <v>0</v>
      </c>
      <c r="O1031" s="21">
        <f t="shared" si="1882"/>
        <v>0</v>
      </c>
    </row>
    <row r="1032">
      <c r="B1032" s="20">
        <v>46279.0</v>
      </c>
      <c r="C1032" s="21">
        <f>37</f>
        <v>37</v>
      </c>
      <c r="D1032" s="21">
        <f t="shared" ref="D1032:H1032" si="1883">0</f>
        <v>0</v>
      </c>
      <c r="E1032" s="21">
        <f t="shared" si="1883"/>
        <v>0</v>
      </c>
      <c r="F1032" s="21">
        <f t="shared" si="1883"/>
        <v>0</v>
      </c>
      <c r="G1032" s="21">
        <f t="shared" si="1883"/>
        <v>0</v>
      </c>
      <c r="H1032" s="21">
        <f t="shared" si="1883"/>
        <v>0</v>
      </c>
      <c r="I1032" s="21">
        <f>37</f>
        <v>37</v>
      </c>
      <c r="J1032" s="21">
        <f t="shared" ref="J1032:O1032" si="1884">0</f>
        <v>0</v>
      </c>
      <c r="K1032" s="21">
        <f t="shared" si="1884"/>
        <v>0</v>
      </c>
      <c r="L1032" s="21">
        <f t="shared" si="1884"/>
        <v>0</v>
      </c>
      <c r="M1032" s="21">
        <f t="shared" si="1884"/>
        <v>0</v>
      </c>
      <c r="N1032" s="21">
        <f t="shared" si="1884"/>
        <v>0</v>
      </c>
      <c r="O1032" s="21">
        <f t="shared" si="1884"/>
        <v>0</v>
      </c>
    </row>
    <row r="1033">
      <c r="B1033" s="20">
        <v>46279.0</v>
      </c>
      <c r="C1033" s="21">
        <f>14</f>
        <v>14</v>
      </c>
      <c r="D1033" s="21">
        <f>7</f>
        <v>7</v>
      </c>
      <c r="E1033" s="21">
        <f t="shared" ref="E1033:F1033" si="1885">0</f>
        <v>0</v>
      </c>
      <c r="F1033" s="21">
        <f t="shared" si="1885"/>
        <v>0</v>
      </c>
      <c r="G1033" s="21">
        <f>7</f>
        <v>7</v>
      </c>
      <c r="H1033" s="21">
        <f t="shared" ref="H1033:L1033" si="1886">0</f>
        <v>0</v>
      </c>
      <c r="I1033" s="21">
        <f t="shared" si="1886"/>
        <v>0</v>
      </c>
      <c r="J1033" s="21">
        <f t="shared" si="1886"/>
        <v>0</v>
      </c>
      <c r="K1033" s="21">
        <f t="shared" si="1886"/>
        <v>0</v>
      </c>
      <c r="L1033" s="21">
        <f t="shared" si="1886"/>
        <v>0</v>
      </c>
      <c r="M1033" s="21">
        <f>42</f>
        <v>42</v>
      </c>
      <c r="N1033" s="21">
        <f t="shared" ref="N1033:O1033" si="1887">0</f>
        <v>0</v>
      </c>
      <c r="O1033" s="21">
        <f t="shared" si="1887"/>
        <v>0</v>
      </c>
    </row>
    <row r="1034">
      <c r="B1034" s="20">
        <v>46279.0</v>
      </c>
      <c r="C1034" s="21">
        <f>34.3</f>
        <v>34.3</v>
      </c>
      <c r="D1034" s="21">
        <f t="shared" ref="D1034:H1034" si="1888">0</f>
        <v>0</v>
      </c>
      <c r="E1034" s="21">
        <f t="shared" si="1888"/>
        <v>0</v>
      </c>
      <c r="F1034" s="21">
        <f t="shared" si="1888"/>
        <v>0</v>
      </c>
      <c r="G1034" s="21">
        <f t="shared" si="1888"/>
        <v>0</v>
      </c>
      <c r="H1034" s="21">
        <f t="shared" si="1888"/>
        <v>0</v>
      </c>
      <c r="I1034" s="21">
        <f>4.9</f>
        <v>4.9</v>
      </c>
      <c r="J1034" s="21">
        <f t="shared" ref="J1034:L1034" si="1889">0</f>
        <v>0</v>
      </c>
      <c r="K1034" s="21">
        <f t="shared" si="1889"/>
        <v>0</v>
      </c>
      <c r="L1034" s="21">
        <f t="shared" si="1889"/>
        <v>0</v>
      </c>
      <c r="M1034" s="21">
        <f>9.8</f>
        <v>9.8</v>
      </c>
      <c r="N1034" s="21">
        <f t="shared" ref="N1034:O1034" si="1890">0</f>
        <v>0</v>
      </c>
      <c r="O1034" s="21">
        <f t="shared" si="1890"/>
        <v>0</v>
      </c>
    </row>
    <row r="1035">
      <c r="B1035" s="20">
        <v>46279.0</v>
      </c>
      <c r="C1035" s="21">
        <f t="shared" ref="C1035:F1035" si="1891">0</f>
        <v>0</v>
      </c>
      <c r="D1035" s="21">
        <f t="shared" si="1891"/>
        <v>0</v>
      </c>
      <c r="E1035" s="21">
        <f t="shared" si="1891"/>
        <v>0</v>
      </c>
      <c r="F1035" s="21">
        <f t="shared" si="1891"/>
        <v>0</v>
      </c>
      <c r="G1035" s="21">
        <f t="shared" ref="G1035:G1036" si="1894">2.9</f>
        <v>2.9</v>
      </c>
      <c r="H1035" s="21">
        <f t="shared" ref="H1035:H1037" si="1895">0</f>
        <v>0</v>
      </c>
      <c r="I1035" s="21">
        <f t="shared" ref="I1035:I1036" si="1896">26.1</f>
        <v>26.1</v>
      </c>
      <c r="J1035" s="21">
        <f t="shared" ref="J1035:O1035" si="1892">0</f>
        <v>0</v>
      </c>
      <c r="K1035" s="21">
        <f t="shared" si="1892"/>
        <v>0</v>
      </c>
      <c r="L1035" s="21">
        <f t="shared" si="1892"/>
        <v>0</v>
      </c>
      <c r="M1035" s="21">
        <f t="shared" si="1892"/>
        <v>0</v>
      </c>
      <c r="N1035" s="21">
        <f t="shared" si="1892"/>
        <v>0</v>
      </c>
      <c r="O1035" s="21">
        <f t="shared" si="1892"/>
        <v>0</v>
      </c>
    </row>
    <row r="1036">
      <c r="B1036" s="20">
        <v>46279.0</v>
      </c>
      <c r="C1036" s="21">
        <f t="shared" ref="C1036:F1036" si="1893">0</f>
        <v>0</v>
      </c>
      <c r="D1036" s="21">
        <f t="shared" si="1893"/>
        <v>0</v>
      </c>
      <c r="E1036" s="21">
        <f t="shared" si="1893"/>
        <v>0</v>
      </c>
      <c r="F1036" s="21">
        <f t="shared" si="1893"/>
        <v>0</v>
      </c>
      <c r="G1036" s="21">
        <f t="shared" si="1894"/>
        <v>2.9</v>
      </c>
      <c r="H1036" s="21">
        <f t="shared" si="1895"/>
        <v>0</v>
      </c>
      <c r="I1036" s="21">
        <f t="shared" si="1896"/>
        <v>26.1</v>
      </c>
      <c r="J1036" s="21">
        <f t="shared" ref="J1036:O1036" si="1897">0</f>
        <v>0</v>
      </c>
      <c r="K1036" s="21">
        <f t="shared" si="1897"/>
        <v>0</v>
      </c>
      <c r="L1036" s="21">
        <f t="shared" si="1897"/>
        <v>0</v>
      </c>
      <c r="M1036" s="21">
        <f t="shared" si="1897"/>
        <v>0</v>
      </c>
      <c r="N1036" s="21">
        <f t="shared" si="1897"/>
        <v>0</v>
      </c>
      <c r="O1036" s="21">
        <f t="shared" si="1897"/>
        <v>0</v>
      </c>
    </row>
    <row r="1037">
      <c r="B1037" s="20">
        <v>46279.0</v>
      </c>
      <c r="C1037" s="21">
        <f t="shared" ref="C1037:F1037" si="1898">0</f>
        <v>0</v>
      </c>
      <c r="D1037" s="21">
        <f t="shared" si="1898"/>
        <v>0</v>
      </c>
      <c r="E1037" s="21">
        <f t="shared" si="1898"/>
        <v>0</v>
      </c>
      <c r="F1037" s="21">
        <f t="shared" si="1898"/>
        <v>0</v>
      </c>
      <c r="G1037" s="21">
        <f>4.2</f>
        <v>4.2</v>
      </c>
      <c r="H1037" s="21">
        <f t="shared" si="1895"/>
        <v>0</v>
      </c>
      <c r="I1037" s="21">
        <f>37.8</f>
        <v>37.8</v>
      </c>
      <c r="J1037" s="21">
        <f t="shared" ref="J1037:O1037" si="1899">0</f>
        <v>0</v>
      </c>
      <c r="K1037" s="21">
        <f t="shared" si="1899"/>
        <v>0</v>
      </c>
      <c r="L1037" s="21">
        <f t="shared" si="1899"/>
        <v>0</v>
      </c>
      <c r="M1037" s="21">
        <f t="shared" si="1899"/>
        <v>0</v>
      </c>
      <c r="N1037" s="21">
        <f t="shared" si="1899"/>
        <v>0</v>
      </c>
      <c r="O1037" s="21">
        <f t="shared" si="1899"/>
        <v>0</v>
      </c>
    </row>
    <row r="1038">
      <c r="B1038" s="20">
        <v>46279.0</v>
      </c>
      <c r="C1038" s="21">
        <v>0.0</v>
      </c>
      <c r="D1038" s="21">
        <v>0.0</v>
      </c>
      <c r="E1038" s="21">
        <v>0.0</v>
      </c>
      <c r="F1038" s="21">
        <v>0.0</v>
      </c>
      <c r="G1038" s="21">
        <v>0.0</v>
      </c>
      <c r="H1038" s="21">
        <v>0.0</v>
      </c>
      <c r="I1038" s="21">
        <v>0.0</v>
      </c>
      <c r="J1038" s="21">
        <v>0.0</v>
      </c>
      <c r="K1038" s="21">
        <v>0.0</v>
      </c>
      <c r="L1038" s="21">
        <v>0.0</v>
      </c>
      <c r="M1038" s="21">
        <v>0.0</v>
      </c>
      <c r="N1038" s="21">
        <v>0.0</v>
      </c>
      <c r="O1038" s="21">
        <f>71</f>
        <v>71</v>
      </c>
    </row>
    <row r="1039">
      <c r="B1039" s="20">
        <v>46279.0</v>
      </c>
      <c r="C1039" s="21">
        <v>0.0</v>
      </c>
      <c r="D1039" s="21">
        <v>0.0</v>
      </c>
      <c r="E1039" s="21">
        <v>0.0</v>
      </c>
      <c r="F1039" s="21">
        <v>0.0</v>
      </c>
      <c r="G1039" s="21">
        <v>0.0</v>
      </c>
      <c r="H1039" s="21">
        <v>0.0</v>
      </c>
      <c r="I1039" s="21">
        <v>0.0</v>
      </c>
      <c r="J1039" s="21">
        <v>0.0</v>
      </c>
      <c r="K1039" s="21">
        <v>0.0</v>
      </c>
      <c r="L1039" s="21">
        <v>0.0</v>
      </c>
      <c r="M1039" s="21">
        <v>0.0</v>
      </c>
      <c r="N1039" s="21">
        <v>0.0</v>
      </c>
      <c r="O1039" s="21">
        <f>60.5999999999999</f>
        <v>60.6</v>
      </c>
    </row>
    <row r="1040">
      <c r="B1040" s="20">
        <v>46279.0</v>
      </c>
      <c r="C1040" s="21">
        <f t="shared" ref="C1040:H1040" si="1900">0</f>
        <v>0</v>
      </c>
      <c r="D1040" s="21">
        <f t="shared" si="1900"/>
        <v>0</v>
      </c>
      <c r="E1040" s="21">
        <f t="shared" si="1900"/>
        <v>0</v>
      </c>
      <c r="F1040" s="21">
        <f t="shared" si="1900"/>
        <v>0</v>
      </c>
      <c r="G1040" s="21">
        <f t="shared" si="1900"/>
        <v>0</v>
      </c>
      <c r="H1040" s="21">
        <f t="shared" si="1900"/>
        <v>0</v>
      </c>
      <c r="I1040" s="21">
        <f>13.5</f>
        <v>13.5</v>
      </c>
      <c r="J1040" s="21">
        <f t="shared" ref="J1040:L1040" si="1901">0</f>
        <v>0</v>
      </c>
      <c r="K1040" s="21">
        <f t="shared" si="1901"/>
        <v>0</v>
      </c>
      <c r="L1040" s="21">
        <f t="shared" si="1901"/>
        <v>0</v>
      </c>
      <c r="M1040" s="21">
        <f>13.5</f>
        <v>13.5</v>
      </c>
      <c r="N1040" s="21">
        <f t="shared" ref="N1040:O1040" si="1902">0</f>
        <v>0</v>
      </c>
      <c r="O1040" s="21">
        <f t="shared" si="1902"/>
        <v>0</v>
      </c>
    </row>
    <row r="1041">
      <c r="B1041" s="20">
        <v>46279.0</v>
      </c>
      <c r="C1041" s="21">
        <f t="shared" ref="C1041:H1041" si="1903">0</f>
        <v>0</v>
      </c>
      <c r="D1041" s="21">
        <f t="shared" si="1903"/>
        <v>0</v>
      </c>
      <c r="E1041" s="21">
        <f t="shared" si="1903"/>
        <v>0</v>
      </c>
      <c r="F1041" s="21">
        <f t="shared" si="1903"/>
        <v>0</v>
      </c>
      <c r="G1041" s="21">
        <f t="shared" si="1903"/>
        <v>0</v>
      </c>
      <c r="H1041" s="21">
        <f t="shared" si="1903"/>
        <v>0</v>
      </c>
      <c r="I1041" s="21">
        <f>35</f>
        <v>35</v>
      </c>
      <c r="J1041" s="21">
        <f t="shared" ref="J1041:N1041" si="1904">0</f>
        <v>0</v>
      </c>
      <c r="K1041" s="21">
        <f t="shared" si="1904"/>
        <v>0</v>
      </c>
      <c r="L1041" s="21">
        <f t="shared" si="1904"/>
        <v>0</v>
      </c>
      <c r="M1041" s="21">
        <f t="shared" si="1904"/>
        <v>0</v>
      </c>
      <c r="N1041" s="21">
        <f t="shared" si="1904"/>
        <v>0</v>
      </c>
      <c r="O1041" s="21">
        <f>35</f>
        <v>35</v>
      </c>
    </row>
    <row r="1042">
      <c r="B1042" s="20">
        <v>46279.0</v>
      </c>
      <c r="C1042" s="21">
        <f t="shared" ref="C1042:N1042" si="1905">0</f>
        <v>0</v>
      </c>
      <c r="D1042" s="21">
        <f t="shared" si="1905"/>
        <v>0</v>
      </c>
      <c r="E1042" s="21">
        <f t="shared" si="1905"/>
        <v>0</v>
      </c>
      <c r="F1042" s="21">
        <f t="shared" si="1905"/>
        <v>0</v>
      </c>
      <c r="G1042" s="21">
        <f t="shared" si="1905"/>
        <v>0</v>
      </c>
      <c r="H1042" s="21">
        <f t="shared" si="1905"/>
        <v>0</v>
      </c>
      <c r="I1042" s="21">
        <f t="shared" si="1905"/>
        <v>0</v>
      </c>
      <c r="J1042" s="21">
        <f t="shared" si="1905"/>
        <v>0</v>
      </c>
      <c r="K1042" s="21">
        <f t="shared" si="1905"/>
        <v>0</v>
      </c>
      <c r="L1042" s="21">
        <f t="shared" si="1905"/>
        <v>0</v>
      </c>
      <c r="M1042" s="21">
        <f t="shared" si="1905"/>
        <v>0</v>
      </c>
      <c r="N1042" s="21">
        <f t="shared" si="1905"/>
        <v>0</v>
      </c>
      <c r="O1042" s="21">
        <f>65</f>
        <v>65</v>
      </c>
    </row>
    <row r="1043">
      <c r="B1043" s="20">
        <v>46279.0</v>
      </c>
      <c r="C1043" s="21">
        <v>0.0</v>
      </c>
      <c r="D1043" s="21">
        <v>0.0</v>
      </c>
      <c r="E1043" s="21">
        <v>0.0</v>
      </c>
      <c r="F1043" s="21">
        <v>0.0</v>
      </c>
      <c r="G1043" s="21">
        <v>0.0</v>
      </c>
      <c r="H1043" s="21">
        <v>0.0</v>
      </c>
      <c r="I1043" s="21">
        <v>0.0</v>
      </c>
      <c r="J1043" s="21">
        <v>0.0</v>
      </c>
      <c r="K1043" s="21">
        <v>0.0</v>
      </c>
      <c r="L1043" s="21">
        <v>0.0</v>
      </c>
      <c r="M1043" s="21">
        <v>0.0</v>
      </c>
      <c r="N1043" s="21">
        <v>0.0</v>
      </c>
      <c r="O1043" s="21">
        <f>38</f>
        <v>38</v>
      </c>
    </row>
    <row r="1044">
      <c r="B1044" s="20">
        <v>46279.0</v>
      </c>
      <c r="C1044" s="21">
        <v>0.0</v>
      </c>
      <c r="D1044" s="21">
        <v>0.0</v>
      </c>
      <c r="E1044" s="21">
        <v>0.0</v>
      </c>
      <c r="F1044" s="21">
        <v>0.0</v>
      </c>
      <c r="G1044" s="21">
        <v>0.0</v>
      </c>
      <c r="H1044" s="21">
        <v>0.0</v>
      </c>
      <c r="I1044" s="21">
        <v>0.0</v>
      </c>
      <c r="J1044" s="21">
        <v>0.0</v>
      </c>
      <c r="K1044" s="21">
        <v>0.0</v>
      </c>
      <c r="L1044" s="21">
        <v>0.0</v>
      </c>
      <c r="M1044" s="21">
        <v>0.0</v>
      </c>
      <c r="N1044" s="21">
        <v>0.0</v>
      </c>
      <c r="O1044" s="21">
        <f>28</f>
        <v>28</v>
      </c>
    </row>
    <row r="1045">
      <c r="B1045" s="20">
        <v>46279.0</v>
      </c>
      <c r="C1045" s="21">
        <f t="shared" ref="C1045:L1045" si="1906">0</f>
        <v>0</v>
      </c>
      <c r="D1045" s="21">
        <f t="shared" si="1906"/>
        <v>0</v>
      </c>
      <c r="E1045" s="21">
        <f t="shared" si="1906"/>
        <v>0</v>
      </c>
      <c r="F1045" s="21">
        <f t="shared" si="1906"/>
        <v>0</v>
      </c>
      <c r="G1045" s="21">
        <f t="shared" si="1906"/>
        <v>0</v>
      </c>
      <c r="H1045" s="21">
        <f t="shared" si="1906"/>
        <v>0</v>
      </c>
      <c r="I1045" s="21">
        <f t="shared" si="1906"/>
        <v>0</v>
      </c>
      <c r="J1045" s="21">
        <f t="shared" si="1906"/>
        <v>0</v>
      </c>
      <c r="K1045" s="21">
        <f t="shared" si="1906"/>
        <v>0</v>
      </c>
      <c r="L1045" s="21">
        <f t="shared" si="1906"/>
        <v>0</v>
      </c>
      <c r="M1045" s="21">
        <f>21</f>
        <v>21</v>
      </c>
      <c r="N1045" s="21">
        <f t="shared" ref="N1045:O1045" si="1907">0</f>
        <v>0</v>
      </c>
      <c r="O1045" s="21">
        <f t="shared" si="1907"/>
        <v>0</v>
      </c>
    </row>
    <row r="1046">
      <c r="B1046" s="20">
        <v>46279.0</v>
      </c>
      <c r="C1046" s="21">
        <f>21.4</f>
        <v>21.4</v>
      </c>
      <c r="D1046" s="21">
        <f t="shared" ref="D1046:N1046" si="1908">0</f>
        <v>0</v>
      </c>
      <c r="E1046" s="21">
        <f t="shared" si="1908"/>
        <v>0</v>
      </c>
      <c r="F1046" s="21">
        <f t="shared" si="1908"/>
        <v>0</v>
      </c>
      <c r="G1046" s="21">
        <f t="shared" si="1908"/>
        <v>0</v>
      </c>
      <c r="H1046" s="21">
        <f t="shared" si="1908"/>
        <v>0</v>
      </c>
      <c r="I1046" s="21">
        <f t="shared" si="1908"/>
        <v>0</v>
      </c>
      <c r="J1046" s="21">
        <f t="shared" si="1908"/>
        <v>0</v>
      </c>
      <c r="K1046" s="21">
        <f t="shared" si="1908"/>
        <v>0</v>
      </c>
      <c r="L1046" s="21">
        <f t="shared" si="1908"/>
        <v>0</v>
      </c>
      <c r="M1046" s="21">
        <f t="shared" si="1908"/>
        <v>0</v>
      </c>
      <c r="N1046" s="21">
        <f t="shared" si="1908"/>
        <v>0</v>
      </c>
      <c r="O1046" s="21">
        <f>192.6</f>
        <v>192.6</v>
      </c>
    </row>
    <row r="1047">
      <c r="B1047" s="20">
        <v>46279.0</v>
      </c>
      <c r="C1047" s="21">
        <f>24.6</f>
        <v>24.6</v>
      </c>
      <c r="D1047" s="21">
        <f t="shared" ref="D1047:M1047" si="1909">0</f>
        <v>0</v>
      </c>
      <c r="E1047" s="21">
        <f t="shared" si="1909"/>
        <v>0</v>
      </c>
      <c r="F1047" s="21">
        <f t="shared" si="1909"/>
        <v>0</v>
      </c>
      <c r="G1047" s="21">
        <f t="shared" si="1909"/>
        <v>0</v>
      </c>
      <c r="H1047" s="21">
        <f t="shared" si="1909"/>
        <v>0</v>
      </c>
      <c r="I1047" s="21">
        <f t="shared" si="1909"/>
        <v>0</v>
      </c>
      <c r="J1047" s="21">
        <f t="shared" si="1909"/>
        <v>0</v>
      </c>
      <c r="K1047" s="21">
        <f t="shared" si="1909"/>
        <v>0</v>
      </c>
      <c r="L1047" s="21">
        <f t="shared" si="1909"/>
        <v>0</v>
      </c>
      <c r="M1047" s="21">
        <f t="shared" si="1909"/>
        <v>0</v>
      </c>
      <c r="N1047" s="21">
        <f>16.4</f>
        <v>16.4</v>
      </c>
      <c r="O1047" s="21">
        <f>0</f>
        <v>0</v>
      </c>
    </row>
    <row r="1048">
      <c r="B1048" s="20">
        <v>46279.0</v>
      </c>
      <c r="C1048" s="21">
        <f>37.6</f>
        <v>37.6</v>
      </c>
      <c r="D1048" s="21">
        <f t="shared" ref="D1048:H1048" si="1910">0</f>
        <v>0</v>
      </c>
      <c r="E1048" s="21">
        <f t="shared" si="1910"/>
        <v>0</v>
      </c>
      <c r="F1048" s="21">
        <f t="shared" si="1910"/>
        <v>0</v>
      </c>
      <c r="G1048" s="21">
        <f t="shared" si="1910"/>
        <v>0</v>
      </c>
      <c r="H1048" s="21">
        <f t="shared" si="1910"/>
        <v>0</v>
      </c>
      <c r="I1048" s="21">
        <f>28.2</f>
        <v>28.2</v>
      </c>
      <c r="J1048" s="21">
        <f t="shared" ref="J1048:L1048" si="1911">0</f>
        <v>0</v>
      </c>
      <c r="K1048" s="21">
        <f t="shared" si="1911"/>
        <v>0</v>
      </c>
      <c r="L1048" s="21">
        <f t="shared" si="1911"/>
        <v>0</v>
      </c>
      <c r="M1048" s="21">
        <f>28.2</f>
        <v>28.2</v>
      </c>
      <c r="N1048" s="21">
        <f t="shared" ref="N1048:O1048" si="1912">0</f>
        <v>0</v>
      </c>
      <c r="O1048" s="21">
        <f t="shared" si="1912"/>
        <v>0</v>
      </c>
    </row>
    <row r="1049">
      <c r="B1049" s="20">
        <v>46279.0</v>
      </c>
      <c r="C1049" s="21">
        <v>0.0</v>
      </c>
      <c r="D1049" s="21">
        <v>0.0</v>
      </c>
      <c r="E1049" s="21">
        <v>0.0</v>
      </c>
      <c r="F1049" s="21">
        <v>0.0</v>
      </c>
      <c r="G1049" s="21">
        <v>0.0</v>
      </c>
      <c r="H1049" s="21">
        <v>0.0</v>
      </c>
      <c r="I1049" s="21">
        <v>0.0</v>
      </c>
      <c r="J1049" s="21">
        <v>0.0</v>
      </c>
      <c r="K1049" s="21">
        <v>0.0</v>
      </c>
      <c r="L1049" s="21">
        <v>0.0</v>
      </c>
      <c r="M1049" s="21">
        <v>0.0</v>
      </c>
      <c r="N1049" s="21">
        <v>0.0</v>
      </c>
      <c r="O1049" s="21">
        <f>30</f>
        <v>30</v>
      </c>
    </row>
    <row r="1050">
      <c r="B1050" s="20">
        <v>46279.0</v>
      </c>
      <c r="C1050" s="21">
        <f t="shared" ref="C1050:D1050" si="1913">0</f>
        <v>0</v>
      </c>
      <c r="D1050" s="21">
        <f t="shared" si="1913"/>
        <v>0</v>
      </c>
      <c r="E1050" s="21">
        <f>2</f>
        <v>2</v>
      </c>
      <c r="F1050" s="21">
        <f t="shared" ref="F1050:H1050" si="1914">0</f>
        <v>0</v>
      </c>
      <c r="G1050" s="21">
        <f t="shared" si="1914"/>
        <v>0</v>
      </c>
      <c r="H1050" s="21">
        <f t="shared" si="1914"/>
        <v>0</v>
      </c>
      <c r="I1050" s="21">
        <f>18</f>
        <v>18</v>
      </c>
      <c r="J1050" s="21">
        <f t="shared" ref="J1050:O1050" si="1915">0</f>
        <v>0</v>
      </c>
      <c r="K1050" s="21">
        <f t="shared" si="1915"/>
        <v>0</v>
      </c>
      <c r="L1050" s="21">
        <f t="shared" si="1915"/>
        <v>0</v>
      </c>
      <c r="M1050" s="21">
        <f t="shared" si="1915"/>
        <v>0</v>
      </c>
      <c r="N1050" s="21">
        <f t="shared" si="1915"/>
        <v>0</v>
      </c>
      <c r="O1050" s="21">
        <f t="shared" si="1915"/>
        <v>0</v>
      </c>
    </row>
    <row r="1051">
      <c r="B1051" s="20">
        <v>46279.0</v>
      </c>
      <c r="C1051" s="21">
        <f t="shared" ref="C1051:F1051" si="1916">0</f>
        <v>0</v>
      </c>
      <c r="D1051" s="21">
        <f t="shared" si="1916"/>
        <v>0</v>
      </c>
      <c r="E1051" s="21">
        <f t="shared" si="1916"/>
        <v>0</v>
      </c>
      <c r="F1051" s="21">
        <f t="shared" si="1916"/>
        <v>0</v>
      </c>
      <c r="G1051" s="21">
        <f t="shared" ref="G1051:H1051" si="1917">33</f>
        <v>33</v>
      </c>
      <c r="H1051" s="21">
        <f t="shared" si="1917"/>
        <v>33</v>
      </c>
      <c r="I1051" s="21">
        <f t="shared" ref="I1051:O1051" si="1918">0</f>
        <v>0</v>
      </c>
      <c r="J1051" s="21">
        <f t="shared" si="1918"/>
        <v>0</v>
      </c>
      <c r="K1051" s="21">
        <f t="shared" si="1918"/>
        <v>0</v>
      </c>
      <c r="L1051" s="21">
        <f t="shared" si="1918"/>
        <v>0</v>
      </c>
      <c r="M1051" s="21">
        <f t="shared" si="1918"/>
        <v>0</v>
      </c>
      <c r="N1051" s="21">
        <f t="shared" si="1918"/>
        <v>0</v>
      </c>
      <c r="O1051" s="21">
        <f t="shared" si="1918"/>
        <v>0</v>
      </c>
    </row>
    <row r="1052">
      <c r="B1052" s="20">
        <v>46279.0</v>
      </c>
      <c r="C1052" s="21">
        <v>0.0</v>
      </c>
      <c r="D1052" s="21">
        <v>0.0</v>
      </c>
      <c r="E1052" s="21">
        <v>0.0</v>
      </c>
      <c r="F1052" s="21">
        <v>0.0</v>
      </c>
      <c r="G1052" s="21">
        <v>0.0</v>
      </c>
      <c r="H1052" s="21">
        <v>0.0</v>
      </c>
      <c r="I1052" s="21">
        <v>0.0</v>
      </c>
      <c r="J1052" s="21">
        <v>0.0</v>
      </c>
      <c r="K1052" s="21">
        <v>0.0</v>
      </c>
      <c r="L1052" s="21">
        <v>0.0</v>
      </c>
      <c r="M1052" s="21">
        <v>0.0</v>
      </c>
      <c r="N1052" s="21">
        <v>0.0</v>
      </c>
      <c r="O1052" s="21">
        <f>47</f>
        <v>47</v>
      </c>
    </row>
    <row r="1053">
      <c r="B1053" s="20">
        <v>46279.0</v>
      </c>
      <c r="C1053" s="21">
        <f>41.64</f>
        <v>41.64</v>
      </c>
      <c r="D1053" s="21">
        <f t="shared" ref="D1053:F1053" si="1919">0</f>
        <v>0</v>
      </c>
      <c r="E1053" s="21">
        <f t="shared" si="1919"/>
        <v>0</v>
      </c>
      <c r="F1053" s="21">
        <f t="shared" si="1919"/>
        <v>0</v>
      </c>
      <c r="G1053" s="21">
        <f>13.88</f>
        <v>13.88</v>
      </c>
      <c r="H1053" s="21">
        <f>0</f>
        <v>0</v>
      </c>
      <c r="I1053" s="21">
        <f>13.88</f>
        <v>13.88</v>
      </c>
      <c r="J1053" s="21">
        <f t="shared" ref="J1053:O1053" si="1920">0</f>
        <v>0</v>
      </c>
      <c r="K1053" s="21">
        <f t="shared" si="1920"/>
        <v>0</v>
      </c>
      <c r="L1053" s="21">
        <f t="shared" si="1920"/>
        <v>0</v>
      </c>
      <c r="M1053" s="21">
        <f t="shared" si="1920"/>
        <v>0</v>
      </c>
      <c r="N1053" s="21">
        <f t="shared" si="1920"/>
        <v>0</v>
      </c>
      <c r="O1053" s="21">
        <f t="shared" si="1920"/>
        <v>0</v>
      </c>
    </row>
    <row r="1054">
      <c r="B1054" s="20">
        <v>46279.0</v>
      </c>
      <c r="C1054" s="21">
        <v>0.0</v>
      </c>
      <c r="D1054" s="21">
        <v>0.0</v>
      </c>
      <c r="E1054" s="21">
        <v>0.0</v>
      </c>
      <c r="F1054" s="21">
        <v>0.0</v>
      </c>
      <c r="G1054" s="21">
        <v>0.0</v>
      </c>
      <c r="H1054" s="21">
        <v>0.0</v>
      </c>
      <c r="I1054" s="21">
        <v>0.0</v>
      </c>
      <c r="J1054" s="21">
        <v>0.0</v>
      </c>
      <c r="K1054" s="21">
        <v>0.0</v>
      </c>
      <c r="L1054" s="21">
        <v>0.0</v>
      </c>
      <c r="M1054" s="21">
        <v>0.0</v>
      </c>
      <c r="N1054" s="21">
        <v>0.0</v>
      </c>
      <c r="O1054" s="21">
        <f>59</f>
        <v>59</v>
      </c>
    </row>
    <row r="1055">
      <c r="B1055" s="20">
        <v>46279.0</v>
      </c>
      <c r="C1055" s="21">
        <f>17.5</f>
        <v>17.5</v>
      </c>
      <c r="D1055" s="21">
        <f t="shared" ref="D1055:H1055" si="1921">0</f>
        <v>0</v>
      </c>
      <c r="E1055" s="21">
        <f t="shared" si="1921"/>
        <v>0</v>
      </c>
      <c r="F1055" s="21">
        <f t="shared" si="1921"/>
        <v>0</v>
      </c>
      <c r="G1055" s="21">
        <f t="shared" si="1921"/>
        <v>0</v>
      </c>
      <c r="H1055" s="21">
        <f t="shared" si="1921"/>
        <v>0</v>
      </c>
      <c r="I1055" s="21">
        <f>70</f>
        <v>70</v>
      </c>
      <c r="J1055" s="21">
        <f t="shared" ref="J1055:O1055" si="1922">0</f>
        <v>0</v>
      </c>
      <c r="K1055" s="21">
        <f t="shared" si="1922"/>
        <v>0</v>
      </c>
      <c r="L1055" s="21">
        <f t="shared" si="1922"/>
        <v>0</v>
      </c>
      <c r="M1055" s="21">
        <f t="shared" si="1922"/>
        <v>0</v>
      </c>
      <c r="N1055" s="21">
        <f t="shared" si="1922"/>
        <v>0</v>
      </c>
      <c r="O1055" s="21">
        <f t="shared" si="1922"/>
        <v>0</v>
      </c>
    </row>
    <row r="1056">
      <c r="B1056" s="20">
        <v>46279.0</v>
      </c>
      <c r="C1056" s="21">
        <f>32.16</f>
        <v>32.16</v>
      </c>
      <c r="D1056" s="21">
        <f t="shared" ref="D1056:F1056" si="1923">0</f>
        <v>0</v>
      </c>
      <c r="E1056" s="21">
        <f t="shared" si="1923"/>
        <v>0</v>
      </c>
      <c r="F1056" s="21">
        <f t="shared" si="1923"/>
        <v>0</v>
      </c>
      <c r="G1056" s="21">
        <f>21.44</f>
        <v>21.44</v>
      </c>
      <c r="H1056" s="21">
        <f t="shared" ref="H1056:O1056" si="1924">0</f>
        <v>0</v>
      </c>
      <c r="I1056" s="21">
        <f t="shared" si="1924"/>
        <v>0</v>
      </c>
      <c r="J1056" s="21">
        <f t="shared" si="1924"/>
        <v>0</v>
      </c>
      <c r="K1056" s="21">
        <f t="shared" si="1924"/>
        <v>0</v>
      </c>
      <c r="L1056" s="21">
        <f t="shared" si="1924"/>
        <v>0</v>
      </c>
      <c r="M1056" s="21">
        <f t="shared" si="1924"/>
        <v>0</v>
      </c>
      <c r="N1056" s="21">
        <f t="shared" si="1924"/>
        <v>0</v>
      </c>
      <c r="O1056" s="21">
        <f t="shared" si="1924"/>
        <v>0</v>
      </c>
    </row>
    <row r="1057">
      <c r="B1057" s="20">
        <v>46279.0</v>
      </c>
      <c r="C1057" s="21">
        <f t="shared" ref="C1057:H1057" si="1925">0</f>
        <v>0</v>
      </c>
      <c r="D1057" s="21">
        <f t="shared" si="1925"/>
        <v>0</v>
      </c>
      <c r="E1057" s="21">
        <f t="shared" si="1925"/>
        <v>0</v>
      </c>
      <c r="F1057" s="21">
        <f t="shared" si="1925"/>
        <v>0</v>
      </c>
      <c r="G1057" s="21">
        <f t="shared" si="1925"/>
        <v>0</v>
      </c>
      <c r="H1057" s="21">
        <f t="shared" si="1925"/>
        <v>0</v>
      </c>
      <c r="I1057" s="21">
        <f>58.5999999999999</f>
        <v>58.6</v>
      </c>
      <c r="J1057" s="21">
        <f t="shared" ref="J1057:O1057" si="1926">0</f>
        <v>0</v>
      </c>
      <c r="K1057" s="21">
        <f t="shared" si="1926"/>
        <v>0</v>
      </c>
      <c r="L1057" s="21">
        <f t="shared" si="1926"/>
        <v>0</v>
      </c>
      <c r="M1057" s="21">
        <f t="shared" si="1926"/>
        <v>0</v>
      </c>
      <c r="N1057" s="21">
        <f t="shared" si="1926"/>
        <v>0</v>
      </c>
      <c r="O1057" s="21">
        <f t="shared" si="1926"/>
        <v>0</v>
      </c>
    </row>
    <row r="1058">
      <c r="B1058" s="20">
        <v>46280.0</v>
      </c>
      <c r="C1058" s="21">
        <f>44.4</f>
        <v>44.4</v>
      </c>
      <c r="D1058" s="21">
        <f t="shared" ref="D1058:H1058" si="1927">0</f>
        <v>0</v>
      </c>
      <c r="E1058" s="21">
        <f t="shared" si="1927"/>
        <v>0</v>
      </c>
      <c r="F1058" s="21">
        <f t="shared" si="1927"/>
        <v>0</v>
      </c>
      <c r="G1058" s="21">
        <f t="shared" si="1927"/>
        <v>0</v>
      </c>
      <c r="H1058" s="21">
        <f t="shared" si="1927"/>
        <v>0</v>
      </c>
      <c r="I1058" s="21">
        <f>22.2</f>
        <v>22.2</v>
      </c>
      <c r="J1058" s="21">
        <f t="shared" ref="J1058:N1058" si="1928">0</f>
        <v>0</v>
      </c>
      <c r="K1058" s="21">
        <f t="shared" si="1928"/>
        <v>0</v>
      </c>
      <c r="L1058" s="21">
        <f t="shared" si="1928"/>
        <v>0</v>
      </c>
      <c r="M1058" s="21">
        <f t="shared" si="1928"/>
        <v>0</v>
      </c>
      <c r="N1058" s="21">
        <f t="shared" si="1928"/>
        <v>0</v>
      </c>
      <c r="O1058" s="21">
        <f>7.4</f>
        <v>7.4</v>
      </c>
    </row>
    <row r="1059">
      <c r="B1059" s="20">
        <v>46280.0</v>
      </c>
      <c r="C1059" s="21">
        <f t="shared" ref="C1059:D1059" si="1929">0</f>
        <v>0</v>
      </c>
      <c r="D1059" s="21">
        <f t="shared" si="1929"/>
        <v>0</v>
      </c>
      <c r="E1059" s="21">
        <f t="shared" ref="E1059:E1060" si="1931">14.4</f>
        <v>14.4</v>
      </c>
      <c r="F1059" s="21">
        <f t="shared" ref="F1059:F1060" si="1932">0</f>
        <v>0</v>
      </c>
      <c r="G1059" s="21">
        <f>3.6</f>
        <v>3.6</v>
      </c>
      <c r="H1059" s="21">
        <f t="shared" ref="H1059:O1059" si="1930">0</f>
        <v>0</v>
      </c>
      <c r="I1059" s="21">
        <f t="shared" si="1930"/>
        <v>0</v>
      </c>
      <c r="J1059" s="21">
        <f t="shared" si="1930"/>
        <v>0</v>
      </c>
      <c r="K1059" s="21">
        <f t="shared" si="1930"/>
        <v>0</v>
      </c>
      <c r="L1059" s="21">
        <f t="shared" si="1930"/>
        <v>0</v>
      </c>
      <c r="M1059" s="21">
        <f t="shared" si="1930"/>
        <v>0</v>
      </c>
      <c r="N1059" s="21">
        <f t="shared" si="1930"/>
        <v>0</v>
      </c>
      <c r="O1059" s="21">
        <f t="shared" si="1930"/>
        <v>0</v>
      </c>
    </row>
    <row r="1060">
      <c r="B1060" s="20">
        <v>46280.0</v>
      </c>
      <c r="C1060" s="21">
        <f>19.2</f>
        <v>19.2</v>
      </c>
      <c r="D1060" s="21">
        <f>9.6</f>
        <v>9.6</v>
      </c>
      <c r="E1060" s="21">
        <f t="shared" si="1931"/>
        <v>14.4</v>
      </c>
      <c r="F1060" s="21">
        <f t="shared" si="1932"/>
        <v>0</v>
      </c>
      <c r="G1060" s="21">
        <f t="shared" ref="G1060:N1060" si="1933">0</f>
        <v>0</v>
      </c>
      <c r="H1060" s="21">
        <f t="shared" si="1933"/>
        <v>0</v>
      </c>
      <c r="I1060" s="21">
        <f t="shared" si="1933"/>
        <v>0</v>
      </c>
      <c r="J1060" s="21">
        <f t="shared" si="1933"/>
        <v>0</v>
      </c>
      <c r="K1060" s="21">
        <f t="shared" si="1933"/>
        <v>0</v>
      </c>
      <c r="L1060" s="21">
        <f t="shared" si="1933"/>
        <v>0</v>
      </c>
      <c r="M1060" s="21">
        <f t="shared" si="1933"/>
        <v>0</v>
      </c>
      <c r="N1060" s="21">
        <f t="shared" si="1933"/>
        <v>0</v>
      </c>
      <c r="O1060" s="21">
        <f>4.8</f>
        <v>4.8</v>
      </c>
    </row>
    <row r="1061">
      <c r="B1061" s="20">
        <v>46280.0</v>
      </c>
      <c r="C1061" s="21">
        <f t="shared" ref="C1061:H1061" si="1934">0</f>
        <v>0</v>
      </c>
      <c r="D1061" s="21">
        <f t="shared" si="1934"/>
        <v>0</v>
      </c>
      <c r="E1061" s="21">
        <f t="shared" si="1934"/>
        <v>0</v>
      </c>
      <c r="F1061" s="21">
        <f t="shared" si="1934"/>
        <v>0</v>
      </c>
      <c r="G1061" s="21">
        <f t="shared" si="1934"/>
        <v>0</v>
      </c>
      <c r="H1061" s="21">
        <f t="shared" si="1934"/>
        <v>0</v>
      </c>
      <c r="I1061" s="21">
        <f>50</f>
        <v>50</v>
      </c>
      <c r="J1061" s="21">
        <f t="shared" ref="J1061:O1061" si="1935">0</f>
        <v>0</v>
      </c>
      <c r="K1061" s="21">
        <f t="shared" si="1935"/>
        <v>0</v>
      </c>
      <c r="L1061" s="21">
        <f t="shared" si="1935"/>
        <v>0</v>
      </c>
      <c r="M1061" s="21">
        <f t="shared" si="1935"/>
        <v>0</v>
      </c>
      <c r="N1061" s="21">
        <f t="shared" si="1935"/>
        <v>0</v>
      </c>
      <c r="O1061" s="21">
        <f t="shared" si="1935"/>
        <v>0</v>
      </c>
    </row>
    <row r="1062">
      <c r="B1062" s="20">
        <v>46280.0</v>
      </c>
      <c r="C1062" s="21">
        <v>0.0</v>
      </c>
      <c r="D1062" s="21">
        <v>0.0</v>
      </c>
      <c r="E1062" s="21">
        <v>0.0</v>
      </c>
      <c r="F1062" s="21">
        <v>0.0</v>
      </c>
      <c r="G1062" s="21">
        <v>0.0</v>
      </c>
      <c r="H1062" s="21">
        <v>0.0</v>
      </c>
      <c r="I1062" s="21">
        <v>0.0</v>
      </c>
      <c r="J1062" s="21">
        <v>0.0</v>
      </c>
      <c r="K1062" s="21">
        <v>0.0</v>
      </c>
      <c r="L1062" s="21">
        <v>0.0</v>
      </c>
      <c r="M1062" s="21">
        <v>0.0</v>
      </c>
      <c r="N1062" s="21">
        <v>0.0</v>
      </c>
      <c r="O1062" s="21">
        <f>24</f>
        <v>24</v>
      </c>
    </row>
    <row r="1063">
      <c r="B1063" s="20">
        <v>46280.0</v>
      </c>
      <c r="C1063" s="21">
        <f t="shared" ref="C1063:M1063" si="1936">0</f>
        <v>0</v>
      </c>
      <c r="D1063" s="21">
        <f t="shared" si="1936"/>
        <v>0</v>
      </c>
      <c r="E1063" s="21">
        <f t="shared" si="1936"/>
        <v>0</v>
      </c>
      <c r="F1063" s="21">
        <f t="shared" si="1936"/>
        <v>0</v>
      </c>
      <c r="G1063" s="21">
        <f t="shared" si="1936"/>
        <v>0</v>
      </c>
      <c r="H1063" s="21">
        <f t="shared" si="1936"/>
        <v>0</v>
      </c>
      <c r="I1063" s="21">
        <f t="shared" si="1936"/>
        <v>0</v>
      </c>
      <c r="J1063" s="21">
        <f t="shared" si="1936"/>
        <v>0</v>
      </c>
      <c r="K1063" s="21">
        <f t="shared" si="1936"/>
        <v>0</v>
      </c>
      <c r="L1063" s="21">
        <f t="shared" si="1936"/>
        <v>0</v>
      </c>
      <c r="M1063" s="21">
        <f t="shared" si="1936"/>
        <v>0</v>
      </c>
      <c r="N1063" s="21">
        <f t="shared" ref="N1063:O1063" si="1937">57.5</f>
        <v>57.5</v>
      </c>
      <c r="O1063" s="21">
        <f t="shared" si="1937"/>
        <v>57.5</v>
      </c>
    </row>
    <row r="1064">
      <c r="B1064" s="20">
        <v>46280.0</v>
      </c>
      <c r="C1064" s="21">
        <f>3.48</f>
        <v>3.48</v>
      </c>
      <c r="D1064" s="21">
        <f t="shared" ref="D1064:L1064" si="1938">0</f>
        <v>0</v>
      </c>
      <c r="E1064" s="21">
        <f t="shared" si="1938"/>
        <v>0</v>
      </c>
      <c r="F1064" s="21">
        <f t="shared" si="1938"/>
        <v>0</v>
      </c>
      <c r="G1064" s="21">
        <f t="shared" si="1938"/>
        <v>0</v>
      </c>
      <c r="H1064" s="21">
        <f t="shared" si="1938"/>
        <v>0</v>
      </c>
      <c r="I1064" s="21">
        <f t="shared" si="1938"/>
        <v>0</v>
      </c>
      <c r="J1064" s="21">
        <f t="shared" si="1938"/>
        <v>0</v>
      </c>
      <c r="K1064" s="21">
        <f t="shared" si="1938"/>
        <v>0</v>
      </c>
      <c r="L1064" s="21">
        <f t="shared" si="1938"/>
        <v>0</v>
      </c>
      <c r="M1064" s="21">
        <f>10.44</f>
        <v>10.44</v>
      </c>
      <c r="N1064" s="21">
        <f>0</f>
        <v>0</v>
      </c>
      <c r="O1064" s="21">
        <f>3.48</f>
        <v>3.48</v>
      </c>
    </row>
    <row r="1065">
      <c r="B1065" s="20">
        <v>46280.0</v>
      </c>
      <c r="C1065" s="21">
        <f t="shared" ref="C1065:H1065" si="1939">0</f>
        <v>0</v>
      </c>
      <c r="D1065" s="21">
        <f t="shared" si="1939"/>
        <v>0</v>
      </c>
      <c r="E1065" s="21">
        <f t="shared" si="1939"/>
        <v>0</v>
      </c>
      <c r="F1065" s="21">
        <f t="shared" si="1939"/>
        <v>0</v>
      </c>
      <c r="G1065" s="21">
        <f t="shared" si="1939"/>
        <v>0</v>
      </c>
      <c r="H1065" s="21">
        <f t="shared" si="1939"/>
        <v>0</v>
      </c>
      <c r="I1065" s="21">
        <f>15</f>
        <v>15</v>
      </c>
      <c r="J1065" s="21">
        <f t="shared" ref="J1065:O1065" si="1940">0</f>
        <v>0</v>
      </c>
      <c r="K1065" s="21">
        <f t="shared" si="1940"/>
        <v>0</v>
      </c>
      <c r="L1065" s="21">
        <f t="shared" si="1940"/>
        <v>0</v>
      </c>
      <c r="M1065" s="21">
        <f t="shared" si="1940"/>
        <v>0</v>
      </c>
      <c r="N1065" s="21">
        <f t="shared" si="1940"/>
        <v>0</v>
      </c>
      <c r="O1065" s="21">
        <f t="shared" si="1940"/>
        <v>0</v>
      </c>
    </row>
    <row r="1066">
      <c r="B1066" s="20">
        <v>46280.0</v>
      </c>
      <c r="C1066" s="21">
        <f>63</f>
        <v>63</v>
      </c>
      <c r="D1066" s="21">
        <f t="shared" ref="D1066:O1066" si="1941">0</f>
        <v>0</v>
      </c>
      <c r="E1066" s="21">
        <f t="shared" si="1941"/>
        <v>0</v>
      </c>
      <c r="F1066" s="21">
        <f t="shared" si="1941"/>
        <v>0</v>
      </c>
      <c r="G1066" s="21">
        <f t="shared" si="1941"/>
        <v>0</v>
      </c>
      <c r="H1066" s="21">
        <f t="shared" si="1941"/>
        <v>0</v>
      </c>
      <c r="I1066" s="21">
        <f t="shared" si="1941"/>
        <v>0</v>
      </c>
      <c r="J1066" s="21">
        <f t="shared" si="1941"/>
        <v>0</v>
      </c>
      <c r="K1066" s="21">
        <f t="shared" si="1941"/>
        <v>0</v>
      </c>
      <c r="L1066" s="21">
        <f t="shared" si="1941"/>
        <v>0</v>
      </c>
      <c r="M1066" s="21">
        <f t="shared" si="1941"/>
        <v>0</v>
      </c>
      <c r="N1066" s="21">
        <f t="shared" si="1941"/>
        <v>0</v>
      </c>
      <c r="O1066" s="21">
        <f t="shared" si="1941"/>
        <v>0</v>
      </c>
    </row>
    <row r="1067">
      <c r="B1067" s="20">
        <v>46280.0</v>
      </c>
      <c r="C1067" s="21">
        <f>0</f>
        <v>0</v>
      </c>
      <c r="D1067" s="21">
        <f>57.3</f>
        <v>57.3</v>
      </c>
      <c r="E1067" s="21">
        <f t="shared" ref="E1067:M1067" si="1942">0</f>
        <v>0</v>
      </c>
      <c r="F1067" s="21">
        <f t="shared" si="1942"/>
        <v>0</v>
      </c>
      <c r="G1067" s="21">
        <f t="shared" si="1942"/>
        <v>0</v>
      </c>
      <c r="H1067" s="21">
        <f t="shared" si="1942"/>
        <v>0</v>
      </c>
      <c r="I1067" s="21">
        <f t="shared" si="1942"/>
        <v>0</v>
      </c>
      <c r="J1067" s="21">
        <f t="shared" si="1942"/>
        <v>0</v>
      </c>
      <c r="K1067" s="21">
        <f t="shared" si="1942"/>
        <v>0</v>
      </c>
      <c r="L1067" s="21">
        <f t="shared" si="1942"/>
        <v>0</v>
      </c>
      <c r="M1067" s="21">
        <f t="shared" si="1942"/>
        <v>0</v>
      </c>
      <c r="N1067" s="21">
        <f>133.7</f>
        <v>133.7</v>
      </c>
      <c r="O1067" s="21">
        <f>0</f>
        <v>0</v>
      </c>
    </row>
    <row r="1068">
      <c r="B1068" s="20">
        <v>46281.0</v>
      </c>
      <c r="C1068" s="21">
        <f>9.4</f>
        <v>9.4</v>
      </c>
      <c r="D1068" s="21">
        <f t="shared" ref="D1068:F1068" si="1943">0</f>
        <v>0</v>
      </c>
      <c r="E1068" s="21">
        <f t="shared" si="1943"/>
        <v>0</v>
      </c>
      <c r="F1068" s="21">
        <f t="shared" si="1943"/>
        <v>0</v>
      </c>
      <c r="G1068" s="21">
        <f>9.4</f>
        <v>9.4</v>
      </c>
      <c r="H1068" s="21">
        <f>0</f>
        <v>0</v>
      </c>
      <c r="I1068" s="21">
        <f>28.2</f>
        <v>28.2</v>
      </c>
      <c r="J1068" s="21">
        <f t="shared" ref="J1068:O1068" si="1944">0</f>
        <v>0</v>
      </c>
      <c r="K1068" s="21">
        <f t="shared" si="1944"/>
        <v>0</v>
      </c>
      <c r="L1068" s="21">
        <f t="shared" si="1944"/>
        <v>0</v>
      </c>
      <c r="M1068" s="21">
        <f t="shared" si="1944"/>
        <v>0</v>
      </c>
      <c r="N1068" s="21">
        <f t="shared" si="1944"/>
        <v>0</v>
      </c>
      <c r="O1068" s="21">
        <f t="shared" si="1944"/>
        <v>0</v>
      </c>
    </row>
    <row r="1069">
      <c r="B1069" s="20">
        <v>46281.0</v>
      </c>
      <c r="C1069" s="21">
        <f>0</f>
        <v>0</v>
      </c>
      <c r="D1069" s="21">
        <f>10.5</f>
        <v>10.5</v>
      </c>
      <c r="E1069" s="21">
        <f t="shared" ref="E1069:M1069" si="1945">0</f>
        <v>0</v>
      </c>
      <c r="F1069" s="21">
        <f t="shared" si="1945"/>
        <v>0</v>
      </c>
      <c r="G1069" s="21">
        <f t="shared" si="1945"/>
        <v>0</v>
      </c>
      <c r="H1069" s="21">
        <f t="shared" si="1945"/>
        <v>0</v>
      </c>
      <c r="I1069" s="21">
        <f t="shared" si="1945"/>
        <v>0</v>
      </c>
      <c r="J1069" s="21">
        <f t="shared" si="1945"/>
        <v>0</v>
      </c>
      <c r="K1069" s="21">
        <f t="shared" si="1945"/>
        <v>0</v>
      </c>
      <c r="L1069" s="21">
        <f t="shared" si="1945"/>
        <v>0</v>
      </c>
      <c r="M1069" s="21">
        <f t="shared" si="1945"/>
        <v>0</v>
      </c>
      <c r="N1069" s="21">
        <f>10.5</f>
        <v>10.5</v>
      </c>
      <c r="O1069" s="21">
        <f>14</f>
        <v>14</v>
      </c>
    </row>
    <row r="1070">
      <c r="B1070" s="20">
        <v>46281.0</v>
      </c>
      <c r="C1070" s="21">
        <f>25.2</f>
        <v>25.2</v>
      </c>
      <c r="D1070" s="21">
        <f t="shared" ref="D1070:L1070" si="1946">0</f>
        <v>0</v>
      </c>
      <c r="E1070" s="21">
        <f t="shared" si="1946"/>
        <v>0</v>
      </c>
      <c r="F1070" s="21">
        <f t="shared" si="1946"/>
        <v>0</v>
      </c>
      <c r="G1070" s="21">
        <f t="shared" si="1946"/>
        <v>0</v>
      </c>
      <c r="H1070" s="21">
        <f t="shared" si="1946"/>
        <v>0</v>
      </c>
      <c r="I1070" s="21">
        <f t="shared" si="1946"/>
        <v>0</v>
      </c>
      <c r="J1070" s="21">
        <f t="shared" si="1946"/>
        <v>0</v>
      </c>
      <c r="K1070" s="21">
        <f t="shared" si="1946"/>
        <v>0</v>
      </c>
      <c r="L1070" s="21">
        <f t="shared" si="1946"/>
        <v>0</v>
      </c>
      <c r="M1070" s="21">
        <f>16.8</f>
        <v>16.8</v>
      </c>
      <c r="N1070" s="21">
        <f t="shared" ref="N1070:O1070" si="1947">0</f>
        <v>0</v>
      </c>
      <c r="O1070" s="21">
        <f t="shared" si="1947"/>
        <v>0</v>
      </c>
    </row>
    <row r="1071">
      <c r="B1071" s="20">
        <v>46281.0</v>
      </c>
      <c r="C1071" s="21">
        <f t="shared" ref="C1071:E1071" si="1948">0</f>
        <v>0</v>
      </c>
      <c r="D1071" s="21">
        <f t="shared" si="1948"/>
        <v>0</v>
      </c>
      <c r="E1071" s="21">
        <f t="shared" si="1948"/>
        <v>0</v>
      </c>
      <c r="F1071" s="21">
        <f>12.8</f>
        <v>12.8</v>
      </c>
      <c r="G1071" s="21">
        <f>9.6</f>
        <v>9.6</v>
      </c>
      <c r="H1071" s="21">
        <f t="shared" ref="H1071:N1071" si="1949">0</f>
        <v>0</v>
      </c>
      <c r="I1071" s="21">
        <f t="shared" si="1949"/>
        <v>0</v>
      </c>
      <c r="J1071" s="21">
        <f t="shared" si="1949"/>
        <v>0</v>
      </c>
      <c r="K1071" s="21">
        <f t="shared" si="1949"/>
        <v>0</v>
      </c>
      <c r="L1071" s="21">
        <f t="shared" si="1949"/>
        <v>0</v>
      </c>
      <c r="M1071" s="21">
        <f t="shared" si="1949"/>
        <v>0</v>
      </c>
      <c r="N1071" s="21">
        <f t="shared" si="1949"/>
        <v>0</v>
      </c>
      <c r="O1071" s="21">
        <f>9.6</f>
        <v>9.6</v>
      </c>
    </row>
    <row r="1072">
      <c r="B1072" s="20">
        <v>46281.0</v>
      </c>
      <c r="C1072" s="21">
        <f>16</f>
        <v>16</v>
      </c>
      <c r="D1072" s="21">
        <f t="shared" ref="D1072:H1072" si="1950">0</f>
        <v>0</v>
      </c>
      <c r="E1072" s="21">
        <f t="shared" si="1950"/>
        <v>0</v>
      </c>
      <c r="F1072" s="21">
        <f t="shared" si="1950"/>
        <v>0</v>
      </c>
      <c r="G1072" s="21">
        <f t="shared" si="1950"/>
        <v>0</v>
      </c>
      <c r="H1072" s="21">
        <f t="shared" si="1950"/>
        <v>0</v>
      </c>
      <c r="I1072" s="21">
        <f>16</f>
        <v>16</v>
      </c>
      <c r="J1072" s="21">
        <f t="shared" ref="J1072:O1072" si="1951">0</f>
        <v>0</v>
      </c>
      <c r="K1072" s="21">
        <f t="shared" si="1951"/>
        <v>0</v>
      </c>
      <c r="L1072" s="21">
        <f t="shared" si="1951"/>
        <v>0</v>
      </c>
      <c r="M1072" s="21">
        <f t="shared" si="1951"/>
        <v>0</v>
      </c>
      <c r="N1072" s="21">
        <f t="shared" si="1951"/>
        <v>0</v>
      </c>
      <c r="O1072" s="21">
        <f t="shared" si="1951"/>
        <v>0</v>
      </c>
    </row>
    <row r="1073">
      <c r="B1073" s="20">
        <v>46281.0</v>
      </c>
      <c r="C1073" s="21">
        <f t="shared" ref="C1073:L1073" si="1952">0</f>
        <v>0</v>
      </c>
      <c r="D1073" s="21">
        <f t="shared" si="1952"/>
        <v>0</v>
      </c>
      <c r="E1073" s="21">
        <f t="shared" si="1952"/>
        <v>0</v>
      </c>
      <c r="F1073" s="21">
        <f t="shared" si="1952"/>
        <v>0</v>
      </c>
      <c r="G1073" s="21">
        <f t="shared" si="1952"/>
        <v>0</v>
      </c>
      <c r="H1073" s="21">
        <f t="shared" si="1952"/>
        <v>0</v>
      </c>
      <c r="I1073" s="21">
        <f t="shared" si="1952"/>
        <v>0</v>
      </c>
      <c r="J1073" s="21">
        <f t="shared" si="1952"/>
        <v>0</v>
      </c>
      <c r="K1073" s="21">
        <f t="shared" si="1952"/>
        <v>0</v>
      </c>
      <c r="L1073" s="21">
        <f t="shared" si="1952"/>
        <v>0</v>
      </c>
      <c r="M1073" s="21">
        <f>26.4</f>
        <v>26.4</v>
      </c>
      <c r="N1073" s="21">
        <f>6.6</f>
        <v>6.6</v>
      </c>
      <c r="O1073" s="21">
        <f>0</f>
        <v>0</v>
      </c>
    </row>
    <row r="1074">
      <c r="B1074" s="20">
        <v>46281.0</v>
      </c>
      <c r="C1074" s="21">
        <f>39</f>
        <v>39</v>
      </c>
      <c r="D1074" s="21">
        <f t="shared" ref="D1074:L1074" si="1953">0</f>
        <v>0</v>
      </c>
      <c r="E1074" s="21">
        <f t="shared" si="1953"/>
        <v>0</v>
      </c>
      <c r="F1074" s="21">
        <f t="shared" si="1953"/>
        <v>0</v>
      </c>
      <c r="G1074" s="21">
        <f t="shared" si="1953"/>
        <v>0</v>
      </c>
      <c r="H1074" s="21">
        <f t="shared" si="1953"/>
        <v>0</v>
      </c>
      <c r="I1074" s="21">
        <f t="shared" si="1953"/>
        <v>0</v>
      </c>
      <c r="J1074" s="21">
        <f t="shared" si="1953"/>
        <v>0</v>
      </c>
      <c r="K1074" s="21">
        <f t="shared" si="1953"/>
        <v>0</v>
      </c>
      <c r="L1074" s="21">
        <f t="shared" si="1953"/>
        <v>0</v>
      </c>
      <c r="M1074" s="21">
        <f>13</f>
        <v>13</v>
      </c>
      <c r="N1074" s="21">
        <f t="shared" ref="N1074:N1075" si="1955">0</f>
        <v>0</v>
      </c>
      <c r="O1074" s="21">
        <f>13</f>
        <v>13</v>
      </c>
    </row>
    <row r="1075">
      <c r="B1075" s="20">
        <v>46281.0</v>
      </c>
      <c r="C1075" s="21">
        <f t="shared" ref="C1075:L1075" si="1954">0</f>
        <v>0</v>
      </c>
      <c r="D1075" s="21">
        <f t="shared" si="1954"/>
        <v>0</v>
      </c>
      <c r="E1075" s="21">
        <f t="shared" si="1954"/>
        <v>0</v>
      </c>
      <c r="F1075" s="21">
        <f t="shared" si="1954"/>
        <v>0</v>
      </c>
      <c r="G1075" s="21">
        <f t="shared" si="1954"/>
        <v>0</v>
      </c>
      <c r="H1075" s="21">
        <f t="shared" si="1954"/>
        <v>0</v>
      </c>
      <c r="I1075" s="21">
        <f t="shared" si="1954"/>
        <v>0</v>
      </c>
      <c r="J1075" s="21">
        <f t="shared" si="1954"/>
        <v>0</v>
      </c>
      <c r="K1075" s="21">
        <f t="shared" si="1954"/>
        <v>0</v>
      </c>
      <c r="L1075" s="21">
        <f t="shared" si="1954"/>
        <v>0</v>
      </c>
      <c r="M1075" s="21">
        <f>24</f>
        <v>24</v>
      </c>
      <c r="N1075" s="21">
        <f t="shared" si="1955"/>
        <v>0</v>
      </c>
      <c r="O1075" s="21">
        <f>0</f>
        <v>0</v>
      </c>
    </row>
    <row r="1076">
      <c r="B1076" s="20">
        <v>46281.0</v>
      </c>
      <c r="C1076" s="21">
        <f t="shared" ref="C1076:C1077" si="1958">0</f>
        <v>0</v>
      </c>
      <c r="D1076" s="21">
        <f>15</f>
        <v>15</v>
      </c>
      <c r="E1076" s="21">
        <f t="shared" ref="E1076:H1076" si="1956">0</f>
        <v>0</v>
      </c>
      <c r="F1076" s="21">
        <f t="shared" si="1956"/>
        <v>0</v>
      </c>
      <c r="G1076" s="21">
        <f t="shared" si="1956"/>
        <v>0</v>
      </c>
      <c r="H1076" s="21">
        <f t="shared" si="1956"/>
        <v>0</v>
      </c>
      <c r="I1076" s="21">
        <f>15</f>
        <v>15</v>
      </c>
      <c r="J1076" s="21">
        <f t="shared" ref="J1076:O1076" si="1957">0</f>
        <v>0</v>
      </c>
      <c r="K1076" s="21">
        <f t="shared" si="1957"/>
        <v>0</v>
      </c>
      <c r="L1076" s="21">
        <f t="shared" si="1957"/>
        <v>0</v>
      </c>
      <c r="M1076" s="21">
        <f t="shared" si="1957"/>
        <v>0</v>
      </c>
      <c r="N1076" s="21">
        <f t="shared" si="1957"/>
        <v>0</v>
      </c>
      <c r="O1076" s="21">
        <f t="shared" si="1957"/>
        <v>0</v>
      </c>
    </row>
    <row r="1077">
      <c r="B1077" s="20">
        <v>46281.0</v>
      </c>
      <c r="C1077" s="21">
        <f t="shared" si="1958"/>
        <v>0</v>
      </c>
      <c r="D1077" s="21">
        <f t="shared" ref="D1077:N1077" si="1959">0</f>
        <v>0</v>
      </c>
      <c r="E1077" s="21">
        <f t="shared" si="1959"/>
        <v>0</v>
      </c>
      <c r="F1077" s="21">
        <f t="shared" si="1959"/>
        <v>0</v>
      </c>
      <c r="G1077" s="21">
        <f t="shared" si="1959"/>
        <v>0</v>
      </c>
      <c r="H1077" s="21">
        <f t="shared" si="1959"/>
        <v>0</v>
      </c>
      <c r="I1077" s="21">
        <f t="shared" si="1959"/>
        <v>0</v>
      </c>
      <c r="J1077" s="21">
        <f t="shared" si="1959"/>
        <v>0</v>
      </c>
      <c r="K1077" s="21">
        <f t="shared" si="1959"/>
        <v>0</v>
      </c>
      <c r="L1077" s="21">
        <f t="shared" si="1959"/>
        <v>0</v>
      </c>
      <c r="M1077" s="21">
        <f t="shared" si="1959"/>
        <v>0</v>
      </c>
      <c r="N1077" s="21">
        <f t="shared" si="1959"/>
        <v>0</v>
      </c>
      <c r="O1077" s="21">
        <f>44</f>
        <v>44</v>
      </c>
    </row>
    <row r="1078">
      <c r="B1078" s="20">
        <v>46282.0</v>
      </c>
      <c r="C1078" s="21">
        <v>0.0</v>
      </c>
      <c r="D1078" s="21">
        <v>0.0</v>
      </c>
      <c r="E1078" s="21">
        <v>0.0</v>
      </c>
      <c r="F1078" s="21">
        <v>0.0</v>
      </c>
      <c r="G1078" s="21">
        <v>0.0</v>
      </c>
      <c r="H1078" s="21">
        <v>0.0</v>
      </c>
      <c r="I1078" s="21">
        <v>0.0</v>
      </c>
      <c r="J1078" s="21">
        <v>0.0</v>
      </c>
      <c r="K1078" s="21">
        <v>0.0</v>
      </c>
      <c r="L1078" s="21">
        <v>0.0</v>
      </c>
      <c r="M1078" s="21">
        <v>0.0</v>
      </c>
      <c r="N1078" s="21">
        <v>0.0</v>
      </c>
      <c r="O1078" s="21">
        <f>184</f>
        <v>184</v>
      </c>
    </row>
    <row r="1079">
      <c r="B1079" s="20">
        <v>46282.0</v>
      </c>
      <c r="C1079" s="21">
        <f t="shared" ref="C1079:H1079" si="1960">0</f>
        <v>0</v>
      </c>
      <c r="D1079" s="21">
        <f t="shared" si="1960"/>
        <v>0</v>
      </c>
      <c r="E1079" s="21">
        <f t="shared" si="1960"/>
        <v>0</v>
      </c>
      <c r="F1079" s="21">
        <f t="shared" si="1960"/>
        <v>0</v>
      </c>
      <c r="G1079" s="21">
        <f t="shared" si="1960"/>
        <v>0</v>
      </c>
      <c r="H1079" s="21">
        <f t="shared" si="1960"/>
        <v>0</v>
      </c>
      <c r="I1079" s="21">
        <f>60</f>
        <v>60</v>
      </c>
      <c r="J1079" s="21">
        <f t="shared" ref="J1079:O1079" si="1961">0</f>
        <v>0</v>
      </c>
      <c r="K1079" s="21">
        <f t="shared" si="1961"/>
        <v>0</v>
      </c>
      <c r="L1079" s="21">
        <f t="shared" si="1961"/>
        <v>0</v>
      </c>
      <c r="M1079" s="21">
        <f t="shared" si="1961"/>
        <v>0</v>
      </c>
      <c r="N1079" s="21">
        <f t="shared" si="1961"/>
        <v>0</v>
      </c>
      <c r="O1079" s="21">
        <f t="shared" si="1961"/>
        <v>0</v>
      </c>
    </row>
    <row r="1080">
      <c r="B1080" s="20">
        <v>46282.0</v>
      </c>
      <c r="C1080" s="21">
        <v>0.0</v>
      </c>
      <c r="D1080" s="21">
        <v>0.0</v>
      </c>
      <c r="E1080" s="21">
        <v>0.0</v>
      </c>
      <c r="F1080" s="21">
        <v>0.0</v>
      </c>
      <c r="G1080" s="21">
        <v>0.0</v>
      </c>
      <c r="H1080" s="21">
        <v>0.0</v>
      </c>
      <c r="I1080" s="21">
        <v>0.0</v>
      </c>
      <c r="J1080" s="21">
        <v>0.0</v>
      </c>
      <c r="K1080" s="21">
        <v>0.0</v>
      </c>
      <c r="L1080" s="21">
        <v>0.0</v>
      </c>
      <c r="M1080" s="21">
        <v>0.0</v>
      </c>
      <c r="N1080" s="21">
        <v>0.0</v>
      </c>
      <c r="O1080" s="21">
        <f>45</f>
        <v>45</v>
      </c>
    </row>
    <row r="1081">
      <c r="B1081" s="20">
        <v>46282.0</v>
      </c>
      <c r="C1081" s="21">
        <f t="shared" ref="C1081:H1081" si="1962">0</f>
        <v>0</v>
      </c>
      <c r="D1081" s="21">
        <f t="shared" si="1962"/>
        <v>0</v>
      </c>
      <c r="E1081" s="21">
        <f t="shared" si="1962"/>
        <v>0</v>
      </c>
      <c r="F1081" s="21">
        <f t="shared" si="1962"/>
        <v>0</v>
      </c>
      <c r="G1081" s="21">
        <f t="shared" si="1962"/>
        <v>0</v>
      </c>
      <c r="H1081" s="21">
        <f t="shared" si="1962"/>
        <v>0</v>
      </c>
      <c r="I1081" s="21">
        <f>60</f>
        <v>60</v>
      </c>
      <c r="J1081" s="21">
        <f t="shared" ref="J1081:L1081" si="1963">0</f>
        <v>0</v>
      </c>
      <c r="K1081" s="21">
        <f t="shared" si="1963"/>
        <v>0</v>
      </c>
      <c r="L1081" s="21">
        <f t="shared" si="1963"/>
        <v>0</v>
      </c>
      <c r="M1081" s="21">
        <f>75</f>
        <v>75</v>
      </c>
      <c r="N1081" s="21">
        <f t="shared" ref="N1081:N1082" si="1966">0</f>
        <v>0</v>
      </c>
      <c r="O1081" s="21">
        <f>15</f>
        <v>15</v>
      </c>
    </row>
    <row r="1082">
      <c r="B1082" s="20">
        <v>46282.0</v>
      </c>
      <c r="C1082" s="21">
        <f>16.8</f>
        <v>16.8</v>
      </c>
      <c r="D1082" s="21">
        <f t="shared" ref="D1082:H1082" si="1964">0</f>
        <v>0</v>
      </c>
      <c r="E1082" s="21">
        <f t="shared" si="1964"/>
        <v>0</v>
      </c>
      <c r="F1082" s="21">
        <f t="shared" si="1964"/>
        <v>0</v>
      </c>
      <c r="G1082" s="21">
        <f t="shared" si="1964"/>
        <v>0</v>
      </c>
      <c r="H1082" s="21">
        <f t="shared" si="1964"/>
        <v>0</v>
      </c>
      <c r="I1082" s="21">
        <f>16.8</f>
        <v>16.8</v>
      </c>
      <c r="J1082" s="21">
        <f t="shared" ref="J1082:L1082" si="1965">0</f>
        <v>0</v>
      </c>
      <c r="K1082" s="21">
        <f t="shared" si="1965"/>
        <v>0</v>
      </c>
      <c r="L1082" s="21">
        <f t="shared" si="1965"/>
        <v>0</v>
      </c>
      <c r="M1082" s="21">
        <f>22.4</f>
        <v>22.4</v>
      </c>
      <c r="N1082" s="21">
        <f t="shared" si="1966"/>
        <v>0</v>
      </c>
      <c r="O1082" s="21">
        <f>0</f>
        <v>0</v>
      </c>
    </row>
    <row r="1083">
      <c r="B1083" s="20">
        <v>46282.0</v>
      </c>
      <c r="C1083" s="21">
        <f t="shared" ref="C1083:D1083" si="1967">0</f>
        <v>0</v>
      </c>
      <c r="D1083" s="21">
        <f t="shared" si="1967"/>
        <v>0</v>
      </c>
      <c r="E1083" s="21">
        <f>17.1</f>
        <v>17.1</v>
      </c>
      <c r="F1083" s="21">
        <f>0</f>
        <v>0</v>
      </c>
      <c r="G1083" s="21">
        <f>11.4</f>
        <v>11.4</v>
      </c>
      <c r="H1083" s="21">
        <f>0</f>
        <v>0</v>
      </c>
      <c r="I1083" s="21">
        <f>28.5</f>
        <v>28.5</v>
      </c>
      <c r="J1083" s="21">
        <f t="shared" ref="J1083:O1083" si="1968">0</f>
        <v>0</v>
      </c>
      <c r="K1083" s="21">
        <f t="shared" si="1968"/>
        <v>0</v>
      </c>
      <c r="L1083" s="21">
        <f t="shared" si="1968"/>
        <v>0</v>
      </c>
      <c r="M1083" s="21">
        <f t="shared" si="1968"/>
        <v>0</v>
      </c>
      <c r="N1083" s="21">
        <f t="shared" si="1968"/>
        <v>0</v>
      </c>
      <c r="O1083" s="21">
        <f t="shared" si="1968"/>
        <v>0</v>
      </c>
    </row>
    <row r="1084">
      <c r="B1084" s="20">
        <v>46282.0</v>
      </c>
      <c r="C1084" s="21">
        <f>120.6</f>
        <v>120.6</v>
      </c>
      <c r="D1084" s="21">
        <f t="shared" ref="D1084:L1084" si="1969">0</f>
        <v>0</v>
      </c>
      <c r="E1084" s="21">
        <f t="shared" si="1969"/>
        <v>0</v>
      </c>
      <c r="F1084" s="21">
        <f t="shared" si="1969"/>
        <v>0</v>
      </c>
      <c r="G1084" s="21">
        <f t="shared" si="1969"/>
        <v>0</v>
      </c>
      <c r="H1084" s="21">
        <f t="shared" si="1969"/>
        <v>0</v>
      </c>
      <c r="I1084" s="21">
        <f t="shared" si="1969"/>
        <v>0</v>
      </c>
      <c r="J1084" s="21">
        <f t="shared" si="1969"/>
        <v>0</v>
      </c>
      <c r="K1084" s="21">
        <f t="shared" si="1969"/>
        <v>0</v>
      </c>
      <c r="L1084" s="21">
        <f t="shared" si="1969"/>
        <v>0</v>
      </c>
      <c r="M1084" s="21">
        <f>13.4</f>
        <v>13.4</v>
      </c>
      <c r="N1084" s="21">
        <f t="shared" ref="N1084:O1084" si="1970">0</f>
        <v>0</v>
      </c>
      <c r="O1084" s="21">
        <f t="shared" si="1970"/>
        <v>0</v>
      </c>
    </row>
    <row r="1085">
      <c r="B1085" s="20">
        <v>46282.0</v>
      </c>
      <c r="C1085" s="21">
        <f t="shared" ref="C1085:L1085" si="1971">0</f>
        <v>0</v>
      </c>
      <c r="D1085" s="21">
        <f t="shared" si="1971"/>
        <v>0</v>
      </c>
      <c r="E1085" s="21">
        <f t="shared" si="1971"/>
        <v>0</v>
      </c>
      <c r="F1085" s="21">
        <f t="shared" si="1971"/>
        <v>0</v>
      </c>
      <c r="G1085" s="21">
        <f t="shared" si="1971"/>
        <v>0</v>
      </c>
      <c r="H1085" s="21">
        <f t="shared" si="1971"/>
        <v>0</v>
      </c>
      <c r="I1085" s="21">
        <f t="shared" si="1971"/>
        <v>0</v>
      </c>
      <c r="J1085" s="21">
        <f t="shared" si="1971"/>
        <v>0</v>
      </c>
      <c r="K1085" s="21">
        <f t="shared" si="1971"/>
        <v>0</v>
      </c>
      <c r="L1085" s="21">
        <f t="shared" si="1971"/>
        <v>0</v>
      </c>
      <c r="M1085" s="21">
        <f>34</f>
        <v>34</v>
      </c>
      <c r="N1085" s="21">
        <f t="shared" ref="N1085:O1085" si="1972">0</f>
        <v>0</v>
      </c>
      <c r="O1085" s="21">
        <f t="shared" si="1972"/>
        <v>0</v>
      </c>
    </row>
    <row r="1086">
      <c r="B1086" s="20">
        <v>46282.0</v>
      </c>
      <c r="C1086" s="21">
        <f t="shared" ref="C1086:H1086" si="1973">0</f>
        <v>0</v>
      </c>
      <c r="D1086" s="21">
        <f t="shared" si="1973"/>
        <v>0</v>
      </c>
      <c r="E1086" s="21">
        <f t="shared" si="1973"/>
        <v>0</v>
      </c>
      <c r="F1086" s="21">
        <f t="shared" si="1973"/>
        <v>0</v>
      </c>
      <c r="G1086" s="21">
        <f t="shared" si="1973"/>
        <v>0</v>
      </c>
      <c r="H1086" s="21">
        <f t="shared" si="1973"/>
        <v>0</v>
      </c>
      <c r="I1086" s="21">
        <f>70.4</f>
        <v>70.4</v>
      </c>
      <c r="J1086" s="21">
        <f>8.8</f>
        <v>8.8</v>
      </c>
      <c r="K1086" s="21">
        <f t="shared" ref="K1086:L1086" si="1974">0</f>
        <v>0</v>
      </c>
      <c r="L1086" s="21">
        <f t="shared" si="1974"/>
        <v>0</v>
      </c>
      <c r="M1086" s="21">
        <f>8.8</f>
        <v>8.8</v>
      </c>
      <c r="N1086" s="21">
        <f t="shared" ref="N1086:O1086" si="1975">0</f>
        <v>0</v>
      </c>
      <c r="O1086" s="21">
        <f t="shared" si="1975"/>
        <v>0</v>
      </c>
    </row>
    <row r="1087">
      <c r="B1087" s="20">
        <v>46282.0</v>
      </c>
      <c r="C1087" s="21">
        <f>21</f>
        <v>21</v>
      </c>
      <c r="D1087" s="21">
        <f t="shared" ref="D1087:F1087" si="1976">0</f>
        <v>0</v>
      </c>
      <c r="E1087" s="21">
        <f t="shared" si="1976"/>
        <v>0</v>
      </c>
      <c r="F1087" s="21">
        <f t="shared" si="1976"/>
        <v>0</v>
      </c>
      <c r="G1087" s="21">
        <f>3</f>
        <v>3</v>
      </c>
      <c r="H1087" s="21">
        <f>0</f>
        <v>0</v>
      </c>
      <c r="I1087" s="21">
        <f>3</f>
        <v>3</v>
      </c>
      <c r="J1087" s="21">
        <f t="shared" ref="J1087:L1087" si="1977">0</f>
        <v>0</v>
      </c>
      <c r="K1087" s="21">
        <f t="shared" si="1977"/>
        <v>0</v>
      </c>
      <c r="L1087" s="21">
        <f t="shared" si="1977"/>
        <v>0</v>
      </c>
      <c r="M1087" s="21">
        <f>3</f>
        <v>3</v>
      </c>
      <c r="N1087" s="21">
        <f t="shared" ref="N1087:O1087" si="1978">0</f>
        <v>0</v>
      </c>
      <c r="O1087" s="21">
        <f t="shared" si="1978"/>
        <v>0</v>
      </c>
    </row>
    <row r="1088">
      <c r="B1088" s="20">
        <v>46282.0</v>
      </c>
      <c r="C1088" s="21">
        <f>22</f>
        <v>22</v>
      </c>
      <c r="D1088" s="21">
        <f t="shared" ref="D1088:O1088" si="1979">0</f>
        <v>0</v>
      </c>
      <c r="E1088" s="21">
        <f t="shared" si="1979"/>
        <v>0</v>
      </c>
      <c r="F1088" s="21">
        <f t="shared" si="1979"/>
        <v>0</v>
      </c>
      <c r="G1088" s="21">
        <f t="shared" si="1979"/>
        <v>0</v>
      </c>
      <c r="H1088" s="21">
        <f t="shared" si="1979"/>
        <v>0</v>
      </c>
      <c r="I1088" s="21">
        <f t="shared" si="1979"/>
        <v>0</v>
      </c>
      <c r="J1088" s="21">
        <f t="shared" si="1979"/>
        <v>0</v>
      </c>
      <c r="K1088" s="21">
        <f t="shared" si="1979"/>
        <v>0</v>
      </c>
      <c r="L1088" s="21">
        <f t="shared" si="1979"/>
        <v>0</v>
      </c>
      <c r="M1088" s="21">
        <f t="shared" si="1979"/>
        <v>0</v>
      </c>
      <c r="N1088" s="21">
        <f t="shared" si="1979"/>
        <v>0</v>
      </c>
      <c r="O1088" s="21">
        <f t="shared" si="1979"/>
        <v>0</v>
      </c>
    </row>
    <row r="1089">
      <c r="B1089" s="20">
        <v>46282.0</v>
      </c>
      <c r="C1089" s="21">
        <f t="shared" ref="C1089:I1089" si="1980">0</f>
        <v>0</v>
      </c>
      <c r="D1089" s="21">
        <f t="shared" si="1980"/>
        <v>0</v>
      </c>
      <c r="E1089" s="21">
        <f t="shared" si="1980"/>
        <v>0</v>
      </c>
      <c r="F1089" s="21">
        <f t="shared" si="1980"/>
        <v>0</v>
      </c>
      <c r="G1089" s="21">
        <f t="shared" si="1980"/>
        <v>0</v>
      </c>
      <c r="H1089" s="21">
        <f t="shared" si="1980"/>
        <v>0</v>
      </c>
      <c r="I1089" s="21">
        <f t="shared" si="1980"/>
        <v>0</v>
      </c>
      <c r="J1089" s="21">
        <f>32</f>
        <v>32</v>
      </c>
      <c r="K1089" s="21">
        <f t="shared" ref="K1089:O1089" si="1981">0</f>
        <v>0</v>
      </c>
      <c r="L1089" s="21">
        <f t="shared" si="1981"/>
        <v>0</v>
      </c>
      <c r="M1089" s="21">
        <f t="shared" si="1981"/>
        <v>0</v>
      </c>
      <c r="N1089" s="21">
        <f t="shared" si="1981"/>
        <v>0</v>
      </c>
      <c r="O1089" s="21">
        <f t="shared" si="1981"/>
        <v>0</v>
      </c>
    </row>
    <row r="1090">
      <c r="B1090" s="20">
        <v>46283.0</v>
      </c>
      <c r="C1090" s="21">
        <f>20.5</f>
        <v>20.5</v>
      </c>
      <c r="D1090" s="21">
        <f t="shared" ref="D1090:H1090" si="1982">0</f>
        <v>0</v>
      </c>
      <c r="E1090" s="21">
        <f t="shared" si="1982"/>
        <v>0</v>
      </c>
      <c r="F1090" s="21">
        <f t="shared" si="1982"/>
        <v>0</v>
      </c>
      <c r="G1090" s="21">
        <f t="shared" si="1982"/>
        <v>0</v>
      </c>
      <c r="H1090" s="21">
        <f t="shared" si="1982"/>
        <v>0</v>
      </c>
      <c r="I1090" s="21">
        <f>16.4</f>
        <v>16.4</v>
      </c>
      <c r="J1090" s="21">
        <f t="shared" ref="J1090:L1090" si="1983">0</f>
        <v>0</v>
      </c>
      <c r="K1090" s="21">
        <f t="shared" si="1983"/>
        <v>0</v>
      </c>
      <c r="L1090" s="21">
        <f t="shared" si="1983"/>
        <v>0</v>
      </c>
      <c r="M1090" s="21">
        <f>4.1</f>
        <v>4.1</v>
      </c>
      <c r="N1090" s="21">
        <f t="shared" ref="N1090:O1090" si="1984">0</f>
        <v>0</v>
      </c>
      <c r="O1090" s="21">
        <f t="shared" si="1984"/>
        <v>0</v>
      </c>
    </row>
    <row r="1091">
      <c r="B1091" s="20">
        <v>46283.0</v>
      </c>
      <c r="C1091" s="21">
        <f>24.8</f>
        <v>24.8</v>
      </c>
      <c r="D1091" s="21">
        <f>3.1</f>
        <v>3.1</v>
      </c>
      <c r="E1091" s="21">
        <f t="shared" ref="E1091:F1091" si="1985">0</f>
        <v>0</v>
      </c>
      <c r="F1091" s="21">
        <f t="shared" si="1985"/>
        <v>0</v>
      </c>
      <c r="G1091" s="21">
        <f>3.1</f>
        <v>3.1</v>
      </c>
      <c r="H1091" s="21">
        <f t="shared" ref="H1091:O1091" si="1986">0</f>
        <v>0</v>
      </c>
      <c r="I1091" s="21">
        <f t="shared" si="1986"/>
        <v>0</v>
      </c>
      <c r="J1091" s="21">
        <f t="shared" si="1986"/>
        <v>0</v>
      </c>
      <c r="K1091" s="21">
        <f t="shared" si="1986"/>
        <v>0</v>
      </c>
      <c r="L1091" s="21">
        <f t="shared" si="1986"/>
        <v>0</v>
      </c>
      <c r="M1091" s="21">
        <f t="shared" si="1986"/>
        <v>0</v>
      </c>
      <c r="N1091" s="21">
        <f t="shared" si="1986"/>
        <v>0</v>
      </c>
      <c r="O1091" s="21">
        <f t="shared" si="1986"/>
        <v>0</v>
      </c>
    </row>
    <row r="1092">
      <c r="B1092" s="20">
        <v>46283.0</v>
      </c>
      <c r="C1092" s="21">
        <f>23</f>
        <v>23</v>
      </c>
      <c r="D1092" s="21">
        <f t="shared" ref="D1092:O1092" si="1987">0</f>
        <v>0</v>
      </c>
      <c r="E1092" s="21">
        <f t="shared" si="1987"/>
        <v>0</v>
      </c>
      <c r="F1092" s="21">
        <f t="shared" si="1987"/>
        <v>0</v>
      </c>
      <c r="G1092" s="21">
        <f t="shared" si="1987"/>
        <v>0</v>
      </c>
      <c r="H1092" s="21">
        <f t="shared" si="1987"/>
        <v>0</v>
      </c>
      <c r="I1092" s="21">
        <f t="shared" si="1987"/>
        <v>0</v>
      </c>
      <c r="J1092" s="21">
        <f t="shared" si="1987"/>
        <v>0</v>
      </c>
      <c r="K1092" s="21">
        <f t="shared" si="1987"/>
        <v>0</v>
      </c>
      <c r="L1092" s="21">
        <f t="shared" si="1987"/>
        <v>0</v>
      </c>
      <c r="M1092" s="21">
        <f t="shared" si="1987"/>
        <v>0</v>
      </c>
      <c r="N1092" s="21">
        <f t="shared" si="1987"/>
        <v>0</v>
      </c>
      <c r="O1092" s="21">
        <f t="shared" si="1987"/>
        <v>0</v>
      </c>
    </row>
    <row r="1093">
      <c r="B1093" s="20">
        <v>46283.0</v>
      </c>
      <c r="C1093" s="21">
        <f>18.5</f>
        <v>18.5</v>
      </c>
      <c r="D1093" s="21">
        <f t="shared" ref="D1093:H1093" si="1988">0</f>
        <v>0</v>
      </c>
      <c r="E1093" s="21">
        <f t="shared" si="1988"/>
        <v>0</v>
      </c>
      <c r="F1093" s="21">
        <f t="shared" si="1988"/>
        <v>0</v>
      </c>
      <c r="G1093" s="21">
        <f t="shared" si="1988"/>
        <v>0</v>
      </c>
      <c r="H1093" s="21">
        <f t="shared" si="1988"/>
        <v>0</v>
      </c>
      <c r="I1093" s="21">
        <f>18.5</f>
        <v>18.5</v>
      </c>
      <c r="J1093" s="21">
        <f t="shared" ref="J1093:O1093" si="1989">0</f>
        <v>0</v>
      </c>
      <c r="K1093" s="21">
        <f t="shared" si="1989"/>
        <v>0</v>
      </c>
      <c r="L1093" s="21">
        <f t="shared" si="1989"/>
        <v>0</v>
      </c>
      <c r="M1093" s="21">
        <f t="shared" si="1989"/>
        <v>0</v>
      </c>
      <c r="N1093" s="21">
        <f t="shared" si="1989"/>
        <v>0</v>
      </c>
      <c r="O1093" s="21">
        <f t="shared" si="1989"/>
        <v>0</v>
      </c>
    </row>
    <row r="1094">
      <c r="B1094" s="20">
        <v>46283.0</v>
      </c>
      <c r="C1094" s="21">
        <f t="shared" ref="C1094:H1094" si="1990">0</f>
        <v>0</v>
      </c>
      <c r="D1094" s="21">
        <f t="shared" si="1990"/>
        <v>0</v>
      </c>
      <c r="E1094" s="21">
        <f t="shared" si="1990"/>
        <v>0</v>
      </c>
      <c r="F1094" s="21">
        <f t="shared" si="1990"/>
        <v>0</v>
      </c>
      <c r="G1094" s="21">
        <f t="shared" si="1990"/>
        <v>0</v>
      </c>
      <c r="H1094" s="21">
        <f t="shared" si="1990"/>
        <v>0</v>
      </c>
      <c r="I1094" s="21">
        <f>65</f>
        <v>65</v>
      </c>
      <c r="J1094" s="21">
        <f t="shared" ref="J1094:M1094" si="1991">0</f>
        <v>0</v>
      </c>
      <c r="K1094" s="21">
        <f t="shared" si="1991"/>
        <v>0</v>
      </c>
      <c r="L1094" s="21">
        <f t="shared" si="1991"/>
        <v>0</v>
      </c>
      <c r="M1094" s="21">
        <f t="shared" si="1991"/>
        <v>0</v>
      </c>
      <c r="N1094" s="21">
        <f>65</f>
        <v>65</v>
      </c>
      <c r="O1094" s="21">
        <f>0</f>
        <v>0</v>
      </c>
    </row>
    <row r="1095">
      <c r="B1095" s="20">
        <v>46284.0</v>
      </c>
      <c r="C1095" s="21">
        <f t="shared" ref="C1095:H1095" si="1992">0</f>
        <v>0</v>
      </c>
      <c r="D1095" s="21">
        <f t="shared" si="1992"/>
        <v>0</v>
      </c>
      <c r="E1095" s="21">
        <f t="shared" si="1992"/>
        <v>0</v>
      </c>
      <c r="F1095" s="21">
        <f t="shared" si="1992"/>
        <v>0</v>
      </c>
      <c r="G1095" s="21">
        <f t="shared" si="1992"/>
        <v>0</v>
      </c>
      <c r="H1095" s="21">
        <f t="shared" si="1992"/>
        <v>0</v>
      </c>
      <c r="I1095" s="21">
        <f>56</f>
        <v>56</v>
      </c>
      <c r="J1095" s="21">
        <f t="shared" ref="J1095:L1095" si="1993">0</f>
        <v>0</v>
      </c>
      <c r="K1095" s="21">
        <f t="shared" si="1993"/>
        <v>0</v>
      </c>
      <c r="L1095" s="21">
        <f t="shared" si="1993"/>
        <v>0</v>
      </c>
      <c r="M1095" s="21">
        <f>14</f>
        <v>14</v>
      </c>
      <c r="N1095" s="21">
        <f t="shared" ref="N1095:O1095" si="1994">0</f>
        <v>0</v>
      </c>
      <c r="O1095" s="21">
        <f t="shared" si="1994"/>
        <v>0</v>
      </c>
    </row>
    <row r="1096">
      <c r="B1096" s="20">
        <v>46284.0</v>
      </c>
      <c r="C1096" s="21">
        <v>0.0</v>
      </c>
      <c r="D1096" s="21">
        <v>0.0</v>
      </c>
      <c r="E1096" s="21">
        <v>0.0</v>
      </c>
      <c r="F1096" s="21">
        <v>0.0</v>
      </c>
      <c r="G1096" s="21">
        <v>0.0</v>
      </c>
      <c r="H1096" s="21">
        <v>0.0</v>
      </c>
      <c r="I1096" s="21">
        <v>0.0</v>
      </c>
      <c r="J1096" s="21">
        <v>0.0</v>
      </c>
      <c r="K1096" s="21">
        <v>0.0</v>
      </c>
      <c r="L1096" s="21">
        <v>0.0</v>
      </c>
      <c r="M1096" s="21">
        <v>0.0</v>
      </c>
      <c r="N1096" s="21">
        <v>0.0</v>
      </c>
      <c r="O1096" s="21">
        <f>33</f>
        <v>33</v>
      </c>
    </row>
    <row r="1097">
      <c r="B1097" s="20">
        <v>46284.0</v>
      </c>
      <c r="C1097" s="21">
        <f>16</f>
        <v>16</v>
      </c>
      <c r="D1097" s="21">
        <f t="shared" ref="D1097:F1097" si="1995">0</f>
        <v>0</v>
      </c>
      <c r="E1097" s="21">
        <f t="shared" si="1995"/>
        <v>0</v>
      </c>
      <c r="F1097" s="21">
        <f t="shared" si="1995"/>
        <v>0</v>
      </c>
      <c r="G1097" s="21">
        <f>16</f>
        <v>16</v>
      </c>
      <c r="H1097" s="21">
        <f t="shared" ref="H1097:O1097" si="1996">0</f>
        <v>0</v>
      </c>
      <c r="I1097" s="21">
        <f t="shared" si="1996"/>
        <v>0</v>
      </c>
      <c r="J1097" s="21">
        <f t="shared" si="1996"/>
        <v>0</v>
      </c>
      <c r="K1097" s="21">
        <f t="shared" si="1996"/>
        <v>0</v>
      </c>
      <c r="L1097" s="21">
        <f t="shared" si="1996"/>
        <v>0</v>
      </c>
      <c r="M1097" s="21">
        <f t="shared" si="1996"/>
        <v>0</v>
      </c>
      <c r="N1097" s="21">
        <f t="shared" si="1996"/>
        <v>0</v>
      </c>
      <c r="O1097" s="21">
        <f t="shared" si="1996"/>
        <v>0</v>
      </c>
    </row>
    <row r="1098">
      <c r="B1098" s="20">
        <v>46284.0</v>
      </c>
      <c r="C1098" s="21">
        <f t="shared" ref="C1098:L1098" si="1997">0</f>
        <v>0</v>
      </c>
      <c r="D1098" s="21">
        <f t="shared" si="1997"/>
        <v>0</v>
      </c>
      <c r="E1098" s="21">
        <f t="shared" si="1997"/>
        <v>0</v>
      </c>
      <c r="F1098" s="21">
        <f t="shared" si="1997"/>
        <v>0</v>
      </c>
      <c r="G1098" s="21">
        <f t="shared" si="1997"/>
        <v>0</v>
      </c>
      <c r="H1098" s="21">
        <f t="shared" si="1997"/>
        <v>0</v>
      </c>
      <c r="I1098" s="21">
        <f t="shared" si="1997"/>
        <v>0</v>
      </c>
      <c r="J1098" s="21">
        <f t="shared" si="1997"/>
        <v>0</v>
      </c>
      <c r="K1098" s="21">
        <f t="shared" si="1997"/>
        <v>0</v>
      </c>
      <c r="L1098" s="21">
        <f t="shared" si="1997"/>
        <v>0</v>
      </c>
      <c r="M1098" s="21">
        <f>11</f>
        <v>11</v>
      </c>
      <c r="N1098" s="21">
        <f t="shared" ref="N1098:O1098" si="1998">0</f>
        <v>0</v>
      </c>
      <c r="O1098" s="21">
        <f t="shared" si="1998"/>
        <v>0</v>
      </c>
    </row>
    <row r="1099">
      <c r="B1099" s="20">
        <v>46284.0</v>
      </c>
      <c r="C1099" s="21">
        <v>0.0</v>
      </c>
      <c r="D1099" s="21">
        <v>0.0</v>
      </c>
      <c r="E1099" s="21">
        <v>0.0</v>
      </c>
      <c r="F1099" s="21">
        <v>0.0</v>
      </c>
      <c r="G1099" s="21">
        <v>0.0</v>
      </c>
      <c r="H1099" s="21">
        <v>0.0</v>
      </c>
      <c r="I1099" s="21">
        <v>0.0</v>
      </c>
      <c r="J1099" s="21">
        <v>0.0</v>
      </c>
      <c r="K1099" s="21">
        <v>0.0</v>
      </c>
      <c r="L1099" s="21">
        <v>0.0</v>
      </c>
      <c r="M1099" s="21">
        <v>0.0</v>
      </c>
      <c r="N1099" s="21">
        <v>0.0</v>
      </c>
      <c r="O1099" s="21">
        <f>30</f>
        <v>30</v>
      </c>
    </row>
    <row r="1100">
      <c r="B1100" s="20">
        <v>46284.0</v>
      </c>
      <c r="C1100" s="21">
        <f>7.2</f>
        <v>7.2</v>
      </c>
      <c r="D1100" s="21">
        <f t="shared" ref="D1100:F1100" si="1999">0</f>
        <v>0</v>
      </c>
      <c r="E1100" s="21">
        <f t="shared" si="1999"/>
        <v>0</v>
      </c>
      <c r="F1100" s="21">
        <f t="shared" si="1999"/>
        <v>0</v>
      </c>
      <c r="G1100" s="21">
        <f>28.8</f>
        <v>28.8</v>
      </c>
      <c r="H1100" s="21">
        <f t="shared" ref="H1100:O1100" si="2000">0</f>
        <v>0</v>
      </c>
      <c r="I1100" s="21">
        <f t="shared" si="2000"/>
        <v>0</v>
      </c>
      <c r="J1100" s="21">
        <f t="shared" si="2000"/>
        <v>0</v>
      </c>
      <c r="K1100" s="21">
        <f t="shared" si="2000"/>
        <v>0</v>
      </c>
      <c r="L1100" s="21">
        <f t="shared" si="2000"/>
        <v>0</v>
      </c>
      <c r="M1100" s="21">
        <f t="shared" si="2000"/>
        <v>0</v>
      </c>
      <c r="N1100" s="21">
        <f t="shared" si="2000"/>
        <v>0</v>
      </c>
      <c r="O1100" s="21">
        <f t="shared" si="2000"/>
        <v>0</v>
      </c>
    </row>
    <row r="1101">
      <c r="B1101" s="20">
        <v>46284.0</v>
      </c>
      <c r="C1101" s="21">
        <f>16.5</f>
        <v>16.5</v>
      </c>
      <c r="D1101" s="21">
        <f t="shared" ref="D1101:H1101" si="2001">0</f>
        <v>0</v>
      </c>
      <c r="E1101" s="21">
        <f t="shared" si="2001"/>
        <v>0</v>
      </c>
      <c r="F1101" s="21">
        <f t="shared" si="2001"/>
        <v>0</v>
      </c>
      <c r="G1101" s="21">
        <f t="shared" si="2001"/>
        <v>0</v>
      </c>
      <c r="H1101" s="21">
        <f t="shared" si="2001"/>
        <v>0</v>
      </c>
      <c r="I1101" s="21">
        <f>6.6</f>
        <v>6.6</v>
      </c>
      <c r="J1101" s="21">
        <f t="shared" ref="J1101:L1101" si="2002">0</f>
        <v>0</v>
      </c>
      <c r="K1101" s="21">
        <f t="shared" si="2002"/>
        <v>0</v>
      </c>
      <c r="L1101" s="21">
        <f t="shared" si="2002"/>
        <v>0</v>
      </c>
      <c r="M1101" s="21">
        <f>9.9</f>
        <v>9.9</v>
      </c>
      <c r="N1101" s="21">
        <f t="shared" ref="N1101:O1101" si="2003">0</f>
        <v>0</v>
      </c>
      <c r="O1101" s="21">
        <f t="shared" si="2003"/>
        <v>0</v>
      </c>
    </row>
    <row r="1102">
      <c r="B1102" s="20">
        <v>46284.0</v>
      </c>
      <c r="C1102" s="21">
        <f t="shared" ref="C1102:F1102" si="2004">0</f>
        <v>0</v>
      </c>
      <c r="D1102" s="21">
        <f t="shared" si="2004"/>
        <v>0</v>
      </c>
      <c r="E1102" s="21">
        <f t="shared" si="2004"/>
        <v>0</v>
      </c>
      <c r="F1102" s="21">
        <f t="shared" si="2004"/>
        <v>0</v>
      </c>
      <c r="G1102" s="21">
        <f>3.8</f>
        <v>3.8</v>
      </c>
      <c r="H1102" s="21">
        <f t="shared" ref="H1102:L1102" si="2005">0</f>
        <v>0</v>
      </c>
      <c r="I1102" s="21">
        <f t="shared" si="2005"/>
        <v>0</v>
      </c>
      <c r="J1102" s="21">
        <f t="shared" si="2005"/>
        <v>0</v>
      </c>
      <c r="K1102" s="21">
        <f t="shared" si="2005"/>
        <v>0</v>
      </c>
      <c r="L1102" s="21">
        <f t="shared" si="2005"/>
        <v>0</v>
      </c>
      <c r="M1102" s="21">
        <f>13.3</f>
        <v>13.3</v>
      </c>
      <c r="N1102" s="21">
        <f>0</f>
        <v>0</v>
      </c>
      <c r="O1102" s="21">
        <f>1.9</f>
        <v>1.9</v>
      </c>
    </row>
    <row r="1103">
      <c r="B1103" s="20">
        <v>46284.0</v>
      </c>
      <c r="C1103" s="21">
        <f>133</f>
        <v>133</v>
      </c>
      <c r="D1103" s="21">
        <f t="shared" ref="D1103:O1103" si="2006">0</f>
        <v>0</v>
      </c>
      <c r="E1103" s="21">
        <f t="shared" si="2006"/>
        <v>0</v>
      </c>
      <c r="F1103" s="21">
        <f t="shared" si="2006"/>
        <v>0</v>
      </c>
      <c r="G1103" s="21">
        <f t="shared" si="2006"/>
        <v>0</v>
      </c>
      <c r="H1103" s="21">
        <f t="shared" si="2006"/>
        <v>0</v>
      </c>
      <c r="I1103" s="21">
        <f t="shared" si="2006"/>
        <v>0</v>
      </c>
      <c r="J1103" s="21">
        <f t="shared" si="2006"/>
        <v>0</v>
      </c>
      <c r="K1103" s="21">
        <f t="shared" si="2006"/>
        <v>0</v>
      </c>
      <c r="L1103" s="21">
        <f t="shared" si="2006"/>
        <v>0</v>
      </c>
      <c r="M1103" s="21">
        <f t="shared" si="2006"/>
        <v>0</v>
      </c>
      <c r="N1103" s="21">
        <f t="shared" si="2006"/>
        <v>0</v>
      </c>
      <c r="O1103" s="21">
        <f t="shared" si="2006"/>
        <v>0</v>
      </c>
    </row>
    <row r="1104">
      <c r="B1104" s="20">
        <v>46284.0</v>
      </c>
      <c r="C1104" s="21">
        <v>0.0</v>
      </c>
      <c r="D1104" s="21">
        <v>0.0</v>
      </c>
      <c r="E1104" s="21">
        <v>0.0</v>
      </c>
      <c r="F1104" s="21">
        <v>0.0</v>
      </c>
      <c r="G1104" s="21">
        <v>0.0</v>
      </c>
      <c r="H1104" s="21">
        <v>0.0</v>
      </c>
      <c r="I1104" s="21">
        <v>0.0</v>
      </c>
      <c r="J1104" s="21">
        <v>0.0</v>
      </c>
      <c r="K1104" s="21">
        <v>0.0</v>
      </c>
      <c r="L1104" s="21">
        <v>0.0</v>
      </c>
      <c r="M1104" s="21">
        <v>0.0</v>
      </c>
      <c r="N1104" s="21">
        <v>0.0</v>
      </c>
      <c r="O1104" s="21">
        <f>58</f>
        <v>58</v>
      </c>
    </row>
    <row r="1105">
      <c r="B1105" s="20">
        <v>46284.0</v>
      </c>
      <c r="C1105" s="21">
        <f t="shared" ref="C1105:F1105" si="2007">0</f>
        <v>0</v>
      </c>
      <c r="D1105" s="21">
        <f t="shared" si="2007"/>
        <v>0</v>
      </c>
      <c r="E1105" s="21">
        <f t="shared" si="2007"/>
        <v>0</v>
      </c>
      <c r="F1105" s="21">
        <f t="shared" si="2007"/>
        <v>0</v>
      </c>
      <c r="G1105" s="21">
        <f>30.9</f>
        <v>30.9</v>
      </c>
      <c r="H1105" s="21">
        <f>51.5</f>
        <v>51.5</v>
      </c>
      <c r="I1105" s="21">
        <f>20.6</f>
        <v>20.6</v>
      </c>
      <c r="J1105" s="21">
        <f t="shared" ref="J1105:O1105" si="2008">0</f>
        <v>0</v>
      </c>
      <c r="K1105" s="21">
        <f t="shared" si="2008"/>
        <v>0</v>
      </c>
      <c r="L1105" s="21">
        <f t="shared" si="2008"/>
        <v>0</v>
      </c>
      <c r="M1105" s="21">
        <f t="shared" si="2008"/>
        <v>0</v>
      </c>
      <c r="N1105" s="21">
        <f t="shared" si="2008"/>
        <v>0</v>
      </c>
      <c r="O1105" s="21">
        <f t="shared" si="2008"/>
        <v>0</v>
      </c>
    </row>
    <row r="1106">
      <c r="B1106" s="20">
        <v>46284.0</v>
      </c>
      <c r="C1106" s="21">
        <v>0.0</v>
      </c>
      <c r="D1106" s="21">
        <v>0.0</v>
      </c>
      <c r="E1106" s="21">
        <v>0.0</v>
      </c>
      <c r="F1106" s="21">
        <v>0.0</v>
      </c>
      <c r="G1106" s="21">
        <v>0.0</v>
      </c>
      <c r="H1106" s="21">
        <v>0.0</v>
      </c>
      <c r="I1106" s="21">
        <v>0.0</v>
      </c>
      <c r="J1106" s="21">
        <v>0.0</v>
      </c>
      <c r="K1106" s="21">
        <v>0.0</v>
      </c>
      <c r="L1106" s="21">
        <v>0.0</v>
      </c>
      <c r="M1106" s="21">
        <v>0.0</v>
      </c>
      <c r="N1106" s="21">
        <v>0.0</v>
      </c>
      <c r="O1106" s="21">
        <f>19</f>
        <v>19</v>
      </c>
    </row>
    <row r="1107">
      <c r="B1107" s="20">
        <v>46284.0</v>
      </c>
      <c r="C1107" s="21">
        <v>0.0</v>
      </c>
      <c r="D1107" s="21">
        <v>0.0</v>
      </c>
      <c r="E1107" s="21">
        <v>0.0</v>
      </c>
      <c r="F1107" s="21">
        <v>0.0</v>
      </c>
      <c r="G1107" s="21">
        <v>0.0</v>
      </c>
      <c r="H1107" s="21">
        <v>0.0</v>
      </c>
      <c r="I1107" s="21">
        <v>0.0</v>
      </c>
      <c r="J1107" s="21">
        <v>0.0</v>
      </c>
      <c r="K1107" s="21">
        <v>0.0</v>
      </c>
      <c r="L1107" s="21">
        <v>0.0</v>
      </c>
      <c r="M1107" s="21">
        <v>0.0</v>
      </c>
      <c r="N1107" s="21">
        <v>0.0</v>
      </c>
      <c r="O1107" s="21">
        <f>40</f>
        <v>40</v>
      </c>
    </row>
    <row r="1108">
      <c r="B1108" s="20">
        <v>46285.0</v>
      </c>
      <c r="C1108" s="21">
        <f t="shared" ref="C1108:H1108" si="2009">0</f>
        <v>0</v>
      </c>
      <c r="D1108" s="21">
        <f t="shared" si="2009"/>
        <v>0</v>
      </c>
      <c r="E1108" s="21">
        <f t="shared" si="2009"/>
        <v>0</v>
      </c>
      <c r="F1108" s="21">
        <f t="shared" si="2009"/>
        <v>0</v>
      </c>
      <c r="G1108" s="21">
        <f t="shared" si="2009"/>
        <v>0</v>
      </c>
      <c r="H1108" s="21">
        <f t="shared" si="2009"/>
        <v>0</v>
      </c>
      <c r="I1108" s="21">
        <f>33</f>
        <v>33</v>
      </c>
      <c r="J1108" s="21">
        <f t="shared" ref="J1108:O1108" si="2010">0</f>
        <v>0</v>
      </c>
      <c r="K1108" s="21">
        <f t="shared" si="2010"/>
        <v>0</v>
      </c>
      <c r="L1108" s="21">
        <f t="shared" si="2010"/>
        <v>0</v>
      </c>
      <c r="M1108" s="21">
        <f t="shared" si="2010"/>
        <v>0</v>
      </c>
      <c r="N1108" s="21">
        <f t="shared" si="2010"/>
        <v>0</v>
      </c>
      <c r="O1108" s="21">
        <f t="shared" si="2010"/>
        <v>0</v>
      </c>
    </row>
    <row r="1109">
      <c r="B1109" s="20">
        <v>46285.0</v>
      </c>
      <c r="C1109" s="21">
        <f t="shared" ref="C1109:H1109" si="2011">0</f>
        <v>0</v>
      </c>
      <c r="D1109" s="21">
        <f t="shared" si="2011"/>
        <v>0</v>
      </c>
      <c r="E1109" s="21">
        <f t="shared" si="2011"/>
        <v>0</v>
      </c>
      <c r="F1109" s="21">
        <f t="shared" si="2011"/>
        <v>0</v>
      </c>
      <c r="G1109" s="21">
        <f t="shared" si="2011"/>
        <v>0</v>
      </c>
      <c r="H1109" s="21">
        <f t="shared" si="2011"/>
        <v>0</v>
      </c>
      <c r="I1109" s="21">
        <f>44.8</f>
        <v>44.8</v>
      </c>
      <c r="J1109" s="21">
        <f t="shared" ref="J1109:L1109" si="2012">0</f>
        <v>0</v>
      </c>
      <c r="K1109" s="21">
        <f t="shared" si="2012"/>
        <v>0</v>
      </c>
      <c r="L1109" s="21">
        <f t="shared" si="2012"/>
        <v>0</v>
      </c>
      <c r="M1109" s="21">
        <f>11.2</f>
        <v>11.2</v>
      </c>
      <c r="N1109" s="21">
        <f t="shared" ref="N1109:O1109" si="2013">0</f>
        <v>0</v>
      </c>
      <c r="O1109" s="21">
        <f t="shared" si="2013"/>
        <v>0</v>
      </c>
    </row>
    <row r="1110">
      <c r="B1110" s="20">
        <v>46285.0</v>
      </c>
      <c r="C1110" s="21">
        <f>2.7</f>
        <v>2.7</v>
      </c>
      <c r="D1110" s="21">
        <f t="shared" ref="D1110:H1110" si="2014">0</f>
        <v>0</v>
      </c>
      <c r="E1110" s="21">
        <f t="shared" si="2014"/>
        <v>0</v>
      </c>
      <c r="F1110" s="21">
        <f t="shared" si="2014"/>
        <v>0</v>
      </c>
      <c r="G1110" s="21">
        <f t="shared" si="2014"/>
        <v>0</v>
      </c>
      <c r="H1110" s="21">
        <f t="shared" si="2014"/>
        <v>0</v>
      </c>
      <c r="I1110" s="21">
        <f>24.3</f>
        <v>24.3</v>
      </c>
      <c r="J1110" s="21">
        <f t="shared" ref="J1110:O1110" si="2015">0</f>
        <v>0</v>
      </c>
      <c r="K1110" s="21">
        <f t="shared" si="2015"/>
        <v>0</v>
      </c>
      <c r="L1110" s="21">
        <f t="shared" si="2015"/>
        <v>0</v>
      </c>
      <c r="M1110" s="21">
        <f t="shared" si="2015"/>
        <v>0</v>
      </c>
      <c r="N1110" s="21">
        <f t="shared" si="2015"/>
        <v>0</v>
      </c>
      <c r="O1110" s="21">
        <f t="shared" si="2015"/>
        <v>0</v>
      </c>
    </row>
    <row r="1111">
      <c r="B1111" s="20">
        <v>46285.0</v>
      </c>
      <c r="C1111" s="21">
        <f>6.4</f>
        <v>6.4</v>
      </c>
      <c r="D1111" s="21">
        <f t="shared" ref="D1111:H1111" si="2016">0</f>
        <v>0</v>
      </c>
      <c r="E1111" s="21">
        <f t="shared" si="2016"/>
        <v>0</v>
      </c>
      <c r="F1111" s="21">
        <f t="shared" si="2016"/>
        <v>0</v>
      </c>
      <c r="G1111" s="21">
        <f t="shared" si="2016"/>
        <v>0</v>
      </c>
      <c r="H1111" s="21">
        <f t="shared" si="2016"/>
        <v>0</v>
      </c>
      <c r="I1111" s="21">
        <f>6.4</f>
        <v>6.4</v>
      </c>
      <c r="J1111" s="21">
        <f t="shared" ref="J1111:L1111" si="2017">0</f>
        <v>0</v>
      </c>
      <c r="K1111" s="21">
        <f t="shared" si="2017"/>
        <v>0</v>
      </c>
      <c r="L1111" s="21">
        <f t="shared" si="2017"/>
        <v>0</v>
      </c>
      <c r="M1111" s="21">
        <f>9.6</f>
        <v>9.6</v>
      </c>
      <c r="N1111" s="21">
        <f>0</f>
        <v>0</v>
      </c>
      <c r="O1111" s="21">
        <f>9.6</f>
        <v>9.6</v>
      </c>
    </row>
    <row r="1112">
      <c r="B1112" s="20">
        <v>46285.0</v>
      </c>
      <c r="C1112" s="21">
        <f>3.2</f>
        <v>3.2</v>
      </c>
      <c r="D1112" s="21">
        <f t="shared" ref="D1112:H1112" si="2018">0</f>
        <v>0</v>
      </c>
      <c r="E1112" s="21">
        <f t="shared" si="2018"/>
        <v>0</v>
      </c>
      <c r="F1112" s="21">
        <f t="shared" si="2018"/>
        <v>0</v>
      </c>
      <c r="G1112" s="21">
        <f t="shared" si="2018"/>
        <v>0</v>
      </c>
      <c r="H1112" s="21">
        <f t="shared" si="2018"/>
        <v>0</v>
      </c>
      <c r="I1112" s="21">
        <f>12.8</f>
        <v>12.8</v>
      </c>
      <c r="J1112" s="21">
        <f t="shared" ref="J1112:O1112" si="2019">0</f>
        <v>0</v>
      </c>
      <c r="K1112" s="21">
        <f t="shared" si="2019"/>
        <v>0</v>
      </c>
      <c r="L1112" s="21">
        <f t="shared" si="2019"/>
        <v>0</v>
      </c>
      <c r="M1112" s="21">
        <f t="shared" si="2019"/>
        <v>0</v>
      </c>
      <c r="N1112" s="21">
        <f t="shared" si="2019"/>
        <v>0</v>
      </c>
      <c r="O1112" s="21">
        <f t="shared" si="2019"/>
        <v>0</v>
      </c>
    </row>
    <row r="1113">
      <c r="B1113" s="20">
        <v>46285.0</v>
      </c>
      <c r="C1113" s="21">
        <f t="shared" ref="C1113:L1113" si="2020">0</f>
        <v>0</v>
      </c>
      <c r="D1113" s="21">
        <f t="shared" si="2020"/>
        <v>0</v>
      </c>
      <c r="E1113" s="21">
        <f t="shared" si="2020"/>
        <v>0</v>
      </c>
      <c r="F1113" s="21">
        <f t="shared" si="2020"/>
        <v>0</v>
      </c>
      <c r="G1113" s="21">
        <f t="shared" si="2020"/>
        <v>0</v>
      </c>
      <c r="H1113" s="21">
        <f t="shared" si="2020"/>
        <v>0</v>
      </c>
      <c r="I1113" s="21">
        <f t="shared" si="2020"/>
        <v>0</v>
      </c>
      <c r="J1113" s="21">
        <f t="shared" si="2020"/>
        <v>0</v>
      </c>
      <c r="K1113" s="21">
        <f t="shared" si="2020"/>
        <v>0</v>
      </c>
      <c r="L1113" s="21">
        <f t="shared" si="2020"/>
        <v>0</v>
      </c>
      <c r="M1113" s="21">
        <f>26</f>
        <v>26</v>
      </c>
      <c r="N1113" s="21">
        <f t="shared" ref="N1113:O1113" si="2021">0</f>
        <v>0</v>
      </c>
      <c r="O1113" s="21">
        <f t="shared" si="2021"/>
        <v>0</v>
      </c>
    </row>
    <row r="1114">
      <c r="B1114" s="20">
        <v>46287.0</v>
      </c>
      <c r="C1114" s="21">
        <f t="shared" ref="C1114:H1114" si="2022">0</f>
        <v>0</v>
      </c>
      <c r="D1114" s="21">
        <f t="shared" si="2022"/>
        <v>0</v>
      </c>
      <c r="E1114" s="21">
        <f t="shared" si="2022"/>
        <v>0</v>
      </c>
      <c r="F1114" s="21">
        <f t="shared" si="2022"/>
        <v>0</v>
      </c>
      <c r="G1114" s="21">
        <f t="shared" si="2022"/>
        <v>0</v>
      </c>
      <c r="H1114" s="21">
        <f t="shared" si="2022"/>
        <v>0</v>
      </c>
      <c r="I1114" s="21">
        <f>20</f>
        <v>20</v>
      </c>
      <c r="J1114" s="21">
        <f>0</f>
        <v>0</v>
      </c>
      <c r="K1114" s="21">
        <f>80</f>
        <v>80</v>
      </c>
      <c r="L1114" s="21">
        <f t="shared" ref="L1114:O1114" si="2023">0</f>
        <v>0</v>
      </c>
      <c r="M1114" s="21">
        <f t="shared" si="2023"/>
        <v>0</v>
      </c>
      <c r="N1114" s="21">
        <f t="shared" si="2023"/>
        <v>0</v>
      </c>
      <c r="O1114" s="21">
        <f t="shared" si="2023"/>
        <v>0</v>
      </c>
    </row>
    <row r="1115">
      <c r="B1115" s="20">
        <v>46287.0</v>
      </c>
      <c r="C1115" s="21">
        <f t="shared" ref="C1115:F1115" si="2024">0</f>
        <v>0</v>
      </c>
      <c r="D1115" s="21">
        <f t="shared" si="2024"/>
        <v>0</v>
      </c>
      <c r="E1115" s="21">
        <f t="shared" si="2024"/>
        <v>0</v>
      </c>
      <c r="F1115" s="21">
        <f t="shared" si="2024"/>
        <v>0</v>
      </c>
      <c r="G1115" s="21">
        <f>47</f>
        <v>47</v>
      </c>
      <c r="H1115" s="21">
        <f t="shared" ref="H1115:O1115" si="2025">0</f>
        <v>0</v>
      </c>
      <c r="I1115" s="21">
        <f t="shared" si="2025"/>
        <v>0</v>
      </c>
      <c r="J1115" s="21">
        <f t="shared" si="2025"/>
        <v>0</v>
      </c>
      <c r="K1115" s="21">
        <f t="shared" si="2025"/>
        <v>0</v>
      </c>
      <c r="L1115" s="21">
        <f t="shared" si="2025"/>
        <v>0</v>
      </c>
      <c r="M1115" s="21">
        <f t="shared" si="2025"/>
        <v>0</v>
      </c>
      <c r="N1115" s="21">
        <f t="shared" si="2025"/>
        <v>0</v>
      </c>
      <c r="O1115" s="21">
        <f t="shared" si="2025"/>
        <v>0</v>
      </c>
    </row>
    <row r="1116">
      <c r="B1116" s="20">
        <v>46287.0</v>
      </c>
      <c r="C1116" s="21">
        <f>21.6</f>
        <v>21.6</v>
      </c>
      <c r="D1116" s="21">
        <f t="shared" ref="D1116:H1116" si="2026">0</f>
        <v>0</v>
      </c>
      <c r="E1116" s="21">
        <f t="shared" si="2026"/>
        <v>0</v>
      </c>
      <c r="F1116" s="21">
        <f t="shared" si="2026"/>
        <v>0</v>
      </c>
      <c r="G1116" s="21">
        <f t="shared" si="2026"/>
        <v>0</v>
      </c>
      <c r="H1116" s="21">
        <f t="shared" si="2026"/>
        <v>0</v>
      </c>
      <c r="I1116" s="21">
        <f>14.4</f>
        <v>14.4</v>
      </c>
      <c r="J1116" s="21">
        <f t="shared" ref="J1116:O1116" si="2027">0</f>
        <v>0</v>
      </c>
      <c r="K1116" s="21">
        <f t="shared" si="2027"/>
        <v>0</v>
      </c>
      <c r="L1116" s="21">
        <f t="shared" si="2027"/>
        <v>0</v>
      </c>
      <c r="M1116" s="21">
        <f t="shared" si="2027"/>
        <v>0</v>
      </c>
      <c r="N1116" s="21">
        <f t="shared" si="2027"/>
        <v>0</v>
      </c>
      <c r="O1116" s="21">
        <f t="shared" si="2027"/>
        <v>0</v>
      </c>
    </row>
    <row r="1117">
      <c r="B1117" s="20">
        <v>46287.0</v>
      </c>
      <c r="C1117" s="21">
        <f t="shared" ref="C1117:H1117" si="2028">0</f>
        <v>0</v>
      </c>
      <c r="D1117" s="21">
        <f t="shared" si="2028"/>
        <v>0</v>
      </c>
      <c r="E1117" s="21">
        <f t="shared" si="2028"/>
        <v>0</v>
      </c>
      <c r="F1117" s="21">
        <f t="shared" si="2028"/>
        <v>0</v>
      </c>
      <c r="G1117" s="21">
        <f t="shared" si="2028"/>
        <v>0</v>
      </c>
      <c r="H1117" s="21">
        <f t="shared" si="2028"/>
        <v>0</v>
      </c>
      <c r="I1117" s="21">
        <f>16</f>
        <v>16</v>
      </c>
      <c r="J1117" s="21">
        <f t="shared" ref="J1117:M1117" si="2029">0</f>
        <v>0</v>
      </c>
      <c r="K1117" s="21">
        <f t="shared" si="2029"/>
        <v>0</v>
      </c>
      <c r="L1117" s="21">
        <f t="shared" si="2029"/>
        <v>0</v>
      </c>
      <c r="M1117" s="21">
        <f t="shared" si="2029"/>
        <v>0</v>
      </c>
      <c r="N1117" s="21">
        <f>16</f>
        <v>16</v>
      </c>
      <c r="O1117" s="21">
        <f>0</f>
        <v>0</v>
      </c>
    </row>
    <row r="1118">
      <c r="B1118" s="20">
        <v>46287.0</v>
      </c>
      <c r="C1118" s="21">
        <f>6.4</f>
        <v>6.4</v>
      </c>
      <c r="D1118" s="21">
        <f t="shared" ref="D1118:H1118" si="2030">0</f>
        <v>0</v>
      </c>
      <c r="E1118" s="21">
        <f t="shared" si="2030"/>
        <v>0</v>
      </c>
      <c r="F1118" s="21">
        <f t="shared" si="2030"/>
        <v>0</v>
      </c>
      <c r="G1118" s="21">
        <f t="shared" si="2030"/>
        <v>0</v>
      </c>
      <c r="H1118" s="21">
        <f t="shared" si="2030"/>
        <v>0</v>
      </c>
      <c r="I1118" s="21">
        <f>57.6</f>
        <v>57.6</v>
      </c>
      <c r="J1118" s="21">
        <f t="shared" ref="J1118:O1118" si="2031">0</f>
        <v>0</v>
      </c>
      <c r="K1118" s="21">
        <f t="shared" si="2031"/>
        <v>0</v>
      </c>
      <c r="L1118" s="21">
        <f t="shared" si="2031"/>
        <v>0</v>
      </c>
      <c r="M1118" s="21">
        <f t="shared" si="2031"/>
        <v>0</v>
      </c>
      <c r="N1118" s="21">
        <f t="shared" si="2031"/>
        <v>0</v>
      </c>
      <c r="O1118" s="21">
        <f t="shared" si="2031"/>
        <v>0</v>
      </c>
    </row>
    <row r="1119">
      <c r="B1119" s="20">
        <v>46287.0</v>
      </c>
      <c r="C1119" s="21">
        <f t="shared" ref="C1119:F1119" si="2032">0</f>
        <v>0</v>
      </c>
      <c r="D1119" s="21">
        <f t="shared" si="2032"/>
        <v>0</v>
      </c>
      <c r="E1119" s="21">
        <f t="shared" si="2032"/>
        <v>0</v>
      </c>
      <c r="F1119" s="21">
        <f t="shared" si="2032"/>
        <v>0</v>
      </c>
      <c r="G1119" s="21">
        <f>6.8</f>
        <v>6.8</v>
      </c>
      <c r="H1119" s="21">
        <f t="shared" ref="H1119:H1121" si="2035">0</f>
        <v>0</v>
      </c>
      <c r="I1119" s="21">
        <f>27.2</f>
        <v>27.2</v>
      </c>
      <c r="J1119" s="21">
        <f t="shared" ref="J1119:O1119" si="2033">0</f>
        <v>0</v>
      </c>
      <c r="K1119" s="21">
        <f t="shared" si="2033"/>
        <v>0</v>
      </c>
      <c r="L1119" s="21">
        <f t="shared" si="2033"/>
        <v>0</v>
      </c>
      <c r="M1119" s="21">
        <f t="shared" si="2033"/>
        <v>0</v>
      </c>
      <c r="N1119" s="21">
        <f t="shared" si="2033"/>
        <v>0</v>
      </c>
      <c r="O1119" s="21">
        <f t="shared" si="2033"/>
        <v>0</v>
      </c>
    </row>
    <row r="1120">
      <c r="B1120" s="20">
        <v>46287.0</v>
      </c>
      <c r="C1120" s="21">
        <f t="shared" ref="C1120:D1120" si="2034">0</f>
        <v>0</v>
      </c>
      <c r="D1120" s="21">
        <f t="shared" si="2034"/>
        <v>0</v>
      </c>
      <c r="E1120" s="21">
        <f>94.2</f>
        <v>94.2</v>
      </c>
      <c r="F1120" s="21">
        <f t="shared" ref="F1120:F1121" si="2038">0</f>
        <v>0</v>
      </c>
      <c r="G1120" s="21">
        <f>47.1</f>
        <v>47.1</v>
      </c>
      <c r="H1120" s="21">
        <f t="shared" si="2035"/>
        <v>0</v>
      </c>
      <c r="I1120" s="21">
        <f t="shared" ref="I1120:N1120" si="2036">0</f>
        <v>0</v>
      </c>
      <c r="J1120" s="21">
        <f t="shared" si="2036"/>
        <v>0</v>
      </c>
      <c r="K1120" s="21">
        <f t="shared" si="2036"/>
        <v>0</v>
      </c>
      <c r="L1120" s="21">
        <f t="shared" si="2036"/>
        <v>0</v>
      </c>
      <c r="M1120" s="21">
        <f t="shared" si="2036"/>
        <v>0</v>
      </c>
      <c r="N1120" s="21">
        <f t="shared" si="2036"/>
        <v>0</v>
      </c>
      <c r="O1120" s="21">
        <f>15.7</f>
        <v>15.7</v>
      </c>
    </row>
    <row r="1121">
      <c r="B1121" s="20">
        <v>46287.0</v>
      </c>
      <c r="C1121" s="21">
        <f t="shared" ref="C1121:D1121" si="2037">0</f>
        <v>0</v>
      </c>
      <c r="D1121" s="21">
        <f t="shared" si="2037"/>
        <v>0</v>
      </c>
      <c r="E1121" s="21">
        <f>42.6</f>
        <v>42.6</v>
      </c>
      <c r="F1121" s="21">
        <f t="shared" si="2038"/>
        <v>0</v>
      </c>
      <c r="G1121" s="21">
        <f>14.2</f>
        <v>14.2</v>
      </c>
      <c r="H1121" s="21">
        <f t="shared" si="2035"/>
        <v>0</v>
      </c>
      <c r="I1121" s="21">
        <f>85.2</f>
        <v>85.2</v>
      </c>
      <c r="J1121" s="21">
        <f t="shared" ref="J1121:O1121" si="2039">0</f>
        <v>0</v>
      </c>
      <c r="K1121" s="21">
        <f t="shared" si="2039"/>
        <v>0</v>
      </c>
      <c r="L1121" s="21">
        <f t="shared" si="2039"/>
        <v>0</v>
      </c>
      <c r="M1121" s="21">
        <f t="shared" si="2039"/>
        <v>0</v>
      </c>
      <c r="N1121" s="21">
        <f t="shared" si="2039"/>
        <v>0</v>
      </c>
      <c r="O1121" s="21">
        <f t="shared" si="2039"/>
        <v>0</v>
      </c>
    </row>
    <row r="1122">
      <c r="B1122" s="20">
        <v>46287.0</v>
      </c>
      <c r="C1122" s="21">
        <f t="shared" ref="C1122:H1122" si="2040">0</f>
        <v>0</v>
      </c>
      <c r="D1122" s="21">
        <f t="shared" si="2040"/>
        <v>0</v>
      </c>
      <c r="E1122" s="21">
        <f t="shared" si="2040"/>
        <v>0</v>
      </c>
      <c r="F1122" s="21">
        <f t="shared" si="2040"/>
        <v>0</v>
      </c>
      <c r="G1122" s="21">
        <f t="shared" si="2040"/>
        <v>0</v>
      </c>
      <c r="H1122" s="21">
        <f t="shared" si="2040"/>
        <v>0</v>
      </c>
      <c r="I1122" s="21">
        <f>51</f>
        <v>51</v>
      </c>
      <c r="J1122" s="21">
        <f t="shared" ref="J1122:O1122" si="2041">0</f>
        <v>0</v>
      </c>
      <c r="K1122" s="21">
        <f t="shared" si="2041"/>
        <v>0</v>
      </c>
      <c r="L1122" s="21">
        <f t="shared" si="2041"/>
        <v>0</v>
      </c>
      <c r="M1122" s="21">
        <f t="shared" si="2041"/>
        <v>0</v>
      </c>
      <c r="N1122" s="21">
        <f t="shared" si="2041"/>
        <v>0</v>
      </c>
      <c r="O1122" s="21">
        <f t="shared" si="2041"/>
        <v>0</v>
      </c>
    </row>
    <row r="1123">
      <c r="B1123" s="20">
        <v>46287.0</v>
      </c>
      <c r="C1123" s="21">
        <v>0.0</v>
      </c>
      <c r="D1123" s="21">
        <v>0.0</v>
      </c>
      <c r="E1123" s="21">
        <v>0.0</v>
      </c>
      <c r="F1123" s="21">
        <v>0.0</v>
      </c>
      <c r="G1123" s="21">
        <v>0.0</v>
      </c>
      <c r="H1123" s="21">
        <v>0.0</v>
      </c>
      <c r="I1123" s="21">
        <v>0.0</v>
      </c>
      <c r="J1123" s="21">
        <v>0.0</v>
      </c>
      <c r="K1123" s="21">
        <v>0.0</v>
      </c>
      <c r="L1123" s="21">
        <v>0.0</v>
      </c>
      <c r="M1123" s="21">
        <v>0.0</v>
      </c>
      <c r="N1123" s="21">
        <v>0.0</v>
      </c>
      <c r="O1123" s="21">
        <f>24</f>
        <v>24</v>
      </c>
    </row>
    <row r="1124">
      <c r="B1124" s="20">
        <v>46287.0</v>
      </c>
      <c r="C1124" s="21">
        <f t="shared" ref="C1124:D1124" si="2042">0</f>
        <v>0</v>
      </c>
      <c r="D1124" s="21">
        <f t="shared" si="2042"/>
        <v>0</v>
      </c>
      <c r="E1124" s="21">
        <f>12.8</f>
        <v>12.8</v>
      </c>
      <c r="F1124" s="21">
        <f t="shared" ref="F1124:H1124" si="2043">0</f>
        <v>0</v>
      </c>
      <c r="G1124" s="21">
        <f t="shared" si="2043"/>
        <v>0</v>
      </c>
      <c r="H1124" s="21">
        <f t="shared" si="2043"/>
        <v>0</v>
      </c>
      <c r="I1124" s="21">
        <f>19.2</f>
        <v>19.2</v>
      </c>
      <c r="J1124" s="21">
        <f t="shared" ref="J1124:L1124" si="2044">0</f>
        <v>0</v>
      </c>
      <c r="K1124" s="21">
        <f t="shared" si="2044"/>
        <v>0</v>
      </c>
      <c r="L1124" s="21">
        <f t="shared" si="2044"/>
        <v>0</v>
      </c>
      <c r="M1124" s="21">
        <f>32</f>
        <v>32</v>
      </c>
      <c r="N1124" s="21">
        <f t="shared" ref="N1124:O1124" si="2045">0</f>
        <v>0</v>
      </c>
      <c r="O1124" s="21">
        <f t="shared" si="2045"/>
        <v>0</v>
      </c>
    </row>
    <row r="1125">
      <c r="B1125" s="20">
        <v>46287.0</v>
      </c>
      <c r="C1125" s="21">
        <f t="shared" ref="C1125:H1125" si="2046">0</f>
        <v>0</v>
      </c>
      <c r="D1125" s="21">
        <f t="shared" si="2046"/>
        <v>0</v>
      </c>
      <c r="E1125" s="21">
        <f t="shared" si="2046"/>
        <v>0</v>
      </c>
      <c r="F1125" s="21">
        <f t="shared" si="2046"/>
        <v>0</v>
      </c>
      <c r="G1125" s="21">
        <f t="shared" si="2046"/>
        <v>0</v>
      </c>
      <c r="H1125" s="21">
        <f t="shared" si="2046"/>
        <v>0</v>
      </c>
      <c r="I1125" s="21">
        <f>60</f>
        <v>60</v>
      </c>
      <c r="J1125" s="21">
        <f t="shared" ref="J1125:O1125" si="2047">0</f>
        <v>0</v>
      </c>
      <c r="K1125" s="21">
        <f t="shared" si="2047"/>
        <v>0</v>
      </c>
      <c r="L1125" s="21">
        <f t="shared" si="2047"/>
        <v>0</v>
      </c>
      <c r="M1125" s="21">
        <f t="shared" si="2047"/>
        <v>0</v>
      </c>
      <c r="N1125" s="21">
        <f t="shared" si="2047"/>
        <v>0</v>
      </c>
      <c r="O1125" s="21">
        <f t="shared" si="2047"/>
        <v>0</v>
      </c>
    </row>
    <row r="1126">
      <c r="B1126" s="20">
        <v>46287.0</v>
      </c>
      <c r="C1126" s="21">
        <f t="shared" ref="C1126:E1126" si="2048">0</f>
        <v>0</v>
      </c>
      <c r="D1126" s="21">
        <f t="shared" si="2048"/>
        <v>0</v>
      </c>
      <c r="E1126" s="21">
        <f t="shared" si="2048"/>
        <v>0</v>
      </c>
      <c r="F1126" s="21">
        <f>10.4</f>
        <v>10.4</v>
      </c>
      <c r="G1126" s="21">
        <f>31.2</f>
        <v>31.2</v>
      </c>
      <c r="H1126" s="21">
        <f t="shared" ref="H1126:N1126" si="2049">0</f>
        <v>0</v>
      </c>
      <c r="I1126" s="21">
        <f t="shared" si="2049"/>
        <v>0</v>
      </c>
      <c r="J1126" s="21">
        <f t="shared" si="2049"/>
        <v>0</v>
      </c>
      <c r="K1126" s="21">
        <f t="shared" si="2049"/>
        <v>0</v>
      </c>
      <c r="L1126" s="21">
        <f t="shared" si="2049"/>
        <v>0</v>
      </c>
      <c r="M1126" s="21">
        <f t="shared" si="2049"/>
        <v>0</v>
      </c>
      <c r="N1126" s="21">
        <f t="shared" si="2049"/>
        <v>0</v>
      </c>
      <c r="O1126" s="21">
        <f>10.4</f>
        <v>10.4</v>
      </c>
    </row>
    <row r="1127">
      <c r="B1127" s="20">
        <v>46287.0</v>
      </c>
      <c r="C1127" s="21">
        <f t="shared" ref="C1127:F1127" si="2050">0</f>
        <v>0</v>
      </c>
      <c r="D1127" s="21">
        <f t="shared" si="2050"/>
        <v>0</v>
      </c>
      <c r="E1127" s="21">
        <f t="shared" si="2050"/>
        <v>0</v>
      </c>
      <c r="F1127" s="21">
        <f t="shared" si="2050"/>
        <v>0</v>
      </c>
      <c r="G1127" s="21">
        <f>8.3</f>
        <v>8.3</v>
      </c>
      <c r="H1127" s="21">
        <f>0</f>
        <v>0</v>
      </c>
      <c r="I1127" s="21">
        <f>24.9</f>
        <v>24.9</v>
      </c>
      <c r="J1127" s="21">
        <f t="shared" ref="J1127:M1127" si="2051">0</f>
        <v>0</v>
      </c>
      <c r="K1127" s="21">
        <f t="shared" si="2051"/>
        <v>0</v>
      </c>
      <c r="L1127" s="21">
        <f t="shared" si="2051"/>
        <v>0</v>
      </c>
      <c r="M1127" s="21">
        <f t="shared" si="2051"/>
        <v>0</v>
      </c>
      <c r="N1127" s="21">
        <f>49.8</f>
        <v>49.8</v>
      </c>
      <c r="O1127" s="21">
        <f>0</f>
        <v>0</v>
      </c>
    </row>
    <row r="1128">
      <c r="B1128" s="20">
        <v>46287.0</v>
      </c>
      <c r="C1128" s="21">
        <f t="shared" ref="C1128:N1128" si="2052">0</f>
        <v>0</v>
      </c>
      <c r="D1128" s="21">
        <f t="shared" si="2052"/>
        <v>0</v>
      </c>
      <c r="E1128" s="21">
        <f t="shared" si="2052"/>
        <v>0</v>
      </c>
      <c r="F1128" s="21">
        <f t="shared" si="2052"/>
        <v>0</v>
      </c>
      <c r="G1128" s="21">
        <f t="shared" si="2052"/>
        <v>0</v>
      </c>
      <c r="H1128" s="21">
        <f t="shared" si="2052"/>
        <v>0</v>
      </c>
      <c r="I1128" s="21">
        <f t="shared" si="2052"/>
        <v>0</v>
      </c>
      <c r="J1128" s="21">
        <f t="shared" si="2052"/>
        <v>0</v>
      </c>
      <c r="K1128" s="21">
        <f t="shared" si="2052"/>
        <v>0</v>
      </c>
      <c r="L1128" s="21">
        <f t="shared" si="2052"/>
        <v>0</v>
      </c>
      <c r="M1128" s="21">
        <f t="shared" si="2052"/>
        <v>0</v>
      </c>
      <c r="N1128" s="21">
        <f t="shared" si="2052"/>
        <v>0</v>
      </c>
      <c r="O1128" s="21">
        <f>26</f>
        <v>26</v>
      </c>
    </row>
    <row r="1129">
      <c r="B1129" s="20">
        <v>46287.0</v>
      </c>
      <c r="C1129" s="21">
        <f t="shared" ref="C1129:F1129" si="2053">0</f>
        <v>0</v>
      </c>
      <c r="D1129" s="21">
        <f t="shared" si="2053"/>
        <v>0</v>
      </c>
      <c r="E1129" s="21">
        <f t="shared" si="2053"/>
        <v>0</v>
      </c>
      <c r="F1129" s="21">
        <f t="shared" si="2053"/>
        <v>0</v>
      </c>
      <c r="G1129" s="21">
        <f>3.4</f>
        <v>3.4</v>
      </c>
      <c r="H1129" s="21">
        <f t="shared" ref="H1129:L1129" si="2054">0</f>
        <v>0</v>
      </c>
      <c r="I1129" s="21">
        <f t="shared" si="2054"/>
        <v>0</v>
      </c>
      <c r="J1129" s="21">
        <f t="shared" si="2054"/>
        <v>0</v>
      </c>
      <c r="K1129" s="21">
        <f t="shared" si="2054"/>
        <v>0</v>
      </c>
      <c r="L1129" s="21">
        <f t="shared" si="2054"/>
        <v>0</v>
      </c>
      <c r="M1129" s="21">
        <f>3.4</f>
        <v>3.4</v>
      </c>
      <c r="N1129" s="21">
        <f>0</f>
        <v>0</v>
      </c>
      <c r="O1129" s="21">
        <f>61.2</f>
        <v>61.2</v>
      </c>
    </row>
    <row r="1130">
      <c r="B1130" s="20">
        <v>46288.0</v>
      </c>
      <c r="C1130" s="21">
        <v>0.0</v>
      </c>
      <c r="D1130" s="21">
        <v>0.0</v>
      </c>
      <c r="E1130" s="21">
        <v>0.0</v>
      </c>
      <c r="F1130" s="21">
        <v>0.0</v>
      </c>
      <c r="G1130" s="21">
        <v>0.0</v>
      </c>
      <c r="H1130" s="21">
        <v>0.0</v>
      </c>
      <c r="I1130" s="21">
        <v>0.0</v>
      </c>
      <c r="J1130" s="21">
        <v>0.0</v>
      </c>
      <c r="K1130" s="21">
        <v>0.0</v>
      </c>
      <c r="L1130" s="21">
        <v>0.0</v>
      </c>
      <c r="M1130" s="21">
        <v>0.0</v>
      </c>
      <c r="N1130" s="21">
        <v>0.0</v>
      </c>
      <c r="O1130" s="21">
        <f>79.6</f>
        <v>79.6</v>
      </c>
    </row>
    <row r="1131">
      <c r="B1131" s="20">
        <v>46288.0</v>
      </c>
      <c r="C1131" s="21">
        <v>0.0</v>
      </c>
      <c r="D1131" s="21">
        <v>0.0</v>
      </c>
      <c r="E1131" s="21">
        <v>0.0</v>
      </c>
      <c r="F1131" s="21">
        <v>0.0</v>
      </c>
      <c r="G1131" s="21">
        <v>0.0</v>
      </c>
      <c r="H1131" s="21">
        <v>0.0</v>
      </c>
      <c r="I1131" s="21">
        <v>0.0</v>
      </c>
      <c r="J1131" s="21">
        <v>0.0</v>
      </c>
      <c r="K1131" s="21">
        <v>0.0</v>
      </c>
      <c r="L1131" s="21">
        <v>0.0</v>
      </c>
      <c r="M1131" s="21">
        <v>0.0</v>
      </c>
      <c r="N1131" s="21">
        <v>0.0</v>
      </c>
      <c r="O1131" s="21">
        <f>41</f>
        <v>41</v>
      </c>
    </row>
    <row r="1132">
      <c r="B1132" s="20">
        <v>46288.0</v>
      </c>
      <c r="C1132" s="21">
        <v>0.0</v>
      </c>
      <c r="D1132" s="21">
        <v>0.0</v>
      </c>
      <c r="E1132" s="21">
        <v>0.0</v>
      </c>
      <c r="F1132" s="21">
        <v>0.0</v>
      </c>
      <c r="G1132" s="21">
        <v>0.0</v>
      </c>
      <c r="H1132" s="21">
        <v>0.0</v>
      </c>
      <c r="I1132" s="21">
        <v>0.0</v>
      </c>
      <c r="J1132" s="21">
        <v>0.0</v>
      </c>
      <c r="K1132" s="21">
        <v>0.0</v>
      </c>
      <c r="L1132" s="21">
        <v>0.0</v>
      </c>
      <c r="M1132" s="21">
        <v>0.0</v>
      </c>
      <c r="N1132" s="21">
        <v>0.0</v>
      </c>
      <c r="O1132" s="21">
        <f>67.6</f>
        <v>67.6</v>
      </c>
    </row>
    <row r="1133">
      <c r="B1133" s="20">
        <v>46288.0</v>
      </c>
      <c r="C1133" s="21">
        <v>0.0</v>
      </c>
      <c r="D1133" s="21">
        <v>0.0</v>
      </c>
      <c r="E1133" s="21">
        <v>0.0</v>
      </c>
      <c r="F1133" s="21">
        <v>0.0</v>
      </c>
      <c r="G1133" s="21">
        <v>0.0</v>
      </c>
      <c r="H1133" s="21">
        <v>0.0</v>
      </c>
      <c r="I1133" s="21">
        <v>0.0</v>
      </c>
      <c r="J1133" s="21">
        <v>0.0</v>
      </c>
      <c r="K1133" s="21">
        <v>0.0</v>
      </c>
      <c r="L1133" s="21">
        <v>0.0</v>
      </c>
      <c r="M1133" s="21">
        <v>0.0</v>
      </c>
      <c r="N1133" s="21">
        <v>0.0</v>
      </c>
      <c r="O1133" s="28">
        <f>49.5999999999999</f>
        <v>49.6</v>
      </c>
    </row>
    <row r="1134">
      <c r="B1134" s="20">
        <v>46288.0</v>
      </c>
      <c r="C1134" s="21">
        <v>0.0</v>
      </c>
      <c r="D1134" s="21">
        <v>0.0</v>
      </c>
      <c r="E1134" s="21">
        <v>0.0</v>
      </c>
      <c r="F1134" s="21">
        <v>0.0</v>
      </c>
      <c r="G1134" s="21">
        <v>0.0</v>
      </c>
      <c r="H1134" s="21">
        <v>0.0</v>
      </c>
      <c r="I1134" s="21">
        <v>0.0</v>
      </c>
      <c r="J1134" s="21">
        <v>0.0</v>
      </c>
      <c r="K1134" s="21">
        <v>0.0</v>
      </c>
      <c r="L1134" s="21">
        <v>0.0</v>
      </c>
      <c r="M1134" s="21">
        <v>0.0</v>
      </c>
      <c r="N1134" s="21">
        <v>0.0</v>
      </c>
      <c r="O1134" s="21">
        <f>64.6</f>
        <v>64.6</v>
      </c>
    </row>
    <row r="1135">
      <c r="B1135" s="20">
        <v>46288.0</v>
      </c>
      <c r="C1135" s="21">
        <f t="shared" ref="C1135:I1135" si="2055">0</f>
        <v>0</v>
      </c>
      <c r="D1135" s="21">
        <f t="shared" si="2055"/>
        <v>0</v>
      </c>
      <c r="E1135" s="21">
        <f t="shared" si="2055"/>
        <v>0</v>
      </c>
      <c r="F1135" s="21">
        <f t="shared" si="2055"/>
        <v>0</v>
      </c>
      <c r="G1135" s="21">
        <f t="shared" si="2055"/>
        <v>0</v>
      </c>
      <c r="H1135" s="21">
        <f t="shared" si="2055"/>
        <v>0</v>
      </c>
      <c r="I1135" s="21">
        <f t="shared" si="2055"/>
        <v>0</v>
      </c>
      <c r="J1135" s="21">
        <f>16</f>
        <v>16</v>
      </c>
      <c r="K1135" s="21">
        <f t="shared" ref="K1135:O1135" si="2056">0</f>
        <v>0</v>
      </c>
      <c r="L1135" s="21">
        <f t="shared" si="2056"/>
        <v>0</v>
      </c>
      <c r="M1135" s="21">
        <f t="shared" si="2056"/>
        <v>0</v>
      </c>
      <c r="N1135" s="21">
        <f t="shared" si="2056"/>
        <v>0</v>
      </c>
      <c r="O1135" s="21">
        <f t="shared" si="2056"/>
        <v>0</v>
      </c>
    </row>
    <row r="1136">
      <c r="B1136" s="20">
        <v>46288.0</v>
      </c>
      <c r="C1136" s="21">
        <f>19.2</f>
        <v>19.2</v>
      </c>
      <c r="D1136" s="21">
        <f>6.4</f>
        <v>6.4</v>
      </c>
      <c r="E1136" s="21">
        <f t="shared" ref="E1136:H1136" si="2057">0</f>
        <v>0</v>
      </c>
      <c r="F1136" s="21">
        <f t="shared" si="2057"/>
        <v>0</v>
      </c>
      <c r="G1136" s="21">
        <f t="shared" si="2057"/>
        <v>0</v>
      </c>
      <c r="H1136" s="21">
        <f t="shared" si="2057"/>
        <v>0</v>
      </c>
      <c r="I1136" s="21">
        <f>25.6</f>
        <v>25.6</v>
      </c>
      <c r="J1136" s="21">
        <f t="shared" ref="J1136:N1136" si="2058">0</f>
        <v>0</v>
      </c>
      <c r="K1136" s="21">
        <f t="shared" si="2058"/>
        <v>0</v>
      </c>
      <c r="L1136" s="21">
        <f t="shared" si="2058"/>
        <v>0</v>
      </c>
      <c r="M1136" s="21">
        <f t="shared" si="2058"/>
        <v>0</v>
      </c>
      <c r="N1136" s="21">
        <f t="shared" si="2058"/>
        <v>0</v>
      </c>
      <c r="O1136" s="21">
        <f>12.8</f>
        <v>12.8</v>
      </c>
    </row>
    <row r="1137">
      <c r="B1137" s="20">
        <v>46288.0</v>
      </c>
      <c r="C1137" s="21">
        <f t="shared" ref="C1137:H1137" si="2059">0</f>
        <v>0</v>
      </c>
      <c r="D1137" s="21">
        <f t="shared" si="2059"/>
        <v>0</v>
      </c>
      <c r="E1137" s="21">
        <f t="shared" si="2059"/>
        <v>0</v>
      </c>
      <c r="F1137" s="21">
        <f t="shared" si="2059"/>
        <v>0</v>
      </c>
      <c r="G1137" s="21">
        <f t="shared" si="2059"/>
        <v>0</v>
      </c>
      <c r="H1137" s="21">
        <f t="shared" si="2059"/>
        <v>0</v>
      </c>
      <c r="I1137" s="21">
        <f>59</f>
        <v>59</v>
      </c>
      <c r="J1137" s="21">
        <f t="shared" ref="J1137:O1137" si="2060">0</f>
        <v>0</v>
      </c>
      <c r="K1137" s="21">
        <f t="shared" si="2060"/>
        <v>0</v>
      </c>
      <c r="L1137" s="21">
        <f t="shared" si="2060"/>
        <v>0</v>
      </c>
      <c r="M1137" s="21">
        <f t="shared" si="2060"/>
        <v>0</v>
      </c>
      <c r="N1137" s="21">
        <f t="shared" si="2060"/>
        <v>0</v>
      </c>
      <c r="O1137" s="21">
        <f t="shared" si="2060"/>
        <v>0</v>
      </c>
    </row>
    <row r="1138">
      <c r="B1138" s="20">
        <v>46288.0</v>
      </c>
      <c r="C1138" s="21">
        <v>0.0</v>
      </c>
      <c r="D1138" s="21">
        <v>0.0</v>
      </c>
      <c r="E1138" s="21">
        <v>0.0</v>
      </c>
      <c r="F1138" s="21">
        <v>0.0</v>
      </c>
      <c r="G1138" s="21">
        <v>0.0</v>
      </c>
      <c r="H1138" s="21">
        <v>0.0</v>
      </c>
      <c r="I1138" s="21">
        <f>46</f>
        <v>46</v>
      </c>
      <c r="J1138" s="21">
        <v>0.0</v>
      </c>
      <c r="K1138" s="21">
        <v>0.0</v>
      </c>
      <c r="L1138" s="21">
        <v>0.0</v>
      </c>
      <c r="M1138" s="21">
        <v>0.0</v>
      </c>
      <c r="N1138" s="21">
        <v>0.0</v>
      </c>
      <c r="O1138" s="21">
        <v>0.0</v>
      </c>
    </row>
    <row r="1139">
      <c r="B1139" s="20">
        <v>46288.0</v>
      </c>
      <c r="C1139" s="21">
        <f>14</f>
        <v>14</v>
      </c>
      <c r="D1139" s="21">
        <f t="shared" ref="D1139:O1139" si="2061">0</f>
        <v>0</v>
      </c>
      <c r="E1139" s="21">
        <f t="shared" si="2061"/>
        <v>0</v>
      </c>
      <c r="F1139" s="21">
        <f t="shared" si="2061"/>
        <v>0</v>
      </c>
      <c r="G1139" s="21">
        <f t="shared" si="2061"/>
        <v>0</v>
      </c>
      <c r="H1139" s="21">
        <f t="shared" si="2061"/>
        <v>0</v>
      </c>
      <c r="I1139" s="21">
        <f t="shared" si="2061"/>
        <v>0</v>
      </c>
      <c r="J1139" s="21">
        <f t="shared" si="2061"/>
        <v>0</v>
      </c>
      <c r="K1139" s="21">
        <f t="shared" si="2061"/>
        <v>0</v>
      </c>
      <c r="L1139" s="21">
        <f t="shared" si="2061"/>
        <v>0</v>
      </c>
      <c r="M1139" s="21">
        <f t="shared" si="2061"/>
        <v>0</v>
      </c>
      <c r="N1139" s="21">
        <f t="shared" si="2061"/>
        <v>0</v>
      </c>
      <c r="O1139" s="21">
        <f t="shared" si="2061"/>
        <v>0</v>
      </c>
    </row>
    <row r="1140">
      <c r="B1140" s="20">
        <v>46288.0</v>
      </c>
      <c r="C1140" s="21">
        <f t="shared" ref="C1140:K1140" si="2062">0</f>
        <v>0</v>
      </c>
      <c r="D1140" s="21">
        <f t="shared" si="2062"/>
        <v>0</v>
      </c>
      <c r="E1140" s="21">
        <f t="shared" si="2062"/>
        <v>0</v>
      </c>
      <c r="F1140" s="21">
        <f t="shared" si="2062"/>
        <v>0</v>
      </c>
      <c r="G1140" s="21">
        <f t="shared" si="2062"/>
        <v>0</v>
      </c>
      <c r="H1140" s="21">
        <f t="shared" si="2062"/>
        <v>0</v>
      </c>
      <c r="I1140" s="21">
        <f t="shared" si="2062"/>
        <v>0</v>
      </c>
      <c r="J1140" s="21">
        <f t="shared" si="2062"/>
        <v>0</v>
      </c>
      <c r="K1140" s="21">
        <f t="shared" si="2062"/>
        <v>0</v>
      </c>
      <c r="L1140" s="21">
        <f>14</f>
        <v>14</v>
      </c>
      <c r="M1140" s="21">
        <f t="shared" ref="M1140:O1140" si="2063">0</f>
        <v>0</v>
      </c>
      <c r="N1140" s="21">
        <f t="shared" si="2063"/>
        <v>0</v>
      </c>
      <c r="O1140" s="21">
        <f t="shared" si="2063"/>
        <v>0</v>
      </c>
    </row>
    <row r="1141">
      <c r="B1141" s="20">
        <v>46288.0</v>
      </c>
      <c r="C1141" s="21">
        <f t="shared" ref="C1141:E1141" si="2064">0</f>
        <v>0</v>
      </c>
      <c r="D1141" s="21">
        <f t="shared" si="2064"/>
        <v>0</v>
      </c>
      <c r="E1141" s="21">
        <f t="shared" si="2064"/>
        <v>0</v>
      </c>
      <c r="F1141" s="21">
        <f>57</f>
        <v>57</v>
      </c>
      <c r="G1141" s="21">
        <f t="shared" ref="G1141:O1141" si="2065">0</f>
        <v>0</v>
      </c>
      <c r="H1141" s="21">
        <f t="shared" si="2065"/>
        <v>0</v>
      </c>
      <c r="I1141" s="21">
        <f t="shared" si="2065"/>
        <v>0</v>
      </c>
      <c r="J1141" s="21">
        <f t="shared" si="2065"/>
        <v>0</v>
      </c>
      <c r="K1141" s="21">
        <f t="shared" si="2065"/>
        <v>0</v>
      </c>
      <c r="L1141" s="21">
        <f t="shared" si="2065"/>
        <v>0</v>
      </c>
      <c r="M1141" s="21">
        <f t="shared" si="2065"/>
        <v>0</v>
      </c>
      <c r="N1141" s="21">
        <f t="shared" si="2065"/>
        <v>0</v>
      </c>
      <c r="O1141" s="21">
        <f t="shared" si="2065"/>
        <v>0</v>
      </c>
    </row>
    <row r="1142">
      <c r="B1142" s="20">
        <v>46288.0</v>
      </c>
      <c r="C1142" s="21">
        <f t="shared" ref="C1142:E1142" si="2066">0</f>
        <v>0</v>
      </c>
      <c r="D1142" s="21">
        <f t="shared" si="2066"/>
        <v>0</v>
      </c>
      <c r="E1142" s="21">
        <f t="shared" si="2066"/>
        <v>0</v>
      </c>
      <c r="F1142" s="21">
        <f t="shared" ref="F1142:F1143" si="2069">26</f>
        <v>26</v>
      </c>
      <c r="G1142" s="21">
        <f t="shared" ref="G1142:O1142" si="2067">0</f>
        <v>0</v>
      </c>
      <c r="H1142" s="21">
        <f t="shared" si="2067"/>
        <v>0</v>
      </c>
      <c r="I1142" s="21">
        <f t="shared" si="2067"/>
        <v>0</v>
      </c>
      <c r="J1142" s="21">
        <f t="shared" si="2067"/>
        <v>0</v>
      </c>
      <c r="K1142" s="21">
        <f t="shared" si="2067"/>
        <v>0</v>
      </c>
      <c r="L1142" s="21">
        <f t="shared" si="2067"/>
        <v>0</v>
      </c>
      <c r="M1142" s="21">
        <f t="shared" si="2067"/>
        <v>0</v>
      </c>
      <c r="N1142" s="21">
        <f t="shared" si="2067"/>
        <v>0</v>
      </c>
      <c r="O1142" s="21">
        <f t="shared" si="2067"/>
        <v>0</v>
      </c>
    </row>
    <row r="1143">
      <c r="B1143" s="20">
        <v>46288.0</v>
      </c>
      <c r="C1143" s="21">
        <f t="shared" ref="C1143:E1143" si="2068">0</f>
        <v>0</v>
      </c>
      <c r="D1143" s="21">
        <f t="shared" si="2068"/>
        <v>0</v>
      </c>
      <c r="E1143" s="21">
        <f t="shared" si="2068"/>
        <v>0</v>
      </c>
      <c r="F1143" s="21">
        <f t="shared" si="2069"/>
        <v>26</v>
      </c>
      <c r="G1143" s="21">
        <f t="shared" ref="G1143:H1143" si="2070">0</f>
        <v>0</v>
      </c>
      <c r="H1143" s="21">
        <f t="shared" si="2070"/>
        <v>0</v>
      </c>
      <c r="I1143" s="21">
        <f>26</f>
        <v>26</v>
      </c>
      <c r="J1143" s="21">
        <f t="shared" ref="J1143:O1143" si="2071">0</f>
        <v>0</v>
      </c>
      <c r="K1143" s="21">
        <f t="shared" si="2071"/>
        <v>0</v>
      </c>
      <c r="L1143" s="21">
        <f t="shared" si="2071"/>
        <v>0</v>
      </c>
      <c r="M1143" s="21">
        <f t="shared" si="2071"/>
        <v>0</v>
      </c>
      <c r="N1143" s="21">
        <f t="shared" si="2071"/>
        <v>0</v>
      </c>
      <c r="O1143" s="21">
        <f t="shared" si="2071"/>
        <v>0</v>
      </c>
    </row>
    <row r="1144">
      <c r="B1144" s="20">
        <v>46288.0</v>
      </c>
      <c r="C1144" s="21">
        <f t="shared" ref="C1144:D1144" si="2072">0</f>
        <v>0</v>
      </c>
      <c r="D1144" s="21">
        <f t="shared" si="2072"/>
        <v>0</v>
      </c>
      <c r="E1144" s="21">
        <f>16</f>
        <v>16</v>
      </c>
      <c r="F1144" s="21">
        <f>0</f>
        <v>0</v>
      </c>
      <c r="G1144" s="21">
        <f>4</f>
        <v>4</v>
      </c>
      <c r="H1144" s="21">
        <f t="shared" ref="H1144:N1144" si="2073">0</f>
        <v>0</v>
      </c>
      <c r="I1144" s="21">
        <f t="shared" si="2073"/>
        <v>0</v>
      </c>
      <c r="J1144" s="21">
        <f t="shared" si="2073"/>
        <v>0</v>
      </c>
      <c r="K1144" s="21">
        <f t="shared" si="2073"/>
        <v>0</v>
      </c>
      <c r="L1144" s="21">
        <f t="shared" si="2073"/>
        <v>0</v>
      </c>
      <c r="M1144" s="21">
        <f t="shared" si="2073"/>
        <v>0</v>
      </c>
      <c r="N1144" s="21">
        <f t="shared" si="2073"/>
        <v>0</v>
      </c>
      <c r="O1144" s="21">
        <f>20</f>
        <v>20</v>
      </c>
    </row>
    <row r="1145">
      <c r="B1145" s="20">
        <v>46288.0</v>
      </c>
      <c r="C1145" s="21">
        <f t="shared" ref="C1145:H1145" si="2074">0</f>
        <v>0</v>
      </c>
      <c r="D1145" s="21">
        <f t="shared" si="2074"/>
        <v>0</v>
      </c>
      <c r="E1145" s="21">
        <f t="shared" si="2074"/>
        <v>0</v>
      </c>
      <c r="F1145" s="21">
        <f t="shared" si="2074"/>
        <v>0</v>
      </c>
      <c r="G1145" s="21">
        <f t="shared" si="2074"/>
        <v>0</v>
      </c>
      <c r="H1145" s="21">
        <f t="shared" si="2074"/>
        <v>0</v>
      </c>
      <c r="I1145" s="21">
        <f>50.4</f>
        <v>50.4</v>
      </c>
      <c r="J1145" s="21">
        <f t="shared" ref="J1145:N1145" si="2075">0</f>
        <v>0</v>
      </c>
      <c r="K1145" s="21">
        <f t="shared" si="2075"/>
        <v>0</v>
      </c>
      <c r="L1145" s="21">
        <f t="shared" si="2075"/>
        <v>0</v>
      </c>
      <c r="M1145" s="21">
        <f t="shared" si="2075"/>
        <v>0</v>
      </c>
      <c r="N1145" s="21">
        <f t="shared" si="2075"/>
        <v>0</v>
      </c>
      <c r="O1145" s="21">
        <f>12.6</f>
        <v>12.6</v>
      </c>
    </row>
    <row r="1146">
      <c r="B1146" s="20">
        <v>46288.0</v>
      </c>
      <c r="C1146" s="21">
        <f t="shared" ref="C1146:E1146" si="2076">0</f>
        <v>0</v>
      </c>
      <c r="D1146" s="21">
        <f t="shared" si="2076"/>
        <v>0</v>
      </c>
      <c r="E1146" s="21">
        <f t="shared" si="2076"/>
        <v>0</v>
      </c>
      <c r="F1146" s="21">
        <f>14</f>
        <v>14</v>
      </c>
      <c r="G1146" s="21">
        <f t="shared" ref="G1146:H1146" si="2077">0</f>
        <v>0</v>
      </c>
      <c r="H1146" s="21">
        <f t="shared" si="2077"/>
        <v>0</v>
      </c>
      <c r="I1146" s="21">
        <f>14</f>
        <v>14</v>
      </c>
      <c r="J1146" s="21">
        <f t="shared" ref="J1146:O1146" si="2078">0</f>
        <v>0</v>
      </c>
      <c r="K1146" s="21">
        <f t="shared" si="2078"/>
        <v>0</v>
      </c>
      <c r="L1146" s="21">
        <f t="shared" si="2078"/>
        <v>0</v>
      </c>
      <c r="M1146" s="21">
        <f t="shared" si="2078"/>
        <v>0</v>
      </c>
      <c r="N1146" s="21">
        <f t="shared" si="2078"/>
        <v>0</v>
      </c>
      <c r="O1146" s="21">
        <f t="shared" si="2078"/>
        <v>0</v>
      </c>
    </row>
    <row r="1147">
      <c r="B1147" s="20">
        <v>46288.0</v>
      </c>
      <c r="C1147" s="21">
        <f t="shared" ref="C1147:C1148" si="2081">0</f>
        <v>0</v>
      </c>
      <c r="D1147" s="21">
        <f>29</f>
        <v>29</v>
      </c>
      <c r="E1147" s="21">
        <f t="shared" ref="E1147:H1147" si="2079">0</f>
        <v>0</v>
      </c>
      <c r="F1147" s="21">
        <f t="shared" si="2079"/>
        <v>0</v>
      </c>
      <c r="G1147" s="21">
        <f t="shared" si="2079"/>
        <v>0</v>
      </c>
      <c r="H1147" s="21">
        <f t="shared" si="2079"/>
        <v>0</v>
      </c>
      <c r="I1147" s="21">
        <f>17.4</f>
        <v>17.4</v>
      </c>
      <c r="J1147" s="21">
        <f t="shared" ref="J1147:N1147" si="2080">0</f>
        <v>0</v>
      </c>
      <c r="K1147" s="21">
        <f t="shared" si="2080"/>
        <v>0</v>
      </c>
      <c r="L1147" s="21">
        <f t="shared" si="2080"/>
        <v>0</v>
      </c>
      <c r="M1147" s="21">
        <f t="shared" si="2080"/>
        <v>0</v>
      </c>
      <c r="N1147" s="21">
        <f t="shared" si="2080"/>
        <v>0</v>
      </c>
      <c r="O1147" s="21">
        <f>11.6</f>
        <v>11.6</v>
      </c>
    </row>
    <row r="1148">
      <c r="B1148" s="20">
        <v>46288.0</v>
      </c>
      <c r="C1148" s="21">
        <f t="shared" si="2081"/>
        <v>0</v>
      </c>
      <c r="D1148" s="21">
        <f>35</f>
        <v>35</v>
      </c>
      <c r="E1148" s="21">
        <f t="shared" ref="E1148:O1148" si="2082">0</f>
        <v>0</v>
      </c>
      <c r="F1148" s="21">
        <f t="shared" si="2082"/>
        <v>0</v>
      </c>
      <c r="G1148" s="21">
        <f t="shared" si="2082"/>
        <v>0</v>
      </c>
      <c r="H1148" s="21">
        <f t="shared" si="2082"/>
        <v>0</v>
      </c>
      <c r="I1148" s="21">
        <f t="shared" si="2082"/>
        <v>0</v>
      </c>
      <c r="J1148" s="21">
        <f t="shared" si="2082"/>
        <v>0</v>
      </c>
      <c r="K1148" s="21">
        <f t="shared" si="2082"/>
        <v>0</v>
      </c>
      <c r="L1148" s="21">
        <f t="shared" si="2082"/>
        <v>0</v>
      </c>
      <c r="M1148" s="21">
        <f t="shared" si="2082"/>
        <v>0</v>
      </c>
      <c r="N1148" s="21">
        <f t="shared" si="2082"/>
        <v>0</v>
      </c>
      <c r="O1148" s="21">
        <f t="shared" si="2082"/>
        <v>0</v>
      </c>
    </row>
    <row r="1149">
      <c r="B1149" s="20">
        <v>46288.0</v>
      </c>
      <c r="C1149" s="21">
        <f>3.8</f>
        <v>3.8</v>
      </c>
      <c r="D1149" s="21">
        <f t="shared" ref="D1149:H1149" si="2083">0</f>
        <v>0</v>
      </c>
      <c r="E1149" s="21">
        <f t="shared" si="2083"/>
        <v>0</v>
      </c>
      <c r="F1149" s="21">
        <f t="shared" si="2083"/>
        <v>0</v>
      </c>
      <c r="G1149" s="21">
        <f t="shared" si="2083"/>
        <v>0</v>
      </c>
      <c r="H1149" s="21">
        <f t="shared" si="2083"/>
        <v>0</v>
      </c>
      <c r="I1149" s="21">
        <f>13.3</f>
        <v>13.3</v>
      </c>
      <c r="J1149" s="21">
        <f t="shared" ref="J1149:M1149" si="2084">0</f>
        <v>0</v>
      </c>
      <c r="K1149" s="21">
        <f t="shared" si="2084"/>
        <v>0</v>
      </c>
      <c r="L1149" s="21">
        <f t="shared" si="2084"/>
        <v>0</v>
      </c>
      <c r="M1149" s="21">
        <f t="shared" si="2084"/>
        <v>0</v>
      </c>
      <c r="N1149" s="21">
        <f>1.9</f>
        <v>1.9</v>
      </c>
      <c r="O1149" s="21">
        <f>0</f>
        <v>0</v>
      </c>
    </row>
    <row r="1150">
      <c r="B1150" s="20">
        <v>46289.0</v>
      </c>
      <c r="C1150" s="21">
        <f t="shared" ref="C1150:F1150" si="2085">0</f>
        <v>0</v>
      </c>
      <c r="D1150" s="21">
        <f t="shared" si="2085"/>
        <v>0</v>
      </c>
      <c r="E1150" s="21">
        <f t="shared" si="2085"/>
        <v>0</v>
      </c>
      <c r="F1150" s="21">
        <f t="shared" si="2085"/>
        <v>0</v>
      </c>
      <c r="G1150" s="21">
        <f>43.2</f>
        <v>43.2</v>
      </c>
      <c r="H1150" s="21">
        <f>0</f>
        <v>0</v>
      </c>
      <c r="I1150" s="21">
        <f>10.8</f>
        <v>10.8</v>
      </c>
      <c r="J1150" s="21">
        <f t="shared" ref="J1150:O1150" si="2086">0</f>
        <v>0</v>
      </c>
      <c r="K1150" s="21">
        <f t="shared" si="2086"/>
        <v>0</v>
      </c>
      <c r="L1150" s="21">
        <f t="shared" si="2086"/>
        <v>0</v>
      </c>
      <c r="M1150" s="21">
        <f t="shared" si="2086"/>
        <v>0</v>
      </c>
      <c r="N1150" s="21">
        <f t="shared" si="2086"/>
        <v>0</v>
      </c>
      <c r="O1150" s="21">
        <f t="shared" si="2086"/>
        <v>0</v>
      </c>
    </row>
    <row r="1151">
      <c r="B1151" s="20">
        <v>46289.0</v>
      </c>
      <c r="C1151" s="28">
        <f t="shared" ref="C1151:H1151" si="2087">0</f>
        <v>0</v>
      </c>
      <c r="D1151" s="28">
        <f t="shared" si="2087"/>
        <v>0</v>
      </c>
      <c r="E1151" s="28">
        <f t="shared" si="2087"/>
        <v>0</v>
      </c>
      <c r="F1151" s="28">
        <f t="shared" si="2087"/>
        <v>0</v>
      </c>
      <c r="G1151" s="28">
        <f t="shared" si="2087"/>
        <v>0</v>
      </c>
      <c r="H1151" s="28">
        <f t="shared" si="2087"/>
        <v>0</v>
      </c>
      <c r="I1151" s="28">
        <f>120</f>
        <v>120</v>
      </c>
      <c r="J1151" s="28">
        <f t="shared" ref="J1151:O1151" si="2088">0</f>
        <v>0</v>
      </c>
      <c r="K1151" s="28">
        <f t="shared" si="2088"/>
        <v>0</v>
      </c>
      <c r="L1151" s="28">
        <f t="shared" si="2088"/>
        <v>0</v>
      </c>
      <c r="M1151" s="28">
        <f t="shared" si="2088"/>
        <v>0</v>
      </c>
      <c r="N1151" s="28">
        <f t="shared" si="2088"/>
        <v>0</v>
      </c>
      <c r="O1151" s="28">
        <f t="shared" si="2088"/>
        <v>0</v>
      </c>
    </row>
    <row r="1152">
      <c r="B1152" s="20">
        <v>46289.0</v>
      </c>
      <c r="C1152" s="21">
        <f t="shared" ref="C1152:H1152" si="2089">0</f>
        <v>0</v>
      </c>
      <c r="D1152" s="21">
        <f t="shared" si="2089"/>
        <v>0</v>
      </c>
      <c r="E1152" s="21">
        <f t="shared" si="2089"/>
        <v>0</v>
      </c>
      <c r="F1152" s="21">
        <f t="shared" si="2089"/>
        <v>0</v>
      </c>
      <c r="G1152" s="21">
        <f t="shared" si="2089"/>
        <v>0</v>
      </c>
      <c r="H1152" s="21">
        <f t="shared" si="2089"/>
        <v>0</v>
      </c>
      <c r="I1152" s="21">
        <f>80</f>
        <v>80</v>
      </c>
      <c r="J1152" s="21">
        <f t="shared" ref="J1152:O1152" si="2090">0</f>
        <v>0</v>
      </c>
      <c r="K1152" s="21">
        <f t="shared" si="2090"/>
        <v>0</v>
      </c>
      <c r="L1152" s="21">
        <f t="shared" si="2090"/>
        <v>0</v>
      </c>
      <c r="M1152" s="21">
        <f t="shared" si="2090"/>
        <v>0</v>
      </c>
      <c r="N1152" s="21">
        <f t="shared" si="2090"/>
        <v>0</v>
      </c>
      <c r="O1152" s="21">
        <f t="shared" si="2090"/>
        <v>0</v>
      </c>
    </row>
    <row r="1153">
      <c r="B1153" s="20">
        <v>46289.0</v>
      </c>
      <c r="C1153" s="21">
        <v>0.0</v>
      </c>
      <c r="D1153" s="21">
        <v>0.0</v>
      </c>
      <c r="E1153" s="21">
        <v>0.0</v>
      </c>
      <c r="F1153" s="21">
        <v>0.0</v>
      </c>
      <c r="G1153" s="21">
        <v>0.0</v>
      </c>
      <c r="H1153" s="21">
        <v>0.0</v>
      </c>
      <c r="I1153" s="21">
        <v>0.0</v>
      </c>
      <c r="J1153" s="21">
        <v>0.0</v>
      </c>
      <c r="K1153" s="21">
        <v>0.0</v>
      </c>
      <c r="L1153" s="21">
        <v>0.0</v>
      </c>
      <c r="M1153" s="21">
        <v>0.0</v>
      </c>
      <c r="N1153" s="21">
        <v>0.0</v>
      </c>
      <c r="O1153" s="21">
        <f>68.6</f>
        <v>68.6</v>
      </c>
    </row>
    <row r="1154">
      <c r="B1154" s="20">
        <v>46289.0</v>
      </c>
      <c r="C1154" s="21">
        <f t="shared" ref="C1154:H1154" si="2091">0</f>
        <v>0</v>
      </c>
      <c r="D1154" s="21">
        <f t="shared" si="2091"/>
        <v>0</v>
      </c>
      <c r="E1154" s="21">
        <f t="shared" si="2091"/>
        <v>0</v>
      </c>
      <c r="F1154" s="21">
        <f t="shared" si="2091"/>
        <v>0</v>
      </c>
      <c r="G1154" s="21">
        <f t="shared" si="2091"/>
        <v>0</v>
      </c>
      <c r="H1154" s="21">
        <f t="shared" si="2091"/>
        <v>0</v>
      </c>
      <c r="I1154" s="21">
        <f>16</f>
        <v>16</v>
      </c>
      <c r="J1154" s="21">
        <f t="shared" ref="J1154:M1154" si="2092">0</f>
        <v>0</v>
      </c>
      <c r="K1154" s="21">
        <f t="shared" si="2092"/>
        <v>0</v>
      </c>
      <c r="L1154" s="21">
        <f t="shared" si="2092"/>
        <v>0</v>
      </c>
      <c r="M1154" s="21">
        <f t="shared" si="2092"/>
        <v>0</v>
      </c>
      <c r="N1154" s="21">
        <f>16</f>
        <v>16</v>
      </c>
      <c r="O1154" s="21">
        <f>0</f>
        <v>0</v>
      </c>
    </row>
    <row r="1155">
      <c r="B1155" s="20">
        <v>46289.0</v>
      </c>
      <c r="C1155" s="21">
        <f t="shared" ref="C1155:J1155" si="2093">0</f>
        <v>0</v>
      </c>
      <c r="D1155" s="21">
        <f t="shared" si="2093"/>
        <v>0</v>
      </c>
      <c r="E1155" s="21">
        <f t="shared" si="2093"/>
        <v>0</v>
      </c>
      <c r="F1155" s="21">
        <f t="shared" si="2093"/>
        <v>0</v>
      </c>
      <c r="G1155" s="21">
        <f t="shared" si="2093"/>
        <v>0</v>
      </c>
      <c r="H1155" s="21">
        <f t="shared" si="2093"/>
        <v>0</v>
      </c>
      <c r="I1155" s="21">
        <f t="shared" si="2093"/>
        <v>0</v>
      </c>
      <c r="J1155" s="21">
        <f t="shared" si="2093"/>
        <v>0</v>
      </c>
      <c r="K1155" s="21">
        <f>192</f>
        <v>192</v>
      </c>
      <c r="L1155" s="21">
        <f t="shared" ref="L1155:O1155" si="2094">0</f>
        <v>0</v>
      </c>
      <c r="M1155" s="21">
        <f t="shared" si="2094"/>
        <v>0</v>
      </c>
      <c r="N1155" s="21">
        <f t="shared" si="2094"/>
        <v>0</v>
      </c>
      <c r="O1155" s="21">
        <f t="shared" si="2094"/>
        <v>0</v>
      </c>
    </row>
    <row r="1156">
      <c r="B1156" s="20">
        <v>46289.0</v>
      </c>
      <c r="C1156" s="21">
        <f t="shared" ref="C1156:H1156" si="2095">0</f>
        <v>0</v>
      </c>
      <c r="D1156" s="21">
        <f t="shared" si="2095"/>
        <v>0</v>
      </c>
      <c r="E1156" s="21">
        <f t="shared" si="2095"/>
        <v>0</v>
      </c>
      <c r="F1156" s="21">
        <f t="shared" si="2095"/>
        <v>0</v>
      </c>
      <c r="G1156" s="21">
        <f t="shared" si="2095"/>
        <v>0</v>
      </c>
      <c r="H1156" s="21">
        <f t="shared" si="2095"/>
        <v>0</v>
      </c>
      <c r="I1156" s="21">
        <f>74</f>
        <v>74</v>
      </c>
      <c r="J1156" s="21">
        <f t="shared" ref="J1156:O1156" si="2096">0</f>
        <v>0</v>
      </c>
      <c r="K1156" s="21">
        <f t="shared" si="2096"/>
        <v>0</v>
      </c>
      <c r="L1156" s="21">
        <f t="shared" si="2096"/>
        <v>0</v>
      </c>
      <c r="M1156" s="21">
        <f t="shared" si="2096"/>
        <v>0</v>
      </c>
      <c r="N1156" s="21">
        <f t="shared" si="2096"/>
        <v>0</v>
      </c>
      <c r="O1156" s="21">
        <f t="shared" si="2096"/>
        <v>0</v>
      </c>
    </row>
    <row r="1157">
      <c r="B1157" s="20">
        <v>46289.0</v>
      </c>
      <c r="C1157" s="21">
        <f t="shared" ref="C1157:H1157" si="2097">0</f>
        <v>0</v>
      </c>
      <c r="D1157" s="21">
        <f t="shared" si="2097"/>
        <v>0</v>
      </c>
      <c r="E1157" s="21">
        <f t="shared" si="2097"/>
        <v>0</v>
      </c>
      <c r="F1157" s="21">
        <f t="shared" si="2097"/>
        <v>0</v>
      </c>
      <c r="G1157" s="21">
        <f t="shared" si="2097"/>
        <v>0</v>
      </c>
      <c r="H1157" s="21">
        <f t="shared" si="2097"/>
        <v>0</v>
      </c>
      <c r="I1157" s="21">
        <f t="shared" ref="I1157:I1158" si="2100">84</f>
        <v>84</v>
      </c>
      <c r="J1157" s="21">
        <f t="shared" ref="J1157:O1157" si="2098">0</f>
        <v>0</v>
      </c>
      <c r="K1157" s="21">
        <f t="shared" si="2098"/>
        <v>0</v>
      </c>
      <c r="L1157" s="21">
        <f t="shared" si="2098"/>
        <v>0</v>
      </c>
      <c r="M1157" s="21">
        <f t="shared" si="2098"/>
        <v>0</v>
      </c>
      <c r="N1157" s="21">
        <f t="shared" si="2098"/>
        <v>0</v>
      </c>
      <c r="O1157" s="21">
        <f t="shared" si="2098"/>
        <v>0</v>
      </c>
    </row>
    <row r="1158">
      <c r="B1158" s="20">
        <v>46289.0</v>
      </c>
      <c r="C1158" s="21">
        <f t="shared" ref="C1158:H1158" si="2099">0</f>
        <v>0</v>
      </c>
      <c r="D1158" s="21">
        <f t="shared" si="2099"/>
        <v>0</v>
      </c>
      <c r="E1158" s="21">
        <f t="shared" si="2099"/>
        <v>0</v>
      </c>
      <c r="F1158" s="21">
        <f t="shared" si="2099"/>
        <v>0</v>
      </c>
      <c r="G1158" s="21">
        <f t="shared" si="2099"/>
        <v>0</v>
      </c>
      <c r="H1158" s="21">
        <f t="shared" si="2099"/>
        <v>0</v>
      </c>
      <c r="I1158" s="21">
        <f t="shared" si="2100"/>
        <v>84</v>
      </c>
      <c r="J1158" s="21">
        <f t="shared" ref="J1158:O1158" si="2101">0</f>
        <v>0</v>
      </c>
      <c r="K1158" s="21">
        <f t="shared" si="2101"/>
        <v>0</v>
      </c>
      <c r="L1158" s="21">
        <f t="shared" si="2101"/>
        <v>0</v>
      </c>
      <c r="M1158" s="21">
        <f t="shared" si="2101"/>
        <v>0</v>
      </c>
      <c r="N1158" s="21">
        <f t="shared" si="2101"/>
        <v>0</v>
      </c>
      <c r="O1158" s="21">
        <f t="shared" si="2101"/>
        <v>0</v>
      </c>
    </row>
    <row r="1159">
      <c r="B1159" s="20">
        <v>46289.0</v>
      </c>
      <c r="C1159" s="21">
        <f t="shared" ref="C1159:H1159" si="2102">0</f>
        <v>0</v>
      </c>
      <c r="D1159" s="21">
        <f t="shared" si="2102"/>
        <v>0</v>
      </c>
      <c r="E1159" s="21">
        <f t="shared" si="2102"/>
        <v>0</v>
      </c>
      <c r="F1159" s="21">
        <f t="shared" si="2102"/>
        <v>0</v>
      </c>
      <c r="G1159" s="21">
        <f t="shared" si="2102"/>
        <v>0</v>
      </c>
      <c r="H1159" s="21">
        <f t="shared" si="2102"/>
        <v>0</v>
      </c>
      <c r="I1159" s="21">
        <f>1011</f>
        <v>1011</v>
      </c>
      <c r="J1159" s="21">
        <f t="shared" ref="J1159:O1159" si="2103">0</f>
        <v>0</v>
      </c>
      <c r="K1159" s="21">
        <f t="shared" si="2103"/>
        <v>0</v>
      </c>
      <c r="L1159" s="21">
        <f t="shared" si="2103"/>
        <v>0</v>
      </c>
      <c r="M1159" s="21">
        <f t="shared" si="2103"/>
        <v>0</v>
      </c>
      <c r="N1159" s="21">
        <f t="shared" si="2103"/>
        <v>0</v>
      </c>
      <c r="O1159" s="21">
        <f t="shared" si="2103"/>
        <v>0</v>
      </c>
    </row>
    <row r="1160">
      <c r="B1160" s="20">
        <v>46289.0</v>
      </c>
      <c r="C1160" s="21">
        <f t="shared" ref="C1160:H1160" si="2104">0</f>
        <v>0</v>
      </c>
      <c r="D1160" s="21">
        <f t="shared" si="2104"/>
        <v>0</v>
      </c>
      <c r="E1160" s="21">
        <f t="shared" si="2104"/>
        <v>0</v>
      </c>
      <c r="F1160" s="21">
        <f t="shared" si="2104"/>
        <v>0</v>
      </c>
      <c r="G1160" s="21">
        <f t="shared" si="2104"/>
        <v>0</v>
      </c>
      <c r="H1160" s="21">
        <f t="shared" si="2104"/>
        <v>0</v>
      </c>
      <c r="I1160" s="21">
        <f>9.5</f>
        <v>9.5</v>
      </c>
      <c r="J1160" s="21">
        <f t="shared" ref="J1160:M1160" si="2105">0</f>
        <v>0</v>
      </c>
      <c r="K1160" s="21">
        <f t="shared" si="2105"/>
        <v>0</v>
      </c>
      <c r="L1160" s="21">
        <f t="shared" si="2105"/>
        <v>0</v>
      </c>
      <c r="M1160" s="21">
        <f t="shared" si="2105"/>
        <v>0</v>
      </c>
      <c r="N1160" s="21">
        <f>9.5</f>
        <v>9.5</v>
      </c>
      <c r="O1160" s="21">
        <f>0</f>
        <v>0</v>
      </c>
    </row>
    <row r="1161">
      <c r="B1161" s="20">
        <v>46290.0</v>
      </c>
      <c r="C1161" s="21">
        <f t="shared" ref="C1161:I1161" si="2106">0</f>
        <v>0</v>
      </c>
      <c r="D1161" s="21">
        <f t="shared" si="2106"/>
        <v>0</v>
      </c>
      <c r="E1161" s="21">
        <f t="shared" si="2106"/>
        <v>0</v>
      </c>
      <c r="F1161" s="21">
        <f t="shared" si="2106"/>
        <v>0</v>
      </c>
      <c r="G1161" s="21">
        <f t="shared" si="2106"/>
        <v>0</v>
      </c>
      <c r="H1161" s="21">
        <f t="shared" si="2106"/>
        <v>0</v>
      </c>
      <c r="I1161" s="21">
        <f t="shared" si="2106"/>
        <v>0</v>
      </c>
      <c r="J1161" s="21">
        <f>47</f>
        <v>47</v>
      </c>
      <c r="K1161" s="21">
        <f t="shared" ref="K1161:O1161" si="2107">0</f>
        <v>0</v>
      </c>
      <c r="L1161" s="21">
        <f t="shared" si="2107"/>
        <v>0</v>
      </c>
      <c r="M1161" s="21">
        <f t="shared" si="2107"/>
        <v>0</v>
      </c>
      <c r="N1161" s="21">
        <f t="shared" si="2107"/>
        <v>0</v>
      </c>
      <c r="O1161" s="21">
        <f t="shared" si="2107"/>
        <v>0</v>
      </c>
    </row>
    <row r="1162">
      <c r="B1162" s="20">
        <v>46290.0</v>
      </c>
      <c r="C1162" s="21">
        <v>0.0</v>
      </c>
      <c r="D1162" s="21">
        <v>0.0</v>
      </c>
      <c r="E1162" s="21">
        <v>0.0</v>
      </c>
      <c r="F1162" s="21">
        <v>0.0</v>
      </c>
      <c r="G1162" s="21">
        <v>0.0</v>
      </c>
      <c r="H1162" s="21">
        <v>0.0</v>
      </c>
      <c r="I1162" s="21">
        <v>0.0</v>
      </c>
      <c r="J1162" s="21">
        <v>0.0</v>
      </c>
      <c r="K1162" s="21">
        <v>0.0</v>
      </c>
      <c r="L1162" s="21">
        <v>0.0</v>
      </c>
      <c r="M1162" s="21">
        <v>0.0</v>
      </c>
      <c r="N1162" s="21">
        <v>0.0</v>
      </c>
      <c r="O1162" s="21">
        <f>168</f>
        <v>168</v>
      </c>
    </row>
    <row r="1163">
      <c r="B1163" s="20">
        <v>46290.0</v>
      </c>
      <c r="C1163" s="21">
        <f>100.2</f>
        <v>100.2</v>
      </c>
      <c r="D1163" s="21">
        <f t="shared" ref="D1163:F1163" si="2108">0</f>
        <v>0</v>
      </c>
      <c r="E1163" s="21">
        <f t="shared" si="2108"/>
        <v>0</v>
      </c>
      <c r="F1163" s="21">
        <f t="shared" si="2108"/>
        <v>0</v>
      </c>
      <c r="G1163" s="21">
        <f>33.4</f>
        <v>33.4</v>
      </c>
      <c r="H1163" s="21">
        <f t="shared" ref="H1163:N1163" si="2109">0</f>
        <v>0</v>
      </c>
      <c r="I1163" s="21">
        <f t="shared" si="2109"/>
        <v>0</v>
      </c>
      <c r="J1163" s="21">
        <f t="shared" si="2109"/>
        <v>0</v>
      </c>
      <c r="K1163" s="21">
        <f t="shared" si="2109"/>
        <v>0</v>
      </c>
      <c r="L1163" s="21">
        <f t="shared" si="2109"/>
        <v>0</v>
      </c>
      <c r="M1163" s="21">
        <f t="shared" si="2109"/>
        <v>0</v>
      </c>
      <c r="N1163" s="21">
        <f t="shared" si="2109"/>
        <v>0</v>
      </c>
      <c r="O1163" s="21">
        <f>33.4</f>
        <v>33.4</v>
      </c>
    </row>
    <row r="1164">
      <c r="B1164" s="20">
        <v>46290.0</v>
      </c>
      <c r="C1164" s="21">
        <v>0.0</v>
      </c>
      <c r="D1164" s="21">
        <v>0.0</v>
      </c>
      <c r="E1164" s="21">
        <v>0.0</v>
      </c>
      <c r="F1164" s="21">
        <v>0.0</v>
      </c>
      <c r="G1164" s="21">
        <v>0.0</v>
      </c>
      <c r="H1164" s="21">
        <v>0.0</v>
      </c>
      <c r="I1164" s="21">
        <v>0.0</v>
      </c>
      <c r="J1164" s="21">
        <v>0.0</v>
      </c>
      <c r="K1164" s="21">
        <v>0.0</v>
      </c>
      <c r="L1164" s="21">
        <v>0.0</v>
      </c>
      <c r="M1164" s="21">
        <v>0.0</v>
      </c>
      <c r="N1164" s="21">
        <v>0.0</v>
      </c>
      <c r="O1164" s="21">
        <f>33</f>
        <v>33</v>
      </c>
    </row>
    <row r="1165">
      <c r="B1165" s="20">
        <v>46290.0</v>
      </c>
      <c r="C1165" s="21">
        <f>56.8</f>
        <v>56.8</v>
      </c>
      <c r="D1165" s="21">
        <f t="shared" ref="D1165:H1165" si="2110">0</f>
        <v>0</v>
      </c>
      <c r="E1165" s="21">
        <f t="shared" si="2110"/>
        <v>0</v>
      </c>
      <c r="F1165" s="21">
        <f t="shared" si="2110"/>
        <v>0</v>
      </c>
      <c r="G1165" s="21">
        <f t="shared" si="2110"/>
        <v>0</v>
      </c>
      <c r="H1165" s="21">
        <f t="shared" si="2110"/>
        <v>0</v>
      </c>
      <c r="I1165" s="21">
        <f>14.2</f>
        <v>14.2</v>
      </c>
      <c r="J1165" s="21">
        <f t="shared" ref="J1165:O1165" si="2111">0</f>
        <v>0</v>
      </c>
      <c r="K1165" s="21">
        <f t="shared" si="2111"/>
        <v>0</v>
      </c>
      <c r="L1165" s="21">
        <f t="shared" si="2111"/>
        <v>0</v>
      </c>
      <c r="M1165" s="21">
        <f t="shared" si="2111"/>
        <v>0</v>
      </c>
      <c r="N1165" s="21">
        <f t="shared" si="2111"/>
        <v>0</v>
      </c>
      <c r="O1165" s="21">
        <f t="shared" si="2111"/>
        <v>0</v>
      </c>
    </row>
    <row r="1166">
      <c r="B1166" s="20">
        <v>46290.0</v>
      </c>
      <c r="C1166" s="21">
        <f>32.4</f>
        <v>32.4</v>
      </c>
      <c r="D1166" s="21">
        <f t="shared" ref="D1166:L1166" si="2112">0</f>
        <v>0</v>
      </c>
      <c r="E1166" s="21">
        <f t="shared" si="2112"/>
        <v>0</v>
      </c>
      <c r="F1166" s="21">
        <f t="shared" si="2112"/>
        <v>0</v>
      </c>
      <c r="G1166" s="21">
        <f t="shared" si="2112"/>
        <v>0</v>
      </c>
      <c r="H1166" s="21">
        <f t="shared" si="2112"/>
        <v>0</v>
      </c>
      <c r="I1166" s="21">
        <f t="shared" si="2112"/>
        <v>0</v>
      </c>
      <c r="J1166" s="21">
        <f t="shared" si="2112"/>
        <v>0</v>
      </c>
      <c r="K1166" s="21">
        <f t="shared" si="2112"/>
        <v>0</v>
      </c>
      <c r="L1166" s="21">
        <f t="shared" si="2112"/>
        <v>0</v>
      </c>
      <c r="M1166" s="21">
        <f>21.6</f>
        <v>21.6</v>
      </c>
      <c r="N1166" s="21">
        <f t="shared" ref="N1166:O1166" si="2113">0</f>
        <v>0</v>
      </c>
      <c r="O1166" s="21">
        <f t="shared" si="2113"/>
        <v>0</v>
      </c>
    </row>
    <row r="1167">
      <c r="B1167" s="20">
        <v>46290.0</v>
      </c>
      <c r="C1167" s="21">
        <f>16.5</f>
        <v>16.5</v>
      </c>
      <c r="D1167" s="21">
        <f t="shared" ref="D1167:L1167" si="2114">0</f>
        <v>0</v>
      </c>
      <c r="E1167" s="21">
        <f t="shared" si="2114"/>
        <v>0</v>
      </c>
      <c r="F1167" s="21">
        <f t="shared" si="2114"/>
        <v>0</v>
      </c>
      <c r="G1167" s="21">
        <f t="shared" si="2114"/>
        <v>0</v>
      </c>
      <c r="H1167" s="21">
        <f t="shared" si="2114"/>
        <v>0</v>
      </c>
      <c r="I1167" s="21">
        <f t="shared" si="2114"/>
        <v>0</v>
      </c>
      <c r="J1167" s="21">
        <f t="shared" si="2114"/>
        <v>0</v>
      </c>
      <c r="K1167" s="21">
        <f t="shared" si="2114"/>
        <v>0</v>
      </c>
      <c r="L1167" s="21">
        <f t="shared" si="2114"/>
        <v>0</v>
      </c>
      <c r="M1167" s="21">
        <f>16.5</f>
        <v>16.5</v>
      </c>
      <c r="N1167" s="21">
        <f t="shared" ref="N1167:O1167" si="2115">0</f>
        <v>0</v>
      </c>
      <c r="O1167" s="21">
        <f t="shared" si="2115"/>
        <v>0</v>
      </c>
    </row>
    <row r="1168">
      <c r="B1168" s="20">
        <v>46290.0</v>
      </c>
      <c r="C1168" s="21">
        <f t="shared" ref="C1168:H1168" si="2116">0</f>
        <v>0</v>
      </c>
      <c r="D1168" s="21">
        <f t="shared" si="2116"/>
        <v>0</v>
      </c>
      <c r="E1168" s="21">
        <f t="shared" si="2116"/>
        <v>0</v>
      </c>
      <c r="F1168" s="21">
        <f t="shared" si="2116"/>
        <v>0</v>
      </c>
      <c r="G1168" s="21">
        <f t="shared" si="2116"/>
        <v>0</v>
      </c>
      <c r="H1168" s="21">
        <f t="shared" si="2116"/>
        <v>0</v>
      </c>
      <c r="I1168" s="21">
        <f>9.96</f>
        <v>9.96</v>
      </c>
      <c r="J1168" s="21">
        <f t="shared" ref="J1168:N1168" si="2117">0</f>
        <v>0</v>
      </c>
      <c r="K1168" s="21">
        <f t="shared" si="2117"/>
        <v>0</v>
      </c>
      <c r="L1168" s="21">
        <f t="shared" si="2117"/>
        <v>0</v>
      </c>
      <c r="M1168" s="21">
        <f t="shared" si="2117"/>
        <v>0</v>
      </c>
      <c r="N1168" s="21">
        <f t="shared" si="2117"/>
        <v>0</v>
      </c>
      <c r="O1168" s="21">
        <f>14.94</f>
        <v>14.94</v>
      </c>
    </row>
    <row r="1169">
      <c r="B1169" s="20">
        <v>46290.0</v>
      </c>
      <c r="C1169" s="21">
        <f t="shared" ref="C1169:H1169" si="2118">0</f>
        <v>0</v>
      </c>
      <c r="D1169" s="21">
        <f t="shared" si="2118"/>
        <v>0</v>
      </c>
      <c r="E1169" s="21">
        <f t="shared" si="2118"/>
        <v>0</v>
      </c>
      <c r="F1169" s="21">
        <f t="shared" si="2118"/>
        <v>0</v>
      </c>
      <c r="G1169" s="21">
        <f t="shared" si="2118"/>
        <v>0</v>
      </c>
      <c r="H1169" s="21">
        <f t="shared" si="2118"/>
        <v>0</v>
      </c>
      <c r="I1169" s="21">
        <f>6</f>
        <v>6</v>
      </c>
      <c r="J1169" s="21">
        <f t="shared" ref="J1169:L1169" si="2119">0</f>
        <v>0</v>
      </c>
      <c r="K1169" s="21">
        <f t="shared" si="2119"/>
        <v>0</v>
      </c>
      <c r="L1169" s="21">
        <f t="shared" si="2119"/>
        <v>0</v>
      </c>
      <c r="M1169" s="21">
        <f>6</f>
        <v>6</v>
      </c>
      <c r="N1169" s="21">
        <f t="shared" ref="N1169:O1169" si="2120">0</f>
        <v>0</v>
      </c>
      <c r="O1169" s="21">
        <f t="shared" si="2120"/>
        <v>0</v>
      </c>
    </row>
    <row r="1170">
      <c r="B1170" s="20">
        <v>46290.0</v>
      </c>
      <c r="C1170" s="21">
        <f>27.72</f>
        <v>27.72</v>
      </c>
      <c r="D1170" s="21">
        <f t="shared" ref="D1170:H1170" si="2121">0</f>
        <v>0</v>
      </c>
      <c r="E1170" s="21">
        <f t="shared" si="2121"/>
        <v>0</v>
      </c>
      <c r="F1170" s="21">
        <f t="shared" si="2121"/>
        <v>0</v>
      </c>
      <c r="G1170" s="21">
        <f t="shared" si="2121"/>
        <v>0</v>
      </c>
      <c r="H1170" s="21">
        <f t="shared" si="2121"/>
        <v>0</v>
      </c>
      <c r="I1170" s="21">
        <f>27.72</f>
        <v>27.72</v>
      </c>
      <c r="J1170" s="21">
        <f t="shared" ref="J1170:L1170" si="2122">0</f>
        <v>0</v>
      </c>
      <c r="K1170" s="21">
        <f t="shared" si="2122"/>
        <v>0</v>
      </c>
      <c r="L1170" s="21">
        <f t="shared" si="2122"/>
        <v>0</v>
      </c>
      <c r="M1170" s="21">
        <f>27.72</f>
        <v>27.72</v>
      </c>
      <c r="N1170" s="21">
        <f>0</f>
        <v>0</v>
      </c>
      <c r="O1170" s="21">
        <f>9.24</f>
        <v>9.24</v>
      </c>
    </row>
    <row r="1171">
      <c r="B1171" s="20">
        <v>46290.0</v>
      </c>
      <c r="C1171" s="21">
        <f t="shared" ref="C1171:H1171" si="2123">0</f>
        <v>0</v>
      </c>
      <c r="D1171" s="21">
        <f t="shared" si="2123"/>
        <v>0</v>
      </c>
      <c r="E1171" s="21">
        <f t="shared" si="2123"/>
        <v>0</v>
      </c>
      <c r="F1171" s="21">
        <f t="shared" si="2123"/>
        <v>0</v>
      </c>
      <c r="G1171" s="21">
        <f t="shared" si="2123"/>
        <v>0</v>
      </c>
      <c r="H1171" s="21">
        <f t="shared" si="2123"/>
        <v>0</v>
      </c>
      <c r="I1171" s="21">
        <f>3.6</f>
        <v>3.6</v>
      </c>
      <c r="J1171" s="21">
        <f t="shared" ref="J1171:M1171" si="2124">0</f>
        <v>0</v>
      </c>
      <c r="K1171" s="21">
        <f t="shared" si="2124"/>
        <v>0</v>
      </c>
      <c r="L1171" s="21">
        <f t="shared" si="2124"/>
        <v>0</v>
      </c>
      <c r="M1171" s="21">
        <f t="shared" si="2124"/>
        <v>0</v>
      </c>
      <c r="N1171" s="21">
        <f>14.4</f>
        <v>14.4</v>
      </c>
      <c r="O1171" s="21">
        <f>0</f>
        <v>0</v>
      </c>
    </row>
    <row r="1172">
      <c r="B1172" s="20">
        <v>46290.0</v>
      </c>
      <c r="C1172" s="21">
        <f t="shared" ref="C1172:H1172" si="2125">0</f>
        <v>0</v>
      </c>
      <c r="D1172" s="21">
        <f t="shared" si="2125"/>
        <v>0</v>
      </c>
      <c r="E1172" s="21">
        <f t="shared" si="2125"/>
        <v>0</v>
      </c>
      <c r="F1172" s="21">
        <f t="shared" si="2125"/>
        <v>0</v>
      </c>
      <c r="G1172" s="21">
        <f t="shared" si="2125"/>
        <v>0</v>
      </c>
      <c r="H1172" s="21">
        <f t="shared" si="2125"/>
        <v>0</v>
      </c>
      <c r="I1172" s="21">
        <f>26</f>
        <v>26</v>
      </c>
      <c r="J1172" s="21">
        <f t="shared" ref="J1172:O1172" si="2126">0</f>
        <v>0</v>
      </c>
      <c r="K1172" s="21">
        <f t="shared" si="2126"/>
        <v>0</v>
      </c>
      <c r="L1172" s="21">
        <f t="shared" si="2126"/>
        <v>0</v>
      </c>
      <c r="M1172" s="21">
        <f t="shared" si="2126"/>
        <v>0</v>
      </c>
      <c r="N1172" s="21">
        <f t="shared" si="2126"/>
        <v>0</v>
      </c>
      <c r="O1172" s="21">
        <f t="shared" si="2126"/>
        <v>0</v>
      </c>
    </row>
    <row r="1173">
      <c r="B1173" s="20">
        <v>46290.0</v>
      </c>
      <c r="C1173" s="21">
        <f>90</f>
        <v>90</v>
      </c>
      <c r="D1173" s="21">
        <f t="shared" ref="D1173:O1173" si="2127">0</f>
        <v>0</v>
      </c>
      <c r="E1173" s="21">
        <f t="shared" si="2127"/>
        <v>0</v>
      </c>
      <c r="F1173" s="21">
        <f t="shared" si="2127"/>
        <v>0</v>
      </c>
      <c r="G1173" s="21">
        <f t="shared" si="2127"/>
        <v>0</v>
      </c>
      <c r="H1173" s="21">
        <f t="shared" si="2127"/>
        <v>0</v>
      </c>
      <c r="I1173" s="21">
        <f t="shared" si="2127"/>
        <v>0</v>
      </c>
      <c r="J1173" s="21">
        <f t="shared" si="2127"/>
        <v>0</v>
      </c>
      <c r="K1173" s="21">
        <f t="shared" si="2127"/>
        <v>0</v>
      </c>
      <c r="L1173" s="21">
        <f t="shared" si="2127"/>
        <v>0</v>
      </c>
      <c r="M1173" s="21">
        <f t="shared" si="2127"/>
        <v>0</v>
      </c>
      <c r="N1173" s="21">
        <f t="shared" si="2127"/>
        <v>0</v>
      </c>
      <c r="O1173" s="21">
        <f t="shared" si="2127"/>
        <v>0</v>
      </c>
    </row>
    <row r="1174">
      <c r="B1174" s="20">
        <v>46290.0</v>
      </c>
      <c r="C1174" s="21">
        <f t="shared" ref="C1174:H1174" si="2128">0</f>
        <v>0</v>
      </c>
      <c r="D1174" s="21">
        <f t="shared" si="2128"/>
        <v>0</v>
      </c>
      <c r="E1174" s="21">
        <f t="shared" si="2128"/>
        <v>0</v>
      </c>
      <c r="F1174" s="21">
        <f t="shared" si="2128"/>
        <v>0</v>
      </c>
      <c r="G1174" s="21">
        <f t="shared" si="2128"/>
        <v>0</v>
      </c>
      <c r="H1174" s="21">
        <f t="shared" si="2128"/>
        <v>0</v>
      </c>
      <c r="I1174" s="21">
        <f>18</f>
        <v>18</v>
      </c>
      <c r="J1174" s="21">
        <f t="shared" ref="J1174:M1174" si="2129">0</f>
        <v>0</v>
      </c>
      <c r="K1174" s="21">
        <f t="shared" si="2129"/>
        <v>0</v>
      </c>
      <c r="L1174" s="21">
        <f t="shared" si="2129"/>
        <v>0</v>
      </c>
      <c r="M1174" s="21">
        <f t="shared" si="2129"/>
        <v>0</v>
      </c>
      <c r="N1174" s="21">
        <f>27</f>
        <v>27</v>
      </c>
      <c r="O1174" s="21">
        <f>0</f>
        <v>0</v>
      </c>
    </row>
    <row r="1175">
      <c r="B1175" s="20">
        <v>46290.0</v>
      </c>
      <c r="C1175" s="21">
        <f t="shared" ref="C1175:L1175" si="2130">0</f>
        <v>0</v>
      </c>
      <c r="D1175" s="21">
        <f t="shared" si="2130"/>
        <v>0</v>
      </c>
      <c r="E1175" s="21">
        <f t="shared" si="2130"/>
        <v>0</v>
      </c>
      <c r="F1175" s="21">
        <f t="shared" si="2130"/>
        <v>0</v>
      </c>
      <c r="G1175" s="21">
        <f t="shared" si="2130"/>
        <v>0</v>
      </c>
      <c r="H1175" s="21">
        <f t="shared" si="2130"/>
        <v>0</v>
      </c>
      <c r="I1175" s="21">
        <f t="shared" si="2130"/>
        <v>0</v>
      </c>
      <c r="J1175" s="21">
        <f t="shared" si="2130"/>
        <v>0</v>
      </c>
      <c r="K1175" s="21">
        <f t="shared" si="2130"/>
        <v>0</v>
      </c>
      <c r="L1175" s="21">
        <f t="shared" si="2130"/>
        <v>0</v>
      </c>
      <c r="M1175" s="21">
        <f>11.6</f>
        <v>11.6</v>
      </c>
      <c r="N1175" s="21">
        <f t="shared" ref="N1175:O1175" si="2131">0</f>
        <v>0</v>
      </c>
      <c r="O1175" s="21">
        <f t="shared" si="2131"/>
        <v>0</v>
      </c>
    </row>
    <row r="1176">
      <c r="B1176" s="20">
        <v>46290.0</v>
      </c>
      <c r="C1176" s="21">
        <f t="shared" ref="C1176:L1176" si="2132">0</f>
        <v>0</v>
      </c>
      <c r="D1176" s="21">
        <f t="shared" si="2132"/>
        <v>0</v>
      </c>
      <c r="E1176" s="21">
        <f t="shared" si="2132"/>
        <v>0</v>
      </c>
      <c r="F1176" s="21">
        <f t="shared" si="2132"/>
        <v>0</v>
      </c>
      <c r="G1176" s="21">
        <f t="shared" si="2132"/>
        <v>0</v>
      </c>
      <c r="H1176" s="21">
        <f t="shared" si="2132"/>
        <v>0</v>
      </c>
      <c r="I1176" s="21">
        <f t="shared" si="2132"/>
        <v>0</v>
      </c>
      <c r="J1176" s="21">
        <f t="shared" si="2132"/>
        <v>0</v>
      </c>
      <c r="K1176" s="21">
        <f t="shared" si="2132"/>
        <v>0</v>
      </c>
      <c r="L1176" s="21">
        <f t="shared" si="2132"/>
        <v>0</v>
      </c>
      <c r="M1176" s="21">
        <f>19</f>
        <v>19</v>
      </c>
      <c r="N1176" s="21">
        <f t="shared" ref="N1176:O1176" si="2133">0</f>
        <v>0</v>
      </c>
      <c r="O1176" s="21">
        <f t="shared" si="2133"/>
        <v>0</v>
      </c>
    </row>
    <row r="1177">
      <c r="B1177" s="20">
        <v>46290.0</v>
      </c>
      <c r="C1177" s="21">
        <f>18.6</f>
        <v>18.6</v>
      </c>
      <c r="D1177" s="21">
        <f t="shared" ref="D1177:L1177" si="2134">0</f>
        <v>0</v>
      </c>
      <c r="E1177" s="21">
        <f t="shared" si="2134"/>
        <v>0</v>
      </c>
      <c r="F1177" s="21">
        <f t="shared" si="2134"/>
        <v>0</v>
      </c>
      <c r="G1177" s="21">
        <f t="shared" si="2134"/>
        <v>0</v>
      </c>
      <c r="H1177" s="21">
        <f t="shared" si="2134"/>
        <v>0</v>
      </c>
      <c r="I1177" s="21">
        <f t="shared" si="2134"/>
        <v>0</v>
      </c>
      <c r="J1177" s="21">
        <f t="shared" si="2134"/>
        <v>0</v>
      </c>
      <c r="K1177" s="21">
        <f t="shared" si="2134"/>
        <v>0</v>
      </c>
      <c r="L1177" s="21">
        <f t="shared" si="2134"/>
        <v>0</v>
      </c>
      <c r="M1177" s="21">
        <f>12.4</f>
        <v>12.4</v>
      </c>
      <c r="N1177" s="21">
        <f t="shared" ref="N1177:O1177" si="2135">0</f>
        <v>0</v>
      </c>
      <c r="O1177" s="21">
        <f t="shared" si="2135"/>
        <v>0</v>
      </c>
    </row>
    <row r="1178">
      <c r="B1178" s="20">
        <v>46290.0</v>
      </c>
      <c r="C1178" s="21">
        <f>5.3</f>
        <v>5.3</v>
      </c>
      <c r="D1178" s="21">
        <f t="shared" ref="D1178:E1178" si="2136">15.9</f>
        <v>15.9</v>
      </c>
      <c r="E1178" s="21">
        <f t="shared" si="2136"/>
        <v>15.9</v>
      </c>
      <c r="F1178" s="21">
        <f>0</f>
        <v>0</v>
      </c>
      <c r="G1178" s="21">
        <f>5.3</f>
        <v>5.3</v>
      </c>
      <c r="H1178" s="21">
        <f t="shared" ref="H1178:L1178" si="2137">0</f>
        <v>0</v>
      </c>
      <c r="I1178" s="21">
        <f t="shared" si="2137"/>
        <v>0</v>
      </c>
      <c r="J1178" s="21">
        <f t="shared" si="2137"/>
        <v>0</v>
      </c>
      <c r="K1178" s="21">
        <f t="shared" si="2137"/>
        <v>0</v>
      </c>
      <c r="L1178" s="21">
        <f t="shared" si="2137"/>
        <v>0</v>
      </c>
      <c r="M1178" s="21">
        <f>10.6</f>
        <v>10.6</v>
      </c>
      <c r="N1178" s="21">
        <f t="shared" ref="N1178:O1178" si="2138">0</f>
        <v>0</v>
      </c>
      <c r="O1178" s="21">
        <f t="shared" si="2138"/>
        <v>0</v>
      </c>
    </row>
    <row r="1179">
      <c r="B1179" s="20">
        <v>46290.0</v>
      </c>
      <c r="C1179" s="21">
        <f>29.6</f>
        <v>29.6</v>
      </c>
      <c r="D1179" s="21">
        <f t="shared" ref="D1179:L1179" si="2139">0</f>
        <v>0</v>
      </c>
      <c r="E1179" s="21">
        <f t="shared" si="2139"/>
        <v>0</v>
      </c>
      <c r="F1179" s="21">
        <f t="shared" si="2139"/>
        <v>0</v>
      </c>
      <c r="G1179" s="21">
        <f t="shared" si="2139"/>
        <v>0</v>
      </c>
      <c r="H1179" s="21">
        <f t="shared" si="2139"/>
        <v>0</v>
      </c>
      <c r="I1179" s="21">
        <f t="shared" si="2139"/>
        <v>0</v>
      </c>
      <c r="J1179" s="21">
        <f t="shared" si="2139"/>
        <v>0</v>
      </c>
      <c r="K1179" s="21">
        <f t="shared" si="2139"/>
        <v>0</v>
      </c>
      <c r="L1179" s="21">
        <f t="shared" si="2139"/>
        <v>0</v>
      </c>
      <c r="M1179" s="21">
        <f>7.4</f>
        <v>7.4</v>
      </c>
      <c r="N1179" s="21">
        <f t="shared" ref="N1179:O1179" si="2140">0</f>
        <v>0</v>
      </c>
      <c r="O1179" s="21">
        <f t="shared" si="2140"/>
        <v>0</v>
      </c>
    </row>
    <row r="1180">
      <c r="B1180" s="20">
        <v>46290.0</v>
      </c>
      <c r="C1180" s="21">
        <f>26.6</f>
        <v>26.6</v>
      </c>
      <c r="D1180" s="21">
        <f t="shared" ref="D1180:H1180" si="2141">0</f>
        <v>0</v>
      </c>
      <c r="E1180" s="21">
        <f t="shared" si="2141"/>
        <v>0</v>
      </c>
      <c r="F1180" s="21">
        <f t="shared" si="2141"/>
        <v>0</v>
      </c>
      <c r="G1180" s="21">
        <f t="shared" si="2141"/>
        <v>0</v>
      </c>
      <c r="H1180" s="21">
        <f t="shared" si="2141"/>
        <v>0</v>
      </c>
      <c r="I1180" s="21">
        <f>3.8</f>
        <v>3.8</v>
      </c>
      <c r="J1180" s="21">
        <f t="shared" ref="J1180:L1180" si="2142">0</f>
        <v>0</v>
      </c>
      <c r="K1180" s="21">
        <f t="shared" si="2142"/>
        <v>0</v>
      </c>
      <c r="L1180" s="21">
        <f t="shared" si="2142"/>
        <v>0</v>
      </c>
      <c r="M1180" s="21">
        <f>7.6</f>
        <v>7.6</v>
      </c>
      <c r="N1180" s="21">
        <f t="shared" ref="N1180:O1180" si="2143">0</f>
        <v>0</v>
      </c>
      <c r="O1180" s="21">
        <f t="shared" si="2143"/>
        <v>0</v>
      </c>
    </row>
    <row r="1181">
      <c r="B1181" s="20">
        <v>46290.0</v>
      </c>
      <c r="C1181" s="21">
        <f t="shared" ref="C1181:H1181" si="2144">0</f>
        <v>0</v>
      </c>
      <c r="D1181" s="21">
        <f t="shared" si="2144"/>
        <v>0</v>
      </c>
      <c r="E1181" s="21">
        <f t="shared" si="2144"/>
        <v>0</v>
      </c>
      <c r="F1181" s="21">
        <f t="shared" si="2144"/>
        <v>0</v>
      </c>
      <c r="G1181" s="21">
        <f t="shared" si="2144"/>
        <v>0</v>
      </c>
      <c r="H1181" s="21">
        <f t="shared" si="2144"/>
        <v>0</v>
      </c>
      <c r="I1181" s="21">
        <f>21</f>
        <v>21</v>
      </c>
      <c r="J1181" s="21">
        <f t="shared" ref="J1181:L1181" si="2145">0</f>
        <v>0</v>
      </c>
      <c r="K1181" s="21">
        <f t="shared" si="2145"/>
        <v>0</v>
      </c>
      <c r="L1181" s="21">
        <f t="shared" si="2145"/>
        <v>0</v>
      </c>
      <c r="M1181" s="21">
        <f>21</f>
        <v>21</v>
      </c>
      <c r="N1181" s="21">
        <f t="shared" ref="N1181:O1181" si="2146">0</f>
        <v>0</v>
      </c>
      <c r="O1181" s="21">
        <f t="shared" si="2146"/>
        <v>0</v>
      </c>
    </row>
    <row r="1182">
      <c r="B1182" s="20">
        <v>46290.0</v>
      </c>
      <c r="C1182" s="21">
        <v>0.0</v>
      </c>
      <c r="D1182" s="21">
        <v>0.0</v>
      </c>
      <c r="E1182" s="21">
        <v>0.0</v>
      </c>
      <c r="F1182" s="21">
        <v>0.0</v>
      </c>
      <c r="G1182" s="21">
        <v>0.0</v>
      </c>
      <c r="H1182" s="21">
        <v>0.0</v>
      </c>
      <c r="I1182" s="21">
        <v>0.0</v>
      </c>
      <c r="J1182" s="21">
        <v>0.0</v>
      </c>
      <c r="K1182" s="21">
        <v>0.0</v>
      </c>
      <c r="L1182" s="21">
        <v>0.0</v>
      </c>
      <c r="M1182" s="21">
        <v>0.0</v>
      </c>
      <c r="N1182" s="21">
        <v>0.0</v>
      </c>
      <c r="O1182" s="21">
        <f>44</f>
        <v>44</v>
      </c>
    </row>
    <row r="1183">
      <c r="B1183" s="20">
        <v>46290.0</v>
      </c>
      <c r="C1183" s="21">
        <f t="shared" ref="C1183:L1183" si="2147">0</f>
        <v>0</v>
      </c>
      <c r="D1183" s="21">
        <f t="shared" si="2147"/>
        <v>0</v>
      </c>
      <c r="E1183" s="21">
        <f t="shared" si="2147"/>
        <v>0</v>
      </c>
      <c r="F1183" s="21">
        <f t="shared" si="2147"/>
        <v>0</v>
      </c>
      <c r="G1183" s="21">
        <f t="shared" si="2147"/>
        <v>0</v>
      </c>
      <c r="H1183" s="21">
        <f t="shared" si="2147"/>
        <v>0</v>
      </c>
      <c r="I1183" s="21">
        <f t="shared" si="2147"/>
        <v>0</v>
      </c>
      <c r="J1183" s="21">
        <f t="shared" si="2147"/>
        <v>0</v>
      </c>
      <c r="K1183" s="21">
        <f t="shared" si="2147"/>
        <v>0</v>
      </c>
      <c r="L1183" s="21">
        <f t="shared" si="2147"/>
        <v>0</v>
      </c>
      <c r="M1183" s="21">
        <f>11.4</f>
        <v>11.4</v>
      </c>
      <c r="N1183" s="21">
        <f>7.6</f>
        <v>7.6</v>
      </c>
      <c r="O1183" s="21">
        <f>0</f>
        <v>0</v>
      </c>
    </row>
    <row r="1184">
      <c r="B1184" s="20">
        <v>46291.0</v>
      </c>
      <c r="C1184" s="21">
        <v>0.0</v>
      </c>
      <c r="D1184" s="21">
        <v>0.0</v>
      </c>
      <c r="E1184" s="21">
        <v>0.0</v>
      </c>
      <c r="F1184" s="21">
        <v>0.0</v>
      </c>
      <c r="G1184" s="21">
        <v>0.0</v>
      </c>
      <c r="H1184" s="21">
        <v>0.0</v>
      </c>
      <c r="I1184" s="21">
        <v>0.0</v>
      </c>
      <c r="J1184" s="21">
        <v>0.0</v>
      </c>
      <c r="K1184" s="21">
        <v>0.0</v>
      </c>
      <c r="L1184" s="21">
        <v>0.0</v>
      </c>
      <c r="M1184" s="21">
        <v>0.0</v>
      </c>
      <c r="N1184" s="21">
        <v>0.0</v>
      </c>
      <c r="O1184" s="21">
        <f>28</f>
        <v>28</v>
      </c>
    </row>
    <row r="1185">
      <c r="B1185" s="20">
        <v>46291.0</v>
      </c>
      <c r="C1185" s="21">
        <f t="shared" ref="C1185:H1185" si="2148">0</f>
        <v>0</v>
      </c>
      <c r="D1185" s="21">
        <f t="shared" si="2148"/>
        <v>0</v>
      </c>
      <c r="E1185" s="21">
        <f t="shared" si="2148"/>
        <v>0</v>
      </c>
      <c r="F1185" s="21">
        <f t="shared" si="2148"/>
        <v>0</v>
      </c>
      <c r="G1185" s="21">
        <f t="shared" si="2148"/>
        <v>0</v>
      </c>
      <c r="H1185" s="21">
        <f t="shared" si="2148"/>
        <v>0</v>
      </c>
      <c r="I1185" s="21">
        <f>30</f>
        <v>30</v>
      </c>
      <c r="J1185" s="21">
        <f t="shared" ref="J1185:O1185" si="2149">0</f>
        <v>0</v>
      </c>
      <c r="K1185" s="21">
        <f t="shared" si="2149"/>
        <v>0</v>
      </c>
      <c r="L1185" s="21">
        <f t="shared" si="2149"/>
        <v>0</v>
      </c>
      <c r="M1185" s="21">
        <f t="shared" si="2149"/>
        <v>0</v>
      </c>
      <c r="N1185" s="21">
        <f t="shared" si="2149"/>
        <v>0</v>
      </c>
      <c r="O1185" s="21">
        <f t="shared" si="2149"/>
        <v>0</v>
      </c>
    </row>
    <row r="1186">
      <c r="B1186" s="20">
        <v>46291.0</v>
      </c>
      <c r="C1186" s="21">
        <f>14.5</f>
        <v>14.5</v>
      </c>
      <c r="D1186" s="21">
        <f t="shared" ref="D1186:L1186" si="2150">0</f>
        <v>0</v>
      </c>
      <c r="E1186" s="21">
        <f t="shared" si="2150"/>
        <v>0</v>
      </c>
      <c r="F1186" s="21">
        <f t="shared" si="2150"/>
        <v>0</v>
      </c>
      <c r="G1186" s="21">
        <f t="shared" si="2150"/>
        <v>0</v>
      </c>
      <c r="H1186" s="21">
        <f t="shared" si="2150"/>
        <v>0</v>
      </c>
      <c r="I1186" s="21">
        <f t="shared" si="2150"/>
        <v>0</v>
      </c>
      <c r="J1186" s="21">
        <f t="shared" si="2150"/>
        <v>0</v>
      </c>
      <c r="K1186" s="21">
        <f t="shared" si="2150"/>
        <v>0</v>
      </c>
      <c r="L1186" s="21">
        <f t="shared" si="2150"/>
        <v>0</v>
      </c>
      <c r="M1186" s="21">
        <f>14.5</f>
        <v>14.5</v>
      </c>
      <c r="N1186" s="21">
        <f t="shared" ref="N1186:O1186" si="2151">0</f>
        <v>0</v>
      </c>
      <c r="O1186" s="21">
        <f t="shared" si="2151"/>
        <v>0</v>
      </c>
    </row>
    <row r="1187">
      <c r="B1187" s="20">
        <v>46291.0</v>
      </c>
      <c r="C1187" s="21">
        <f t="shared" ref="C1187:I1187" si="2152">0</f>
        <v>0</v>
      </c>
      <c r="D1187" s="21">
        <f t="shared" si="2152"/>
        <v>0</v>
      </c>
      <c r="E1187" s="21">
        <f t="shared" si="2152"/>
        <v>0</v>
      </c>
      <c r="F1187" s="21">
        <f t="shared" si="2152"/>
        <v>0</v>
      </c>
      <c r="G1187" s="21">
        <f t="shared" si="2152"/>
        <v>0</v>
      </c>
      <c r="H1187" s="21">
        <f t="shared" si="2152"/>
        <v>0</v>
      </c>
      <c r="I1187" s="21">
        <f t="shared" si="2152"/>
        <v>0</v>
      </c>
      <c r="J1187" s="21">
        <f>352</f>
        <v>352</v>
      </c>
      <c r="K1187" s="21">
        <f t="shared" ref="K1187:O1187" si="2153">0</f>
        <v>0</v>
      </c>
      <c r="L1187" s="21">
        <f t="shared" si="2153"/>
        <v>0</v>
      </c>
      <c r="M1187" s="21">
        <f t="shared" si="2153"/>
        <v>0</v>
      </c>
      <c r="N1187" s="21">
        <f t="shared" si="2153"/>
        <v>0</v>
      </c>
      <c r="O1187" s="21">
        <f t="shared" si="2153"/>
        <v>0</v>
      </c>
    </row>
    <row r="1188">
      <c r="B1188" s="20">
        <v>46291.0</v>
      </c>
      <c r="C1188" s="21">
        <f>13</f>
        <v>13</v>
      </c>
      <c r="D1188" s="21">
        <f t="shared" ref="D1188:N1188" si="2154">0</f>
        <v>0</v>
      </c>
      <c r="E1188" s="21">
        <f t="shared" si="2154"/>
        <v>0</v>
      </c>
      <c r="F1188" s="21">
        <f t="shared" si="2154"/>
        <v>0</v>
      </c>
      <c r="G1188" s="21">
        <f t="shared" si="2154"/>
        <v>0</v>
      </c>
      <c r="H1188" s="21">
        <f t="shared" si="2154"/>
        <v>0</v>
      </c>
      <c r="I1188" s="21">
        <f t="shared" si="2154"/>
        <v>0</v>
      </c>
      <c r="J1188" s="21">
        <f t="shared" si="2154"/>
        <v>0</v>
      </c>
      <c r="K1188" s="21">
        <f t="shared" si="2154"/>
        <v>0</v>
      </c>
      <c r="L1188" s="21">
        <f t="shared" si="2154"/>
        <v>0</v>
      </c>
      <c r="M1188" s="21">
        <f t="shared" si="2154"/>
        <v>0</v>
      </c>
      <c r="N1188" s="21">
        <f t="shared" si="2154"/>
        <v>0</v>
      </c>
      <c r="O1188" s="21">
        <f>13</f>
        <v>13</v>
      </c>
    </row>
    <row r="1189">
      <c r="B1189" s="20">
        <v>46291.0</v>
      </c>
      <c r="C1189" s="21">
        <v>0.0</v>
      </c>
      <c r="D1189" s="21">
        <v>0.0</v>
      </c>
      <c r="E1189" s="21">
        <v>0.0</v>
      </c>
      <c r="F1189" s="21">
        <v>0.0</v>
      </c>
      <c r="G1189" s="21">
        <v>0.0</v>
      </c>
      <c r="H1189" s="21">
        <v>0.0</v>
      </c>
      <c r="I1189" s="21">
        <v>0.0</v>
      </c>
      <c r="J1189" s="21">
        <v>0.0</v>
      </c>
      <c r="K1189" s="21">
        <v>0.0</v>
      </c>
      <c r="L1189" s="21">
        <v>0.0</v>
      </c>
      <c r="M1189" s="21">
        <v>0.0</v>
      </c>
      <c r="N1189" s="21">
        <v>0.0</v>
      </c>
      <c r="O1189" s="21">
        <f>18</f>
        <v>18</v>
      </c>
    </row>
    <row r="1190">
      <c r="B1190" s="20">
        <v>46291.0</v>
      </c>
      <c r="C1190" s="21">
        <v>0.0</v>
      </c>
      <c r="D1190" s="21">
        <v>0.0</v>
      </c>
      <c r="E1190" s="21">
        <v>0.0</v>
      </c>
      <c r="F1190" s="21">
        <v>0.0</v>
      </c>
      <c r="G1190" s="21">
        <v>0.0</v>
      </c>
      <c r="H1190" s="21">
        <v>0.0</v>
      </c>
      <c r="I1190" s="21">
        <v>0.0</v>
      </c>
      <c r="J1190" s="21">
        <v>0.0</v>
      </c>
      <c r="K1190" s="21">
        <v>0.0</v>
      </c>
      <c r="L1190" s="21">
        <v>0.0</v>
      </c>
      <c r="M1190" s="21">
        <v>0.0</v>
      </c>
      <c r="N1190" s="21">
        <v>0.0</v>
      </c>
      <c r="O1190" s="21">
        <f>43</f>
        <v>43</v>
      </c>
    </row>
    <row r="1191">
      <c r="B1191" s="20">
        <v>46291.0</v>
      </c>
      <c r="C1191" s="21">
        <v>0.0</v>
      </c>
      <c r="D1191" s="21">
        <v>0.0</v>
      </c>
      <c r="E1191" s="21">
        <v>0.0</v>
      </c>
      <c r="F1191" s="21">
        <v>0.0</v>
      </c>
      <c r="G1191" s="21">
        <v>0.0</v>
      </c>
      <c r="H1191" s="21">
        <v>0.0</v>
      </c>
      <c r="I1191" s="21">
        <v>0.0</v>
      </c>
      <c r="J1191" s="21">
        <v>0.0</v>
      </c>
      <c r="K1191" s="21">
        <v>0.0</v>
      </c>
      <c r="L1191" s="21">
        <v>0.0</v>
      </c>
      <c r="M1191" s="21">
        <v>0.0</v>
      </c>
      <c r="N1191" s="21">
        <v>0.0</v>
      </c>
      <c r="O1191" s="21">
        <f>101</f>
        <v>101</v>
      </c>
    </row>
    <row r="1192">
      <c r="B1192" s="20">
        <v>46291.0</v>
      </c>
      <c r="C1192" s="21">
        <v>0.0</v>
      </c>
      <c r="D1192" s="21">
        <v>0.0</v>
      </c>
      <c r="E1192" s="21">
        <v>0.0</v>
      </c>
      <c r="F1192" s="21">
        <v>0.0</v>
      </c>
      <c r="G1192" s="21">
        <v>0.0</v>
      </c>
      <c r="H1192" s="21">
        <v>0.0</v>
      </c>
      <c r="I1192" s="21">
        <v>0.0</v>
      </c>
      <c r="J1192" s="21">
        <v>0.0</v>
      </c>
      <c r="K1192" s="21">
        <v>0.0</v>
      </c>
      <c r="L1192" s="21">
        <v>0.0</v>
      </c>
      <c r="M1192" s="21">
        <v>0.0</v>
      </c>
      <c r="N1192" s="21">
        <v>0.0</v>
      </c>
      <c r="O1192" s="21">
        <f>29.6</f>
        <v>29.6</v>
      </c>
    </row>
    <row r="1193">
      <c r="B1193" s="20">
        <v>46291.0</v>
      </c>
      <c r="C1193" s="28">
        <f t="shared" ref="C1193:F1193" si="2155">0</f>
        <v>0</v>
      </c>
      <c r="D1193" s="28">
        <f t="shared" si="2155"/>
        <v>0</v>
      </c>
      <c r="E1193" s="28">
        <f t="shared" si="2155"/>
        <v>0</v>
      </c>
      <c r="F1193" s="28">
        <f t="shared" si="2155"/>
        <v>0</v>
      </c>
      <c r="G1193" s="28">
        <f>32</f>
        <v>32</v>
      </c>
      <c r="H1193" s="28">
        <f t="shared" ref="H1193:K1193" si="2156">0</f>
        <v>0</v>
      </c>
      <c r="I1193" s="28">
        <f t="shared" si="2156"/>
        <v>0</v>
      </c>
      <c r="J1193" s="28">
        <f t="shared" si="2156"/>
        <v>0</v>
      </c>
      <c r="K1193" s="28">
        <f t="shared" si="2156"/>
        <v>0</v>
      </c>
      <c r="L1193" s="28">
        <f>32</f>
        <v>32</v>
      </c>
      <c r="M1193" s="28">
        <f>16</f>
        <v>16</v>
      </c>
      <c r="N1193" s="28">
        <f t="shared" ref="N1193:O1193" si="2157">0</f>
        <v>0</v>
      </c>
      <c r="O1193" s="28">
        <f t="shared" si="2157"/>
        <v>0</v>
      </c>
    </row>
    <row r="1194">
      <c r="B1194" s="20">
        <v>46291.0</v>
      </c>
      <c r="C1194" s="21">
        <f t="shared" ref="C1194:H1194" si="2158">0</f>
        <v>0</v>
      </c>
      <c r="D1194" s="21">
        <f t="shared" si="2158"/>
        <v>0</v>
      </c>
      <c r="E1194" s="21">
        <f t="shared" si="2158"/>
        <v>0</v>
      </c>
      <c r="F1194" s="21">
        <f t="shared" si="2158"/>
        <v>0</v>
      </c>
      <c r="G1194" s="21">
        <f t="shared" si="2158"/>
        <v>0</v>
      </c>
      <c r="H1194" s="21">
        <f t="shared" si="2158"/>
        <v>0</v>
      </c>
      <c r="I1194" s="21">
        <f>7.2</f>
        <v>7.2</v>
      </c>
      <c r="J1194" s="21">
        <f t="shared" ref="J1194:L1194" si="2159">0</f>
        <v>0</v>
      </c>
      <c r="K1194" s="21">
        <f t="shared" si="2159"/>
        <v>0</v>
      </c>
      <c r="L1194" s="21">
        <f t="shared" si="2159"/>
        <v>0</v>
      </c>
      <c r="M1194" s="21">
        <f>7.2</f>
        <v>7.2</v>
      </c>
      <c r="N1194" s="21">
        <f>9.6</f>
        <v>9.6</v>
      </c>
      <c r="O1194" s="21">
        <f>0</f>
        <v>0</v>
      </c>
    </row>
    <row r="1195">
      <c r="B1195" s="20">
        <v>46291.0</v>
      </c>
      <c r="C1195" s="21">
        <f t="shared" ref="C1195:L1195" si="2160">0</f>
        <v>0</v>
      </c>
      <c r="D1195" s="21">
        <f t="shared" si="2160"/>
        <v>0</v>
      </c>
      <c r="E1195" s="21">
        <f t="shared" si="2160"/>
        <v>0</v>
      </c>
      <c r="F1195" s="21">
        <f t="shared" si="2160"/>
        <v>0</v>
      </c>
      <c r="G1195" s="21">
        <f t="shared" si="2160"/>
        <v>0</v>
      </c>
      <c r="H1195" s="21">
        <f t="shared" si="2160"/>
        <v>0</v>
      </c>
      <c r="I1195" s="21">
        <f t="shared" si="2160"/>
        <v>0</v>
      </c>
      <c r="J1195" s="21">
        <f t="shared" si="2160"/>
        <v>0</v>
      </c>
      <c r="K1195" s="21">
        <f t="shared" si="2160"/>
        <v>0</v>
      </c>
      <c r="L1195" s="21">
        <f t="shared" si="2160"/>
        <v>0</v>
      </c>
      <c r="M1195" s="21">
        <f>24</f>
        <v>24</v>
      </c>
      <c r="N1195" s="21">
        <f t="shared" ref="N1195:O1195" si="2161">0</f>
        <v>0</v>
      </c>
      <c r="O1195" s="21">
        <f t="shared" si="2161"/>
        <v>0</v>
      </c>
    </row>
    <row r="1196">
      <c r="B1196" s="20">
        <v>46291.0</v>
      </c>
      <c r="C1196" s="21">
        <f t="shared" ref="C1196:H1196" si="2162">0</f>
        <v>0</v>
      </c>
      <c r="D1196" s="21">
        <f t="shared" si="2162"/>
        <v>0</v>
      </c>
      <c r="E1196" s="21">
        <f t="shared" si="2162"/>
        <v>0</v>
      </c>
      <c r="F1196" s="21">
        <f t="shared" si="2162"/>
        <v>0</v>
      </c>
      <c r="G1196" s="21">
        <f t="shared" si="2162"/>
        <v>0</v>
      </c>
      <c r="H1196" s="21">
        <f t="shared" si="2162"/>
        <v>0</v>
      </c>
      <c r="I1196" s="21">
        <f>12.8</f>
        <v>12.8</v>
      </c>
      <c r="J1196" s="21">
        <f>3.2</f>
        <v>3.2</v>
      </c>
      <c r="K1196" s="21">
        <f t="shared" ref="K1196:O1196" si="2163">0</f>
        <v>0</v>
      </c>
      <c r="L1196" s="21">
        <f t="shared" si="2163"/>
        <v>0</v>
      </c>
      <c r="M1196" s="21">
        <f t="shared" si="2163"/>
        <v>0</v>
      </c>
      <c r="N1196" s="21">
        <f t="shared" si="2163"/>
        <v>0</v>
      </c>
      <c r="O1196" s="21">
        <f t="shared" si="2163"/>
        <v>0</v>
      </c>
    </row>
    <row r="1197">
      <c r="B1197" s="20">
        <v>46291.0</v>
      </c>
      <c r="C1197" s="21">
        <f>16.8</f>
        <v>16.8</v>
      </c>
      <c r="D1197" s="21">
        <f t="shared" ref="D1197:M1197" si="2164">0</f>
        <v>0</v>
      </c>
      <c r="E1197" s="21">
        <f t="shared" si="2164"/>
        <v>0</v>
      </c>
      <c r="F1197" s="21">
        <f t="shared" si="2164"/>
        <v>0</v>
      </c>
      <c r="G1197" s="21">
        <f t="shared" si="2164"/>
        <v>0</v>
      </c>
      <c r="H1197" s="21">
        <f t="shared" si="2164"/>
        <v>0</v>
      </c>
      <c r="I1197" s="21">
        <f t="shared" si="2164"/>
        <v>0</v>
      </c>
      <c r="J1197" s="21">
        <f t="shared" si="2164"/>
        <v>0</v>
      </c>
      <c r="K1197" s="21">
        <f t="shared" si="2164"/>
        <v>0</v>
      </c>
      <c r="L1197" s="21">
        <f t="shared" si="2164"/>
        <v>0</v>
      </c>
      <c r="M1197" s="21">
        <f t="shared" si="2164"/>
        <v>0</v>
      </c>
      <c r="N1197" s="21">
        <f>4.2</f>
        <v>4.2</v>
      </c>
      <c r="O1197" s="21">
        <f>0</f>
        <v>0</v>
      </c>
    </row>
    <row r="1198">
      <c r="B1198" s="20">
        <v>46291.0</v>
      </c>
      <c r="C1198" s="21">
        <f>2.6</f>
        <v>2.6</v>
      </c>
      <c r="D1198" s="21">
        <f t="shared" ref="D1198:F1198" si="2165">0</f>
        <v>0</v>
      </c>
      <c r="E1198" s="21">
        <f t="shared" si="2165"/>
        <v>0</v>
      </c>
      <c r="F1198" s="21">
        <f t="shared" si="2165"/>
        <v>0</v>
      </c>
      <c r="G1198" s="21">
        <f>2.6</f>
        <v>2.6</v>
      </c>
      <c r="H1198" s="21">
        <f>0</f>
        <v>0</v>
      </c>
      <c r="I1198" s="21">
        <f>7.8</f>
        <v>7.8</v>
      </c>
      <c r="J1198" s="21">
        <f t="shared" ref="J1198:O1198" si="2166">0</f>
        <v>0</v>
      </c>
      <c r="K1198" s="21">
        <f t="shared" si="2166"/>
        <v>0</v>
      </c>
      <c r="L1198" s="21">
        <f t="shared" si="2166"/>
        <v>0</v>
      </c>
      <c r="M1198" s="21">
        <f t="shared" si="2166"/>
        <v>0</v>
      </c>
      <c r="N1198" s="21">
        <f t="shared" si="2166"/>
        <v>0</v>
      </c>
      <c r="O1198" s="21">
        <f t="shared" si="2166"/>
        <v>0</v>
      </c>
    </row>
    <row r="1199">
      <c r="B1199" s="20">
        <v>46291.0</v>
      </c>
      <c r="C1199" s="21">
        <f>0</f>
        <v>0</v>
      </c>
      <c r="D1199" s="21">
        <f>2</f>
        <v>2</v>
      </c>
      <c r="E1199" s="21">
        <f t="shared" ref="E1199:G1199" si="2167">0</f>
        <v>0</v>
      </c>
      <c r="F1199" s="21">
        <f t="shared" si="2167"/>
        <v>0</v>
      </c>
      <c r="G1199" s="21">
        <f t="shared" si="2167"/>
        <v>0</v>
      </c>
      <c r="H1199" s="21">
        <f>12</f>
        <v>12</v>
      </c>
      <c r="I1199" s="21">
        <f t="shared" ref="I1199:L1199" si="2168">0</f>
        <v>0</v>
      </c>
      <c r="J1199" s="21">
        <f t="shared" si="2168"/>
        <v>0</v>
      </c>
      <c r="K1199" s="21">
        <f t="shared" si="2168"/>
        <v>0</v>
      </c>
      <c r="L1199" s="21">
        <f t="shared" si="2168"/>
        <v>0</v>
      </c>
      <c r="M1199" s="21">
        <f>6</f>
        <v>6</v>
      </c>
      <c r="N1199" s="21">
        <f t="shared" ref="N1199:O1199" si="2169">0</f>
        <v>0</v>
      </c>
      <c r="O1199" s="21">
        <f t="shared" si="2169"/>
        <v>0</v>
      </c>
    </row>
    <row r="1200">
      <c r="B1200" s="20">
        <v>46291.0</v>
      </c>
      <c r="C1200" s="21">
        <f>37</f>
        <v>37</v>
      </c>
      <c r="D1200" s="21">
        <f t="shared" ref="D1200:O1200" si="2170">0</f>
        <v>0</v>
      </c>
      <c r="E1200" s="21">
        <f t="shared" si="2170"/>
        <v>0</v>
      </c>
      <c r="F1200" s="21">
        <f t="shared" si="2170"/>
        <v>0</v>
      </c>
      <c r="G1200" s="21">
        <f t="shared" si="2170"/>
        <v>0</v>
      </c>
      <c r="H1200" s="21">
        <f t="shared" si="2170"/>
        <v>0</v>
      </c>
      <c r="I1200" s="21">
        <f t="shared" si="2170"/>
        <v>0</v>
      </c>
      <c r="J1200" s="21">
        <f t="shared" si="2170"/>
        <v>0</v>
      </c>
      <c r="K1200" s="21">
        <f t="shared" si="2170"/>
        <v>0</v>
      </c>
      <c r="L1200" s="21">
        <f t="shared" si="2170"/>
        <v>0</v>
      </c>
      <c r="M1200" s="21">
        <f t="shared" si="2170"/>
        <v>0</v>
      </c>
      <c r="N1200" s="21">
        <f t="shared" si="2170"/>
        <v>0</v>
      </c>
      <c r="O1200" s="21">
        <f t="shared" si="2170"/>
        <v>0</v>
      </c>
    </row>
    <row r="1201">
      <c r="B1201" s="20">
        <v>46291.0</v>
      </c>
      <c r="C1201" s="21">
        <f t="shared" ref="C1201:H1201" si="2171">0</f>
        <v>0</v>
      </c>
      <c r="D1201" s="21">
        <f t="shared" si="2171"/>
        <v>0</v>
      </c>
      <c r="E1201" s="21">
        <f t="shared" si="2171"/>
        <v>0</v>
      </c>
      <c r="F1201" s="21">
        <f t="shared" si="2171"/>
        <v>0</v>
      </c>
      <c r="G1201" s="21">
        <f t="shared" si="2171"/>
        <v>0</v>
      </c>
      <c r="H1201" s="21">
        <f t="shared" si="2171"/>
        <v>0</v>
      </c>
      <c r="I1201" s="21">
        <f>40</f>
        <v>40</v>
      </c>
      <c r="J1201" s="21">
        <f t="shared" ref="J1201:L1201" si="2172">0</f>
        <v>0</v>
      </c>
      <c r="K1201" s="21">
        <f t="shared" si="2172"/>
        <v>0</v>
      </c>
      <c r="L1201" s="21">
        <f t="shared" si="2172"/>
        <v>0</v>
      </c>
      <c r="M1201" s="21">
        <f>5</f>
        <v>5</v>
      </c>
      <c r="N1201" s="21">
        <f>0</f>
        <v>0</v>
      </c>
      <c r="O1201" s="21">
        <f>5</f>
        <v>5</v>
      </c>
    </row>
    <row r="1202">
      <c r="B1202" s="20">
        <v>46291.0</v>
      </c>
      <c r="C1202" s="21">
        <f t="shared" ref="C1202:E1202" si="2173">0</f>
        <v>0</v>
      </c>
      <c r="D1202" s="21">
        <f t="shared" si="2173"/>
        <v>0</v>
      </c>
      <c r="E1202" s="21">
        <f t="shared" si="2173"/>
        <v>0</v>
      </c>
      <c r="F1202" s="21">
        <f>13.05</f>
        <v>13.05</v>
      </c>
      <c r="G1202" s="21">
        <f t="shared" ref="G1202:H1202" si="2174">0</f>
        <v>0</v>
      </c>
      <c r="H1202" s="21">
        <f t="shared" si="2174"/>
        <v>0</v>
      </c>
      <c r="I1202" s="21">
        <f>13.05</f>
        <v>13.05</v>
      </c>
      <c r="J1202" s="21">
        <f t="shared" ref="J1202:N1202" si="2175">0</f>
        <v>0</v>
      </c>
      <c r="K1202" s="21">
        <f t="shared" si="2175"/>
        <v>0</v>
      </c>
      <c r="L1202" s="21">
        <f t="shared" si="2175"/>
        <v>0</v>
      </c>
      <c r="M1202" s="21">
        <f t="shared" si="2175"/>
        <v>0</v>
      </c>
      <c r="N1202" s="21">
        <f t="shared" si="2175"/>
        <v>0</v>
      </c>
      <c r="O1202" s="21">
        <f>2.9</f>
        <v>2.9</v>
      </c>
    </row>
    <row r="1203">
      <c r="B1203" s="20">
        <v>46292.0</v>
      </c>
      <c r="C1203" s="21">
        <f>2.6</f>
        <v>2.6</v>
      </c>
      <c r="D1203" s="21">
        <f t="shared" ref="D1203:L1203" si="2176">0</f>
        <v>0</v>
      </c>
      <c r="E1203" s="21">
        <f t="shared" si="2176"/>
        <v>0</v>
      </c>
      <c r="F1203" s="21">
        <f t="shared" si="2176"/>
        <v>0</v>
      </c>
      <c r="G1203" s="21">
        <f t="shared" si="2176"/>
        <v>0</v>
      </c>
      <c r="H1203" s="21">
        <f t="shared" si="2176"/>
        <v>0</v>
      </c>
      <c r="I1203" s="21">
        <f t="shared" si="2176"/>
        <v>0</v>
      </c>
      <c r="J1203" s="21">
        <f t="shared" si="2176"/>
        <v>0</v>
      </c>
      <c r="K1203" s="21">
        <f t="shared" si="2176"/>
        <v>0</v>
      </c>
      <c r="L1203" s="21">
        <f t="shared" si="2176"/>
        <v>0</v>
      </c>
      <c r="M1203" s="21">
        <f>2.6</f>
        <v>2.6</v>
      </c>
      <c r="N1203" s="21">
        <f>0</f>
        <v>0</v>
      </c>
      <c r="O1203" s="21">
        <f>7.8</f>
        <v>7.8</v>
      </c>
    </row>
    <row r="1204">
      <c r="B1204" s="20">
        <v>46292.0</v>
      </c>
      <c r="C1204" s="21">
        <f>14.4</f>
        <v>14.4</v>
      </c>
      <c r="D1204" s="21">
        <f t="shared" ref="D1204:H1204" si="2177">0</f>
        <v>0</v>
      </c>
      <c r="E1204" s="21">
        <f t="shared" si="2177"/>
        <v>0</v>
      </c>
      <c r="F1204" s="21">
        <f t="shared" si="2177"/>
        <v>0</v>
      </c>
      <c r="G1204" s="21">
        <f t="shared" si="2177"/>
        <v>0</v>
      </c>
      <c r="H1204" s="21">
        <f t="shared" si="2177"/>
        <v>0</v>
      </c>
      <c r="I1204" s="21">
        <f>3.6</f>
        <v>3.6</v>
      </c>
      <c r="J1204" s="21">
        <f t="shared" ref="J1204:O1204" si="2178">0</f>
        <v>0</v>
      </c>
      <c r="K1204" s="21">
        <f t="shared" si="2178"/>
        <v>0</v>
      </c>
      <c r="L1204" s="21">
        <f t="shared" si="2178"/>
        <v>0</v>
      </c>
      <c r="M1204" s="21">
        <f t="shared" si="2178"/>
        <v>0</v>
      </c>
      <c r="N1204" s="21">
        <f t="shared" si="2178"/>
        <v>0</v>
      </c>
      <c r="O1204" s="21">
        <f t="shared" si="2178"/>
        <v>0</v>
      </c>
    </row>
    <row r="1205">
      <c r="B1205" s="20">
        <v>46292.0</v>
      </c>
      <c r="C1205" s="21">
        <f t="shared" ref="C1205:F1205" si="2179">0</f>
        <v>0</v>
      </c>
      <c r="D1205" s="21">
        <f t="shared" si="2179"/>
        <v>0</v>
      </c>
      <c r="E1205" s="21">
        <f t="shared" si="2179"/>
        <v>0</v>
      </c>
      <c r="F1205" s="21">
        <f t="shared" si="2179"/>
        <v>0</v>
      </c>
      <c r="G1205" s="21">
        <f>12.6</f>
        <v>12.6</v>
      </c>
      <c r="H1205" s="21">
        <f>0</f>
        <v>0</v>
      </c>
      <c r="I1205" s="21">
        <f>12.6</f>
        <v>12.6</v>
      </c>
      <c r="J1205" s="21">
        <f>37.8</f>
        <v>37.8</v>
      </c>
      <c r="K1205" s="21">
        <f t="shared" ref="K1205:O1205" si="2180">0</f>
        <v>0</v>
      </c>
      <c r="L1205" s="21">
        <f t="shared" si="2180"/>
        <v>0</v>
      </c>
      <c r="M1205" s="21">
        <f t="shared" si="2180"/>
        <v>0</v>
      </c>
      <c r="N1205" s="21">
        <f t="shared" si="2180"/>
        <v>0</v>
      </c>
      <c r="O1205" s="21">
        <f t="shared" si="2180"/>
        <v>0</v>
      </c>
    </row>
    <row r="1206">
      <c r="B1206" s="20">
        <v>46292.0</v>
      </c>
      <c r="C1206" s="21">
        <f t="shared" ref="C1206:L1206" si="2181">0</f>
        <v>0</v>
      </c>
      <c r="D1206" s="21">
        <f t="shared" si="2181"/>
        <v>0</v>
      </c>
      <c r="E1206" s="21">
        <f t="shared" si="2181"/>
        <v>0</v>
      </c>
      <c r="F1206" s="21">
        <f t="shared" si="2181"/>
        <v>0</v>
      </c>
      <c r="G1206" s="21">
        <f t="shared" si="2181"/>
        <v>0</v>
      </c>
      <c r="H1206" s="21">
        <f t="shared" si="2181"/>
        <v>0</v>
      </c>
      <c r="I1206" s="21">
        <f t="shared" si="2181"/>
        <v>0</v>
      </c>
      <c r="J1206" s="21">
        <f t="shared" si="2181"/>
        <v>0</v>
      </c>
      <c r="K1206" s="21">
        <f t="shared" si="2181"/>
        <v>0</v>
      </c>
      <c r="L1206" s="21">
        <f t="shared" si="2181"/>
        <v>0</v>
      </c>
      <c r="M1206" s="21">
        <f>5.1</f>
        <v>5.1</v>
      </c>
      <c r="N1206" s="21">
        <f>0</f>
        <v>0</v>
      </c>
      <c r="O1206" s="21">
        <f>45.9</f>
        <v>45.9</v>
      </c>
    </row>
    <row r="1207">
      <c r="B1207" s="20">
        <v>46292.0</v>
      </c>
      <c r="C1207" s="21">
        <f>5.4</f>
        <v>5.4</v>
      </c>
      <c r="D1207" s="21">
        <f t="shared" ref="D1207:H1207" si="2182">0</f>
        <v>0</v>
      </c>
      <c r="E1207" s="21">
        <f t="shared" si="2182"/>
        <v>0</v>
      </c>
      <c r="F1207" s="21">
        <f t="shared" si="2182"/>
        <v>0</v>
      </c>
      <c r="G1207" s="21">
        <f t="shared" si="2182"/>
        <v>0</v>
      </c>
      <c r="H1207" s="21">
        <f t="shared" si="2182"/>
        <v>0</v>
      </c>
      <c r="I1207" s="21">
        <f>9</f>
        <v>9</v>
      </c>
      <c r="J1207" s="21">
        <f t="shared" ref="J1207:N1207" si="2183">0</f>
        <v>0</v>
      </c>
      <c r="K1207" s="21">
        <f t="shared" si="2183"/>
        <v>0</v>
      </c>
      <c r="L1207" s="21">
        <f t="shared" si="2183"/>
        <v>0</v>
      </c>
      <c r="M1207" s="21">
        <f t="shared" si="2183"/>
        <v>0</v>
      </c>
      <c r="N1207" s="21">
        <f t="shared" si="2183"/>
        <v>0</v>
      </c>
      <c r="O1207" s="21">
        <f>3.6</f>
        <v>3.6</v>
      </c>
    </row>
    <row r="1208">
      <c r="B1208" s="20">
        <v>46292.0</v>
      </c>
      <c r="C1208" s="21">
        <f t="shared" ref="C1208:L1208" si="2184">0</f>
        <v>0</v>
      </c>
      <c r="D1208" s="21">
        <f t="shared" si="2184"/>
        <v>0</v>
      </c>
      <c r="E1208" s="21">
        <f t="shared" si="2184"/>
        <v>0</v>
      </c>
      <c r="F1208" s="21">
        <f t="shared" si="2184"/>
        <v>0</v>
      </c>
      <c r="G1208" s="21">
        <f t="shared" si="2184"/>
        <v>0</v>
      </c>
      <c r="H1208" s="21">
        <f t="shared" si="2184"/>
        <v>0</v>
      </c>
      <c r="I1208" s="21">
        <f t="shared" si="2184"/>
        <v>0</v>
      </c>
      <c r="J1208" s="21">
        <f t="shared" si="2184"/>
        <v>0</v>
      </c>
      <c r="K1208" s="21">
        <f t="shared" si="2184"/>
        <v>0</v>
      </c>
      <c r="L1208" s="21">
        <f t="shared" si="2184"/>
        <v>0</v>
      </c>
      <c r="M1208" s="21">
        <f>32</f>
        <v>32</v>
      </c>
      <c r="N1208" s="21">
        <f t="shared" ref="N1208:O1208" si="2185">0</f>
        <v>0</v>
      </c>
      <c r="O1208" s="21">
        <f t="shared" si="2185"/>
        <v>0</v>
      </c>
    </row>
    <row r="1209">
      <c r="B1209" s="20">
        <v>46292.0</v>
      </c>
      <c r="C1209" s="21">
        <f t="shared" ref="C1209:D1209" si="2186">0</f>
        <v>0</v>
      </c>
      <c r="D1209" s="21">
        <f t="shared" si="2186"/>
        <v>0</v>
      </c>
      <c r="E1209" s="21">
        <f>17</f>
        <v>17</v>
      </c>
      <c r="F1209" s="21">
        <f t="shared" ref="F1209:N1209" si="2187">0</f>
        <v>0</v>
      </c>
      <c r="G1209" s="21">
        <f t="shared" si="2187"/>
        <v>0</v>
      </c>
      <c r="H1209" s="21">
        <f t="shared" si="2187"/>
        <v>0</v>
      </c>
      <c r="I1209" s="21">
        <f t="shared" si="2187"/>
        <v>0</v>
      </c>
      <c r="J1209" s="21">
        <f t="shared" si="2187"/>
        <v>0</v>
      </c>
      <c r="K1209" s="21">
        <f t="shared" si="2187"/>
        <v>0</v>
      </c>
      <c r="L1209" s="21">
        <f t="shared" si="2187"/>
        <v>0</v>
      </c>
      <c r="M1209" s="21">
        <f t="shared" si="2187"/>
        <v>0</v>
      </c>
      <c r="N1209" s="21">
        <f t="shared" si="2187"/>
        <v>0</v>
      </c>
      <c r="O1209" s="21">
        <f>17</f>
        <v>17</v>
      </c>
    </row>
    <row r="1210">
      <c r="B1210" s="20">
        <v>46292.0</v>
      </c>
      <c r="C1210" s="21">
        <f>34</f>
        <v>34</v>
      </c>
      <c r="D1210" s="21">
        <f t="shared" ref="D1210:O1210" si="2188">0</f>
        <v>0</v>
      </c>
      <c r="E1210" s="21">
        <f t="shared" si="2188"/>
        <v>0</v>
      </c>
      <c r="F1210" s="21">
        <f t="shared" si="2188"/>
        <v>0</v>
      </c>
      <c r="G1210" s="21">
        <f t="shared" si="2188"/>
        <v>0</v>
      </c>
      <c r="H1210" s="21">
        <f t="shared" si="2188"/>
        <v>0</v>
      </c>
      <c r="I1210" s="21">
        <f t="shared" si="2188"/>
        <v>0</v>
      </c>
      <c r="J1210" s="21">
        <f t="shared" si="2188"/>
        <v>0</v>
      </c>
      <c r="K1210" s="21">
        <f t="shared" si="2188"/>
        <v>0</v>
      </c>
      <c r="L1210" s="21">
        <f t="shared" si="2188"/>
        <v>0</v>
      </c>
      <c r="M1210" s="21">
        <f t="shared" si="2188"/>
        <v>0</v>
      </c>
      <c r="N1210" s="21">
        <f t="shared" si="2188"/>
        <v>0</v>
      </c>
      <c r="O1210" s="21">
        <f t="shared" si="2188"/>
        <v>0</v>
      </c>
    </row>
    <row r="1211">
      <c r="B1211" s="20">
        <v>46292.0</v>
      </c>
      <c r="C1211" s="21">
        <f t="shared" ref="C1211:C1215" si="2192">0</f>
        <v>0</v>
      </c>
      <c r="D1211" s="21">
        <f>6</f>
        <v>6</v>
      </c>
      <c r="E1211" s="21">
        <f t="shared" ref="E1211:H1211" si="2189">0</f>
        <v>0</v>
      </c>
      <c r="F1211" s="21">
        <f t="shared" si="2189"/>
        <v>0</v>
      </c>
      <c r="G1211" s="21">
        <f t="shared" si="2189"/>
        <v>0</v>
      </c>
      <c r="H1211" s="21">
        <f t="shared" si="2189"/>
        <v>0</v>
      </c>
      <c r="I1211" s="21">
        <f>8</f>
        <v>8</v>
      </c>
      <c r="J1211" s="21">
        <f t="shared" ref="J1211:L1211" si="2190">0</f>
        <v>0</v>
      </c>
      <c r="K1211" s="21">
        <f t="shared" si="2190"/>
        <v>0</v>
      </c>
      <c r="L1211" s="21">
        <f t="shared" si="2190"/>
        <v>0</v>
      </c>
      <c r="M1211" s="21">
        <f>6</f>
        <v>6</v>
      </c>
      <c r="N1211" s="21">
        <f t="shared" ref="N1211:O1211" si="2191">0</f>
        <v>0</v>
      </c>
      <c r="O1211" s="21">
        <f t="shared" si="2191"/>
        <v>0</v>
      </c>
    </row>
    <row r="1212">
      <c r="B1212" s="20">
        <v>46292.0</v>
      </c>
      <c r="C1212" s="21">
        <f t="shared" si="2192"/>
        <v>0</v>
      </c>
      <c r="D1212" s="21">
        <f t="shared" ref="D1212:E1212" si="2193">0</f>
        <v>0</v>
      </c>
      <c r="E1212" s="21">
        <f t="shared" si="2193"/>
        <v>0</v>
      </c>
      <c r="F1212" s="21">
        <f>9</f>
        <v>9</v>
      </c>
      <c r="G1212" s="21">
        <f t="shared" ref="G1212:I1212" si="2194">0</f>
        <v>0</v>
      </c>
      <c r="H1212" s="21">
        <f t="shared" si="2194"/>
        <v>0</v>
      </c>
      <c r="I1212" s="21">
        <f t="shared" si="2194"/>
        <v>0</v>
      </c>
      <c r="J1212" s="21">
        <f>9</f>
        <v>9</v>
      </c>
      <c r="K1212" s="21">
        <f t="shared" ref="K1212:O1212" si="2195">0</f>
        <v>0</v>
      </c>
      <c r="L1212" s="21">
        <f t="shared" si="2195"/>
        <v>0</v>
      </c>
      <c r="M1212" s="21">
        <f t="shared" si="2195"/>
        <v>0</v>
      </c>
      <c r="N1212" s="21">
        <f t="shared" si="2195"/>
        <v>0</v>
      </c>
      <c r="O1212" s="21">
        <f t="shared" si="2195"/>
        <v>0</v>
      </c>
    </row>
    <row r="1213">
      <c r="B1213" s="20">
        <v>46292.0</v>
      </c>
      <c r="C1213" s="21">
        <f t="shared" si="2192"/>
        <v>0</v>
      </c>
      <c r="D1213" s="21">
        <f t="shared" ref="D1213:L1213" si="2196">0</f>
        <v>0</v>
      </c>
      <c r="E1213" s="21">
        <f t="shared" si="2196"/>
        <v>0</v>
      </c>
      <c r="F1213" s="21">
        <f t="shared" si="2196"/>
        <v>0</v>
      </c>
      <c r="G1213" s="21">
        <f t="shared" si="2196"/>
        <v>0</v>
      </c>
      <c r="H1213" s="21">
        <f t="shared" si="2196"/>
        <v>0</v>
      </c>
      <c r="I1213" s="21">
        <f t="shared" si="2196"/>
        <v>0</v>
      </c>
      <c r="J1213" s="21">
        <f t="shared" si="2196"/>
        <v>0</v>
      </c>
      <c r="K1213" s="21">
        <f t="shared" si="2196"/>
        <v>0</v>
      </c>
      <c r="L1213" s="21">
        <f t="shared" si="2196"/>
        <v>0</v>
      </c>
      <c r="M1213" s="21">
        <f>9.4</f>
        <v>9.4</v>
      </c>
      <c r="N1213" s="21">
        <f t="shared" ref="N1213:O1213" si="2197">0</f>
        <v>0</v>
      </c>
      <c r="O1213" s="21">
        <f t="shared" si="2197"/>
        <v>0</v>
      </c>
    </row>
    <row r="1214">
      <c r="B1214" s="20">
        <v>46292.0</v>
      </c>
      <c r="C1214" s="21">
        <f t="shared" si="2192"/>
        <v>0</v>
      </c>
      <c r="D1214" s="21">
        <f t="shared" ref="D1214:E1214" si="2198">0</f>
        <v>0</v>
      </c>
      <c r="E1214" s="21">
        <f t="shared" si="2198"/>
        <v>0</v>
      </c>
      <c r="F1214" s="21">
        <f>8.4</f>
        <v>8.4</v>
      </c>
      <c r="G1214" s="21">
        <f t="shared" ref="G1214:H1214" si="2199">0</f>
        <v>0</v>
      </c>
      <c r="H1214" s="21">
        <f t="shared" si="2199"/>
        <v>0</v>
      </c>
      <c r="I1214" s="21">
        <f>21</f>
        <v>21</v>
      </c>
      <c r="J1214" s="21">
        <f t="shared" ref="J1214:N1214" si="2200">0</f>
        <v>0</v>
      </c>
      <c r="K1214" s="21">
        <f t="shared" si="2200"/>
        <v>0</v>
      </c>
      <c r="L1214" s="21">
        <f t="shared" si="2200"/>
        <v>0</v>
      </c>
      <c r="M1214" s="21">
        <f t="shared" si="2200"/>
        <v>0</v>
      </c>
      <c r="N1214" s="21">
        <f t="shared" si="2200"/>
        <v>0</v>
      </c>
      <c r="O1214" s="21">
        <f>12.6</f>
        <v>12.6</v>
      </c>
    </row>
    <row r="1215">
      <c r="B1215" s="20">
        <v>46293.0</v>
      </c>
      <c r="C1215" s="21">
        <f t="shared" si="2192"/>
        <v>0</v>
      </c>
      <c r="D1215" s="21">
        <f t="shared" ref="D1215:N1215" si="2201">0</f>
        <v>0</v>
      </c>
      <c r="E1215" s="21">
        <f t="shared" si="2201"/>
        <v>0</v>
      </c>
      <c r="F1215" s="21">
        <f t="shared" si="2201"/>
        <v>0</v>
      </c>
      <c r="G1215" s="21">
        <f t="shared" si="2201"/>
        <v>0</v>
      </c>
      <c r="H1215" s="21">
        <f t="shared" si="2201"/>
        <v>0</v>
      </c>
      <c r="I1215" s="21">
        <f t="shared" si="2201"/>
        <v>0</v>
      </c>
      <c r="J1215" s="21">
        <f t="shared" si="2201"/>
        <v>0</v>
      </c>
      <c r="K1215" s="21">
        <f t="shared" si="2201"/>
        <v>0</v>
      </c>
      <c r="L1215" s="21">
        <f t="shared" si="2201"/>
        <v>0</v>
      </c>
      <c r="M1215" s="21">
        <f t="shared" si="2201"/>
        <v>0</v>
      </c>
      <c r="N1215" s="21">
        <f t="shared" si="2201"/>
        <v>0</v>
      </c>
      <c r="O1215" s="21">
        <f>9</f>
        <v>9</v>
      </c>
    </row>
    <row r="1216">
      <c r="B1216" s="20">
        <v>46293.0</v>
      </c>
      <c r="C1216" s="21">
        <v>0.0</v>
      </c>
      <c r="D1216" s="21">
        <v>0.0</v>
      </c>
      <c r="E1216" s="21">
        <v>0.0</v>
      </c>
      <c r="F1216" s="21">
        <v>0.0</v>
      </c>
      <c r="G1216" s="21">
        <v>0.0</v>
      </c>
      <c r="H1216" s="21">
        <v>0.0</v>
      </c>
      <c r="I1216" s="21">
        <v>0.0</v>
      </c>
      <c r="J1216" s="21">
        <v>0.0</v>
      </c>
      <c r="K1216" s="21">
        <v>0.0</v>
      </c>
      <c r="L1216" s="21">
        <v>0.0</v>
      </c>
      <c r="M1216" s="21">
        <v>0.0</v>
      </c>
      <c r="N1216" s="21">
        <v>0.0</v>
      </c>
      <c r="O1216" s="21">
        <f>23.6</f>
        <v>23.6</v>
      </c>
    </row>
    <row r="1217">
      <c r="B1217" s="20">
        <v>46293.0</v>
      </c>
      <c r="C1217" s="21">
        <v>0.0</v>
      </c>
      <c r="D1217" s="21">
        <v>0.0</v>
      </c>
      <c r="E1217" s="21">
        <v>0.0</v>
      </c>
      <c r="F1217" s="21">
        <v>0.0</v>
      </c>
      <c r="G1217" s="21">
        <v>0.0</v>
      </c>
      <c r="H1217" s="21">
        <v>0.0</v>
      </c>
      <c r="I1217" s="21">
        <v>0.0</v>
      </c>
      <c r="J1217" s="21">
        <v>0.0</v>
      </c>
      <c r="K1217" s="21">
        <v>0.0</v>
      </c>
      <c r="L1217" s="21">
        <v>0.0</v>
      </c>
      <c r="M1217" s="21">
        <v>0.0</v>
      </c>
      <c r="N1217" s="21">
        <v>0.0</v>
      </c>
      <c r="O1217" s="21">
        <f>18</f>
        <v>18</v>
      </c>
    </row>
    <row r="1218">
      <c r="B1218" s="20">
        <v>46293.0</v>
      </c>
      <c r="C1218" s="21">
        <v>0.0</v>
      </c>
      <c r="D1218" s="21">
        <v>0.0</v>
      </c>
      <c r="E1218" s="21">
        <v>0.0</v>
      </c>
      <c r="F1218" s="21">
        <v>0.0</v>
      </c>
      <c r="G1218" s="21">
        <v>0.0</v>
      </c>
      <c r="H1218" s="21">
        <v>0.0</v>
      </c>
      <c r="I1218" s="21">
        <v>0.0</v>
      </c>
      <c r="J1218" s="21">
        <v>0.0</v>
      </c>
      <c r="K1218" s="21">
        <v>0.0</v>
      </c>
      <c r="L1218" s="21">
        <v>0.0</v>
      </c>
      <c r="M1218" s="21">
        <v>0.0</v>
      </c>
      <c r="N1218" s="21">
        <v>0.0</v>
      </c>
      <c r="O1218" s="21">
        <f>75</f>
        <v>75</v>
      </c>
    </row>
    <row r="1219">
      <c r="B1219" s="20">
        <v>46293.0</v>
      </c>
      <c r="C1219" s="21">
        <f>0</f>
        <v>0</v>
      </c>
      <c r="D1219" s="21">
        <f>6.6</f>
        <v>6.6</v>
      </c>
      <c r="E1219" s="21">
        <f t="shared" ref="E1219:H1219" si="2202">0</f>
        <v>0</v>
      </c>
      <c r="F1219" s="21">
        <f t="shared" si="2202"/>
        <v>0</v>
      </c>
      <c r="G1219" s="21">
        <f t="shared" si="2202"/>
        <v>0</v>
      </c>
      <c r="H1219" s="21">
        <f t="shared" si="2202"/>
        <v>0</v>
      </c>
      <c r="I1219" s="21">
        <f>23.1</f>
        <v>23.1</v>
      </c>
      <c r="J1219" s="21">
        <f t="shared" ref="J1219:L1219" si="2203">0</f>
        <v>0</v>
      </c>
      <c r="K1219" s="21">
        <f t="shared" si="2203"/>
        <v>0</v>
      </c>
      <c r="L1219" s="21">
        <f t="shared" si="2203"/>
        <v>0</v>
      </c>
      <c r="M1219" s="21">
        <f>3.3</f>
        <v>3.3</v>
      </c>
      <c r="N1219" s="21">
        <f t="shared" ref="N1219:O1219" si="2204">0</f>
        <v>0</v>
      </c>
      <c r="O1219" s="21">
        <f t="shared" si="2204"/>
        <v>0</v>
      </c>
    </row>
    <row r="1220">
      <c r="B1220" s="20">
        <v>46293.0</v>
      </c>
      <c r="C1220" s="21">
        <f>5.1</f>
        <v>5.1</v>
      </c>
      <c r="D1220" s="21">
        <f t="shared" ref="D1220:H1220" si="2205">0</f>
        <v>0</v>
      </c>
      <c r="E1220" s="21">
        <f t="shared" si="2205"/>
        <v>0</v>
      </c>
      <c r="F1220" s="21">
        <f t="shared" si="2205"/>
        <v>0</v>
      </c>
      <c r="G1220" s="21">
        <f t="shared" si="2205"/>
        <v>0</v>
      </c>
      <c r="H1220" s="21">
        <f t="shared" si="2205"/>
        <v>0</v>
      </c>
      <c r="I1220" s="21">
        <f>35.7</f>
        <v>35.7</v>
      </c>
      <c r="J1220" s="21">
        <f t="shared" ref="J1220:L1220" si="2206">0</f>
        <v>0</v>
      </c>
      <c r="K1220" s="21">
        <f t="shared" si="2206"/>
        <v>0</v>
      </c>
      <c r="L1220" s="21">
        <f t="shared" si="2206"/>
        <v>0</v>
      </c>
      <c r="M1220" s="21">
        <f>5.1</f>
        <v>5.1</v>
      </c>
      <c r="N1220" s="21">
        <f>0</f>
        <v>0</v>
      </c>
      <c r="O1220" s="21">
        <f>5.1</f>
        <v>5.1</v>
      </c>
    </row>
    <row r="1221">
      <c r="B1221" s="20">
        <v>46293.0</v>
      </c>
      <c r="C1221" s="21">
        <f>12.9</f>
        <v>12.9</v>
      </c>
      <c r="D1221" s="21">
        <f t="shared" ref="D1221:H1221" si="2207">0</f>
        <v>0</v>
      </c>
      <c r="E1221" s="21">
        <f t="shared" si="2207"/>
        <v>0</v>
      </c>
      <c r="F1221" s="21">
        <f t="shared" si="2207"/>
        <v>0</v>
      </c>
      <c r="G1221" s="21">
        <f t="shared" si="2207"/>
        <v>0</v>
      </c>
      <c r="H1221" s="21">
        <f t="shared" si="2207"/>
        <v>0</v>
      </c>
      <c r="I1221" s="21">
        <f>25.8</f>
        <v>25.8</v>
      </c>
      <c r="J1221" s="21">
        <f t="shared" ref="J1221:N1221" si="2208">0</f>
        <v>0</v>
      </c>
      <c r="K1221" s="21">
        <f t="shared" si="2208"/>
        <v>0</v>
      </c>
      <c r="L1221" s="21">
        <f t="shared" si="2208"/>
        <v>0</v>
      </c>
      <c r="M1221" s="21">
        <f t="shared" si="2208"/>
        <v>0</v>
      </c>
      <c r="N1221" s="21">
        <f t="shared" si="2208"/>
        <v>0</v>
      </c>
      <c r="O1221" s="21">
        <f>4.3</f>
        <v>4.3</v>
      </c>
    </row>
    <row r="1222">
      <c r="B1222" s="20">
        <v>46293.0</v>
      </c>
      <c r="C1222" s="21">
        <f>14.4</f>
        <v>14.4</v>
      </c>
      <c r="D1222" s="21">
        <f t="shared" ref="D1222:N1222" si="2209">0</f>
        <v>0</v>
      </c>
      <c r="E1222" s="21">
        <f t="shared" si="2209"/>
        <v>0</v>
      </c>
      <c r="F1222" s="21">
        <f t="shared" si="2209"/>
        <v>0</v>
      </c>
      <c r="G1222" s="21">
        <f t="shared" si="2209"/>
        <v>0</v>
      </c>
      <c r="H1222" s="21">
        <f t="shared" si="2209"/>
        <v>0</v>
      </c>
      <c r="I1222" s="21">
        <f t="shared" si="2209"/>
        <v>0</v>
      </c>
      <c r="J1222" s="21">
        <f t="shared" si="2209"/>
        <v>0</v>
      </c>
      <c r="K1222" s="21">
        <f t="shared" si="2209"/>
        <v>0</v>
      </c>
      <c r="L1222" s="21">
        <f t="shared" si="2209"/>
        <v>0</v>
      </c>
      <c r="M1222" s="21">
        <f t="shared" si="2209"/>
        <v>0</v>
      </c>
      <c r="N1222" s="21">
        <f t="shared" si="2209"/>
        <v>0</v>
      </c>
      <c r="O1222" s="21">
        <f>1.6</f>
        <v>1.6</v>
      </c>
    </row>
    <row r="1223">
      <c r="B1223" s="20">
        <v>46293.0</v>
      </c>
      <c r="C1223" s="21">
        <f t="shared" ref="C1223:L1223" si="2210">0</f>
        <v>0</v>
      </c>
      <c r="D1223" s="21">
        <f t="shared" si="2210"/>
        <v>0</v>
      </c>
      <c r="E1223" s="21">
        <f t="shared" si="2210"/>
        <v>0</v>
      </c>
      <c r="F1223" s="21">
        <f t="shared" si="2210"/>
        <v>0</v>
      </c>
      <c r="G1223" s="21">
        <f t="shared" si="2210"/>
        <v>0</v>
      </c>
      <c r="H1223" s="21">
        <f t="shared" si="2210"/>
        <v>0</v>
      </c>
      <c r="I1223" s="21">
        <f t="shared" si="2210"/>
        <v>0</v>
      </c>
      <c r="J1223" s="21">
        <f t="shared" si="2210"/>
        <v>0</v>
      </c>
      <c r="K1223" s="21">
        <f t="shared" si="2210"/>
        <v>0</v>
      </c>
      <c r="L1223" s="21">
        <f t="shared" si="2210"/>
        <v>0</v>
      </c>
      <c r="M1223" s="21">
        <f>19.8</f>
        <v>19.8</v>
      </c>
      <c r="N1223" s="21">
        <f t="shared" ref="N1223:N1224" si="2213">0</f>
        <v>0</v>
      </c>
      <c r="O1223" s="21">
        <f>2.2</f>
        <v>2.2</v>
      </c>
    </row>
    <row r="1224">
      <c r="B1224" s="20">
        <v>46293.0</v>
      </c>
      <c r="C1224" s="21">
        <f t="shared" ref="C1224:F1224" si="2211">0</f>
        <v>0</v>
      </c>
      <c r="D1224" s="21">
        <f t="shared" si="2211"/>
        <v>0</v>
      </c>
      <c r="E1224" s="21">
        <f t="shared" si="2211"/>
        <v>0</v>
      </c>
      <c r="F1224" s="21">
        <f t="shared" si="2211"/>
        <v>0</v>
      </c>
      <c r="G1224" s="21">
        <f>6.9</f>
        <v>6.9</v>
      </c>
      <c r="H1224" s="21">
        <f t="shared" ref="H1224:H1226" si="2215">0</f>
        <v>0</v>
      </c>
      <c r="I1224" s="21">
        <f>23</f>
        <v>23</v>
      </c>
      <c r="J1224" s="21">
        <f t="shared" ref="J1224:L1224" si="2212">0</f>
        <v>0</v>
      </c>
      <c r="K1224" s="21">
        <f t="shared" si="2212"/>
        <v>0</v>
      </c>
      <c r="L1224" s="21">
        <f t="shared" si="2212"/>
        <v>0</v>
      </c>
      <c r="M1224" s="21">
        <f>11.5</f>
        <v>11.5</v>
      </c>
      <c r="N1224" s="21">
        <f t="shared" si="2213"/>
        <v>0</v>
      </c>
      <c r="O1224" s="21">
        <f>4.6</f>
        <v>4.6</v>
      </c>
    </row>
    <row r="1225">
      <c r="B1225" s="20">
        <v>46293.0</v>
      </c>
      <c r="C1225" s="21">
        <f t="shared" ref="C1225:F1225" si="2214">0</f>
        <v>0</v>
      </c>
      <c r="D1225" s="21">
        <f t="shared" si="2214"/>
        <v>0</v>
      </c>
      <c r="E1225" s="21">
        <f t="shared" si="2214"/>
        <v>0</v>
      </c>
      <c r="F1225" s="21">
        <f t="shared" si="2214"/>
        <v>0</v>
      </c>
      <c r="G1225" s="21">
        <f>5.25</f>
        <v>5.25</v>
      </c>
      <c r="H1225" s="21">
        <f t="shared" si="2215"/>
        <v>0</v>
      </c>
      <c r="I1225" s="21">
        <f>26.25</f>
        <v>26.25</v>
      </c>
      <c r="J1225" s="21">
        <f t="shared" ref="J1225:M1225" si="2216">0</f>
        <v>0</v>
      </c>
      <c r="K1225" s="21">
        <f t="shared" si="2216"/>
        <v>0</v>
      </c>
      <c r="L1225" s="21">
        <f t="shared" si="2216"/>
        <v>0</v>
      </c>
      <c r="M1225" s="21">
        <f t="shared" si="2216"/>
        <v>0</v>
      </c>
      <c r="N1225" s="21">
        <f>3.5</f>
        <v>3.5</v>
      </c>
      <c r="O1225" s="21">
        <f>0</f>
        <v>0</v>
      </c>
    </row>
    <row r="1226">
      <c r="B1226" s="20">
        <v>46293.0</v>
      </c>
      <c r="C1226" s="21">
        <f t="shared" ref="C1226:F1226" si="2217">0</f>
        <v>0</v>
      </c>
      <c r="D1226" s="21">
        <f t="shared" si="2217"/>
        <v>0</v>
      </c>
      <c r="E1226" s="21">
        <f t="shared" si="2217"/>
        <v>0</v>
      </c>
      <c r="F1226" s="21">
        <f t="shared" si="2217"/>
        <v>0</v>
      </c>
      <c r="G1226" s="21">
        <f>5.9</f>
        <v>5.9</v>
      </c>
      <c r="H1226" s="21">
        <f t="shared" si="2215"/>
        <v>0</v>
      </c>
      <c r="I1226" s="21">
        <f>47.2</f>
        <v>47.2</v>
      </c>
      <c r="J1226" s="21">
        <f t="shared" ref="J1226:L1226" si="2218">0</f>
        <v>0</v>
      </c>
      <c r="K1226" s="21">
        <f t="shared" si="2218"/>
        <v>0</v>
      </c>
      <c r="L1226" s="21">
        <f t="shared" si="2218"/>
        <v>0</v>
      </c>
      <c r="M1226" s="21">
        <f>5.9</f>
        <v>5.9</v>
      </c>
      <c r="N1226" s="21">
        <f t="shared" ref="N1226:O1226" si="2219">0</f>
        <v>0</v>
      </c>
      <c r="O1226" s="21">
        <f t="shared" si="2219"/>
        <v>0</v>
      </c>
    </row>
    <row r="1227">
      <c r="B1227" s="20">
        <v>46293.0</v>
      </c>
      <c r="C1227" s="21">
        <f t="shared" ref="C1227:D1227" si="2220">0</f>
        <v>0</v>
      </c>
      <c r="D1227" s="21">
        <f t="shared" si="2220"/>
        <v>0</v>
      </c>
      <c r="E1227" s="21">
        <f>3</f>
        <v>3</v>
      </c>
      <c r="F1227" s="21">
        <f t="shared" ref="F1227:L1227" si="2221">0</f>
        <v>0</v>
      </c>
      <c r="G1227" s="21">
        <f t="shared" si="2221"/>
        <v>0</v>
      </c>
      <c r="H1227" s="21">
        <f t="shared" si="2221"/>
        <v>0</v>
      </c>
      <c r="I1227" s="21">
        <f t="shared" si="2221"/>
        <v>0</v>
      </c>
      <c r="J1227" s="21">
        <f t="shared" si="2221"/>
        <v>0</v>
      </c>
      <c r="K1227" s="21">
        <f t="shared" si="2221"/>
        <v>0</v>
      </c>
      <c r="L1227" s="21">
        <f t="shared" si="2221"/>
        <v>0</v>
      </c>
      <c r="M1227" s="21">
        <f>27</f>
        <v>27</v>
      </c>
      <c r="N1227" s="21">
        <f t="shared" ref="N1227:O1227" si="2222">0</f>
        <v>0</v>
      </c>
      <c r="O1227" s="21">
        <f t="shared" si="2222"/>
        <v>0</v>
      </c>
    </row>
    <row r="1228">
      <c r="B1228" s="20">
        <v>46293.0</v>
      </c>
      <c r="C1228" s="21">
        <v>0.0</v>
      </c>
      <c r="D1228" s="21">
        <v>0.0</v>
      </c>
      <c r="E1228" s="21">
        <v>0.0</v>
      </c>
      <c r="F1228" s="21">
        <v>0.0</v>
      </c>
      <c r="G1228" s="21">
        <v>0.0</v>
      </c>
      <c r="H1228" s="21">
        <v>0.0</v>
      </c>
      <c r="I1228" s="21">
        <v>0.0</v>
      </c>
      <c r="J1228" s="21">
        <v>0.0</v>
      </c>
      <c r="K1228" s="21">
        <v>0.0</v>
      </c>
      <c r="L1228" s="21">
        <v>0.0</v>
      </c>
      <c r="M1228" s="21">
        <v>0.0</v>
      </c>
      <c r="N1228" s="21">
        <v>0.0</v>
      </c>
      <c r="O1228" s="21">
        <f>24</f>
        <v>24</v>
      </c>
    </row>
    <row r="1229">
      <c r="B1229" s="20">
        <v>46293.0</v>
      </c>
      <c r="C1229" s="21">
        <f t="shared" ref="C1229:E1229" si="2223">0</f>
        <v>0</v>
      </c>
      <c r="D1229" s="21">
        <f t="shared" si="2223"/>
        <v>0</v>
      </c>
      <c r="E1229" s="21">
        <f t="shared" si="2223"/>
        <v>0</v>
      </c>
      <c r="F1229" s="21">
        <f>2.3</f>
        <v>2.3</v>
      </c>
      <c r="G1229" s="21">
        <f>6.9</f>
        <v>6.9</v>
      </c>
      <c r="H1229" s="21">
        <f>11.5</f>
        <v>11.5</v>
      </c>
      <c r="I1229" s="21">
        <f t="shared" ref="I1229:L1229" si="2224">0</f>
        <v>0</v>
      </c>
      <c r="J1229" s="21">
        <f t="shared" si="2224"/>
        <v>0</v>
      </c>
      <c r="K1229" s="21">
        <f t="shared" si="2224"/>
        <v>0</v>
      </c>
      <c r="L1229" s="21">
        <f t="shared" si="2224"/>
        <v>0</v>
      </c>
      <c r="M1229" s="21">
        <f>2.3</f>
        <v>2.3</v>
      </c>
      <c r="N1229" s="21">
        <f t="shared" ref="N1229:O1229" si="2225">0</f>
        <v>0</v>
      </c>
      <c r="O1229" s="21">
        <f t="shared" si="2225"/>
        <v>0</v>
      </c>
    </row>
    <row r="1230">
      <c r="B1230" s="20">
        <v>46293.0</v>
      </c>
      <c r="C1230" s="21">
        <f>41</f>
        <v>41</v>
      </c>
      <c r="D1230" s="21">
        <f t="shared" ref="D1230:O1230" si="2226">0</f>
        <v>0</v>
      </c>
      <c r="E1230" s="21">
        <f t="shared" si="2226"/>
        <v>0</v>
      </c>
      <c r="F1230" s="21">
        <f t="shared" si="2226"/>
        <v>0</v>
      </c>
      <c r="G1230" s="21">
        <f t="shared" si="2226"/>
        <v>0</v>
      </c>
      <c r="H1230" s="21">
        <f t="shared" si="2226"/>
        <v>0</v>
      </c>
      <c r="I1230" s="21">
        <f t="shared" si="2226"/>
        <v>0</v>
      </c>
      <c r="J1230" s="21">
        <f t="shared" si="2226"/>
        <v>0</v>
      </c>
      <c r="K1230" s="21">
        <f t="shared" si="2226"/>
        <v>0</v>
      </c>
      <c r="L1230" s="21">
        <f t="shared" si="2226"/>
        <v>0</v>
      </c>
      <c r="M1230" s="21">
        <f t="shared" si="2226"/>
        <v>0</v>
      </c>
      <c r="N1230" s="21">
        <f t="shared" si="2226"/>
        <v>0</v>
      </c>
      <c r="O1230" s="21">
        <f t="shared" si="2226"/>
        <v>0</v>
      </c>
    </row>
    <row r="1231">
      <c r="B1231" s="20">
        <v>46295.0</v>
      </c>
      <c r="C1231" s="21">
        <f t="shared" ref="C1231:F1231" si="2227">0</f>
        <v>0</v>
      </c>
      <c r="D1231" s="21">
        <f t="shared" si="2227"/>
        <v>0</v>
      </c>
      <c r="E1231" s="21">
        <f t="shared" si="2227"/>
        <v>0</v>
      </c>
      <c r="F1231" s="21">
        <f t="shared" si="2227"/>
        <v>0</v>
      </c>
      <c r="G1231" s="21">
        <f>20</f>
        <v>20</v>
      </c>
      <c r="H1231" s="21">
        <f t="shared" ref="H1231:L1231" si="2228">0</f>
        <v>0</v>
      </c>
      <c r="I1231" s="21">
        <f t="shared" si="2228"/>
        <v>0</v>
      </c>
      <c r="J1231" s="21">
        <f t="shared" si="2228"/>
        <v>0</v>
      </c>
      <c r="K1231" s="21">
        <f t="shared" si="2228"/>
        <v>0</v>
      </c>
      <c r="L1231" s="21">
        <f t="shared" si="2228"/>
        <v>0</v>
      </c>
      <c r="M1231" s="21">
        <f>20</f>
        <v>20</v>
      </c>
      <c r="N1231" s="21">
        <f t="shared" ref="N1231:O1231" si="2229">0</f>
        <v>0</v>
      </c>
      <c r="O1231" s="21">
        <f t="shared" si="2229"/>
        <v>0</v>
      </c>
    </row>
    <row r="1232">
      <c r="B1232" s="20">
        <v>46295.0</v>
      </c>
      <c r="C1232" s="21">
        <f t="shared" ref="C1232:H1232" si="2230">0</f>
        <v>0</v>
      </c>
      <c r="D1232" s="21">
        <f t="shared" si="2230"/>
        <v>0</v>
      </c>
      <c r="E1232" s="21">
        <f t="shared" si="2230"/>
        <v>0</v>
      </c>
      <c r="F1232" s="21">
        <f t="shared" si="2230"/>
        <v>0</v>
      </c>
      <c r="G1232" s="21">
        <f t="shared" si="2230"/>
        <v>0</v>
      </c>
      <c r="H1232" s="21">
        <f t="shared" si="2230"/>
        <v>0</v>
      </c>
      <c r="I1232" s="21">
        <f>14</f>
        <v>14</v>
      </c>
      <c r="J1232" s="21">
        <f t="shared" ref="J1232:K1232" si="2231">0</f>
        <v>0</v>
      </c>
      <c r="K1232" s="21">
        <f t="shared" si="2231"/>
        <v>0</v>
      </c>
      <c r="L1232" s="21"/>
      <c r="M1232" s="21"/>
      <c r="N1232" s="21"/>
      <c r="O1232" s="21"/>
    </row>
    <row r="1233">
      <c r="B1233" s="20">
        <v>46295.0</v>
      </c>
      <c r="C1233" s="21">
        <f t="shared" ref="C1233:E1233" si="2232">0</f>
        <v>0</v>
      </c>
      <c r="D1233" s="21">
        <f t="shared" si="2232"/>
        <v>0</v>
      </c>
      <c r="E1233" s="21">
        <f t="shared" si="2232"/>
        <v>0</v>
      </c>
      <c r="F1233" s="21">
        <f>7.6</f>
        <v>7.6</v>
      </c>
      <c r="G1233" s="21">
        <f t="shared" ref="G1233:H1233" si="2233">0</f>
        <v>0</v>
      </c>
      <c r="H1233" s="21">
        <f t="shared" si="2233"/>
        <v>0</v>
      </c>
      <c r="I1233" s="21">
        <f>15.2</f>
        <v>15.2</v>
      </c>
      <c r="J1233" s="21">
        <f t="shared" ref="J1233:L1233" si="2234">0</f>
        <v>0</v>
      </c>
      <c r="K1233" s="21">
        <f t="shared" si="2234"/>
        <v>0</v>
      </c>
      <c r="L1233" s="21">
        <f t="shared" si="2234"/>
        <v>0</v>
      </c>
      <c r="M1233" s="21">
        <f>11.4</f>
        <v>11.4</v>
      </c>
      <c r="N1233" s="21">
        <f t="shared" ref="N1233:N1234" si="2235">0</f>
        <v>0</v>
      </c>
      <c r="O1233" s="21">
        <f>3.8</f>
        <v>3.8</v>
      </c>
    </row>
    <row r="1234">
      <c r="B1234" s="20">
        <v>46295.0</v>
      </c>
      <c r="C1234" s="21">
        <v>0.0</v>
      </c>
      <c r="D1234" s="21">
        <v>0.0</v>
      </c>
      <c r="E1234" s="21">
        <v>0.0</v>
      </c>
      <c r="F1234" s="21">
        <v>0.0</v>
      </c>
      <c r="G1234" s="21">
        <v>0.0</v>
      </c>
      <c r="H1234" s="21">
        <v>0.0</v>
      </c>
      <c r="I1234" s="21">
        <v>0.0</v>
      </c>
      <c r="J1234" s="21">
        <v>0.0</v>
      </c>
      <c r="K1234" s="21">
        <v>0.0</v>
      </c>
      <c r="L1234" s="21">
        <v>0.0</v>
      </c>
      <c r="M1234" s="21">
        <v>0.0</v>
      </c>
      <c r="N1234" s="21">
        <f t="shared" si="2235"/>
        <v>0</v>
      </c>
      <c r="O1234" s="21">
        <f>0</f>
        <v>0</v>
      </c>
    </row>
    <row r="1235">
      <c r="B1235" s="20">
        <v>46295.0</v>
      </c>
      <c r="C1235" s="21">
        <v>0.0</v>
      </c>
      <c r="D1235" s="21">
        <v>0.0</v>
      </c>
      <c r="E1235" s="21">
        <v>0.0</v>
      </c>
      <c r="F1235" s="21">
        <v>0.0</v>
      </c>
      <c r="G1235" s="21">
        <v>0.0</v>
      </c>
      <c r="H1235" s="21">
        <v>0.0</v>
      </c>
      <c r="I1235" s="21">
        <f>94</f>
        <v>94</v>
      </c>
      <c r="J1235" s="21">
        <v>0.0</v>
      </c>
      <c r="K1235" s="21">
        <v>0.0</v>
      </c>
      <c r="L1235" s="21">
        <v>0.0</v>
      </c>
      <c r="M1235" s="21">
        <v>0.0</v>
      </c>
      <c r="N1235" s="21">
        <v>0.0</v>
      </c>
      <c r="O1235" s="21">
        <v>0.0</v>
      </c>
    </row>
    <row r="1236">
      <c r="B1236" s="20">
        <v>46295.0</v>
      </c>
      <c r="C1236" s="21">
        <f t="shared" ref="C1236:I1236" si="2236">0</f>
        <v>0</v>
      </c>
      <c r="D1236" s="21">
        <f t="shared" si="2236"/>
        <v>0</v>
      </c>
      <c r="E1236" s="21">
        <f t="shared" si="2236"/>
        <v>0</v>
      </c>
      <c r="F1236" s="21">
        <f t="shared" si="2236"/>
        <v>0</v>
      </c>
      <c r="G1236" s="21">
        <f t="shared" si="2236"/>
        <v>0</v>
      </c>
      <c r="H1236" s="21">
        <f t="shared" si="2236"/>
        <v>0</v>
      </c>
      <c r="I1236" s="21">
        <f t="shared" si="2236"/>
        <v>0</v>
      </c>
      <c r="J1236" s="21">
        <f>122</f>
        <v>122</v>
      </c>
      <c r="K1236" s="21">
        <f t="shared" ref="K1236:O1236" si="2237">0</f>
        <v>0</v>
      </c>
      <c r="L1236" s="21">
        <f t="shared" si="2237"/>
        <v>0</v>
      </c>
      <c r="M1236" s="21">
        <f t="shared" si="2237"/>
        <v>0</v>
      </c>
      <c r="N1236" s="21">
        <f t="shared" si="2237"/>
        <v>0</v>
      </c>
      <c r="O1236" s="21">
        <f t="shared" si="2237"/>
        <v>0</v>
      </c>
    </row>
    <row r="1237">
      <c r="B1237" s="20">
        <v>46295.0</v>
      </c>
      <c r="C1237" s="21">
        <f>125</f>
        <v>125</v>
      </c>
      <c r="D1237" s="21">
        <f t="shared" ref="D1237:O1237" si="2238">0</f>
        <v>0</v>
      </c>
      <c r="E1237" s="21">
        <f t="shared" si="2238"/>
        <v>0</v>
      </c>
      <c r="F1237" s="21">
        <f t="shared" si="2238"/>
        <v>0</v>
      </c>
      <c r="G1237" s="21">
        <f t="shared" si="2238"/>
        <v>0</v>
      </c>
      <c r="H1237" s="21">
        <f t="shared" si="2238"/>
        <v>0</v>
      </c>
      <c r="I1237" s="21">
        <f t="shared" si="2238"/>
        <v>0</v>
      </c>
      <c r="J1237" s="21">
        <f t="shared" si="2238"/>
        <v>0</v>
      </c>
      <c r="K1237" s="21">
        <f t="shared" si="2238"/>
        <v>0</v>
      </c>
      <c r="L1237" s="21">
        <f t="shared" si="2238"/>
        <v>0</v>
      </c>
      <c r="M1237" s="21">
        <f t="shared" si="2238"/>
        <v>0</v>
      </c>
      <c r="N1237" s="21">
        <f t="shared" si="2238"/>
        <v>0</v>
      </c>
      <c r="O1237" s="21">
        <f t="shared" si="2238"/>
        <v>0</v>
      </c>
    </row>
    <row r="1238">
      <c r="B1238" s="20">
        <v>46295.0</v>
      </c>
      <c r="C1238" s="21">
        <f t="shared" ref="C1238:C1244" si="2241">0</f>
        <v>0</v>
      </c>
      <c r="D1238" s="21">
        <f>5.35</f>
        <v>5.35</v>
      </c>
      <c r="E1238" s="21">
        <f t="shared" ref="E1238:H1238" si="2239">0</f>
        <v>0</v>
      </c>
      <c r="F1238" s="21">
        <f t="shared" si="2239"/>
        <v>0</v>
      </c>
      <c r="G1238" s="21">
        <f t="shared" si="2239"/>
        <v>0</v>
      </c>
      <c r="H1238" s="21">
        <f t="shared" si="2239"/>
        <v>0</v>
      </c>
      <c r="I1238" s="21">
        <f>101.65</f>
        <v>101.65</v>
      </c>
      <c r="J1238" s="21">
        <f t="shared" ref="J1238:O1238" si="2240">0</f>
        <v>0</v>
      </c>
      <c r="K1238" s="21">
        <f t="shared" si="2240"/>
        <v>0</v>
      </c>
      <c r="L1238" s="21">
        <f t="shared" si="2240"/>
        <v>0</v>
      </c>
      <c r="M1238" s="21">
        <f t="shared" si="2240"/>
        <v>0</v>
      </c>
      <c r="N1238" s="21">
        <f t="shared" si="2240"/>
        <v>0</v>
      </c>
      <c r="O1238" s="21">
        <f t="shared" si="2240"/>
        <v>0</v>
      </c>
    </row>
    <row r="1239">
      <c r="B1239" s="20">
        <v>46295.0</v>
      </c>
      <c r="C1239" s="21">
        <f t="shared" si="2241"/>
        <v>0</v>
      </c>
      <c r="D1239" s="21">
        <f t="shared" ref="D1239:E1239" si="2242">0</f>
        <v>0</v>
      </c>
      <c r="E1239" s="21">
        <f t="shared" si="2242"/>
        <v>0</v>
      </c>
      <c r="F1239" s="21">
        <f>7</f>
        <v>7</v>
      </c>
      <c r="G1239" s="21">
        <f t="shared" ref="G1239:H1239" si="2243">0</f>
        <v>0</v>
      </c>
      <c r="H1239" s="21">
        <f t="shared" si="2243"/>
        <v>0</v>
      </c>
      <c r="I1239" s="21">
        <f>7</f>
        <v>7</v>
      </c>
      <c r="J1239" s="21">
        <f t="shared" ref="J1239:O1239" si="2244">0</f>
        <v>0</v>
      </c>
      <c r="K1239" s="21">
        <f t="shared" si="2244"/>
        <v>0</v>
      </c>
      <c r="L1239" s="21">
        <f t="shared" si="2244"/>
        <v>0</v>
      </c>
      <c r="M1239" s="21">
        <f t="shared" si="2244"/>
        <v>0</v>
      </c>
      <c r="N1239" s="21">
        <f t="shared" si="2244"/>
        <v>0</v>
      </c>
      <c r="O1239" s="21">
        <f t="shared" si="2244"/>
        <v>0</v>
      </c>
    </row>
    <row r="1240">
      <c r="B1240" s="20">
        <v>46295.0</v>
      </c>
      <c r="C1240" s="21">
        <f t="shared" si="2241"/>
        <v>0</v>
      </c>
      <c r="D1240" s="21">
        <f t="shared" ref="D1240:E1240" si="2245">0</f>
        <v>0</v>
      </c>
      <c r="E1240" s="21">
        <f t="shared" si="2245"/>
        <v>0</v>
      </c>
      <c r="F1240" s="21">
        <f>25.6</f>
        <v>25.6</v>
      </c>
      <c r="G1240" s="21">
        <f t="shared" ref="G1240:H1240" si="2246">0</f>
        <v>0</v>
      </c>
      <c r="H1240" s="21">
        <f t="shared" si="2246"/>
        <v>0</v>
      </c>
      <c r="I1240" s="21">
        <f>6.4</f>
        <v>6.4</v>
      </c>
      <c r="J1240" s="21">
        <f t="shared" ref="J1240:O1240" si="2247">0</f>
        <v>0</v>
      </c>
      <c r="K1240" s="21">
        <f t="shared" si="2247"/>
        <v>0</v>
      </c>
      <c r="L1240" s="21">
        <f t="shared" si="2247"/>
        <v>0</v>
      </c>
      <c r="M1240" s="21">
        <f t="shared" si="2247"/>
        <v>0</v>
      </c>
      <c r="N1240" s="21">
        <f t="shared" si="2247"/>
        <v>0</v>
      </c>
      <c r="O1240" s="21">
        <f t="shared" si="2247"/>
        <v>0</v>
      </c>
    </row>
    <row r="1241">
      <c r="B1241" s="20">
        <v>46295.0</v>
      </c>
      <c r="C1241" s="21">
        <f t="shared" si="2241"/>
        <v>0</v>
      </c>
      <c r="D1241" s="21">
        <f t="shared" ref="D1241:E1241" si="2248">0</f>
        <v>0</v>
      </c>
      <c r="E1241" s="21">
        <f t="shared" si="2248"/>
        <v>0</v>
      </c>
      <c r="F1241" s="21">
        <f>21.6</f>
        <v>21.6</v>
      </c>
      <c r="G1241" s="21">
        <f t="shared" ref="G1241:N1241" si="2249">0</f>
        <v>0</v>
      </c>
      <c r="H1241" s="21">
        <f t="shared" si="2249"/>
        <v>0</v>
      </c>
      <c r="I1241" s="21">
        <f t="shared" si="2249"/>
        <v>0</v>
      </c>
      <c r="J1241" s="21">
        <f t="shared" si="2249"/>
        <v>0</v>
      </c>
      <c r="K1241" s="21">
        <f t="shared" si="2249"/>
        <v>0</v>
      </c>
      <c r="L1241" s="21">
        <f t="shared" si="2249"/>
        <v>0</v>
      </c>
      <c r="M1241" s="21">
        <f t="shared" si="2249"/>
        <v>0</v>
      </c>
      <c r="N1241" s="21">
        <f t="shared" si="2249"/>
        <v>0</v>
      </c>
      <c r="O1241" s="21">
        <f>2.4</f>
        <v>2.4</v>
      </c>
    </row>
    <row r="1242">
      <c r="B1242" s="20">
        <v>46295.0</v>
      </c>
      <c r="C1242" s="21">
        <f t="shared" si="2241"/>
        <v>0</v>
      </c>
      <c r="D1242" s="21">
        <f t="shared" ref="D1242:H1242" si="2250">0</f>
        <v>0</v>
      </c>
      <c r="E1242" s="21">
        <f t="shared" si="2250"/>
        <v>0</v>
      </c>
      <c r="F1242" s="21">
        <f t="shared" si="2250"/>
        <v>0</v>
      </c>
      <c r="G1242" s="21">
        <f t="shared" si="2250"/>
        <v>0</v>
      </c>
      <c r="H1242" s="21">
        <f t="shared" si="2250"/>
        <v>0</v>
      </c>
      <c r="I1242" s="21">
        <f>21.5</f>
        <v>21.5</v>
      </c>
      <c r="J1242" s="21">
        <f t="shared" ref="J1242:N1242" si="2251">0</f>
        <v>0</v>
      </c>
      <c r="K1242" s="21">
        <f t="shared" si="2251"/>
        <v>0</v>
      </c>
      <c r="L1242" s="21">
        <f t="shared" si="2251"/>
        <v>0</v>
      </c>
      <c r="M1242" s="21">
        <f t="shared" si="2251"/>
        <v>0</v>
      </c>
      <c r="N1242" s="21">
        <f t="shared" si="2251"/>
        <v>0</v>
      </c>
      <c r="O1242" s="21">
        <f>21.5</f>
        <v>21.5</v>
      </c>
    </row>
    <row r="1243">
      <c r="B1243" s="20">
        <v>46295.0</v>
      </c>
      <c r="C1243" s="21">
        <f t="shared" si="2241"/>
        <v>0</v>
      </c>
      <c r="D1243" s="21">
        <f t="shared" ref="D1243:N1243" si="2252">0</f>
        <v>0</v>
      </c>
      <c r="E1243" s="21">
        <f t="shared" si="2252"/>
        <v>0</v>
      </c>
      <c r="F1243" s="21">
        <f t="shared" si="2252"/>
        <v>0</v>
      </c>
      <c r="G1243" s="21">
        <f t="shared" si="2252"/>
        <v>0</v>
      </c>
      <c r="H1243" s="21">
        <f t="shared" si="2252"/>
        <v>0</v>
      </c>
      <c r="I1243" s="21">
        <f t="shared" si="2252"/>
        <v>0</v>
      </c>
      <c r="J1243" s="21">
        <f t="shared" si="2252"/>
        <v>0</v>
      </c>
      <c r="K1243" s="21">
        <f t="shared" si="2252"/>
        <v>0</v>
      </c>
      <c r="L1243" s="21">
        <f t="shared" si="2252"/>
        <v>0</v>
      </c>
      <c r="M1243" s="21">
        <f t="shared" si="2252"/>
        <v>0</v>
      </c>
      <c r="N1243" s="21">
        <f t="shared" si="2252"/>
        <v>0</v>
      </c>
      <c r="O1243" s="21">
        <f>33</f>
        <v>33</v>
      </c>
    </row>
    <row r="1244">
      <c r="B1244" s="20">
        <v>46295.0</v>
      </c>
      <c r="C1244" s="21">
        <f t="shared" si="2241"/>
        <v>0</v>
      </c>
      <c r="D1244" s="21">
        <f>9.8</f>
        <v>9.8</v>
      </c>
      <c r="E1244" s="21">
        <f t="shared" ref="E1244:M1244" si="2253">0</f>
        <v>0</v>
      </c>
      <c r="F1244" s="21">
        <f t="shared" si="2253"/>
        <v>0</v>
      </c>
      <c r="G1244" s="21">
        <f t="shared" si="2253"/>
        <v>0</v>
      </c>
      <c r="H1244" s="21">
        <f t="shared" si="2253"/>
        <v>0</v>
      </c>
      <c r="I1244" s="21">
        <f t="shared" si="2253"/>
        <v>0</v>
      </c>
      <c r="J1244" s="21">
        <f t="shared" si="2253"/>
        <v>0</v>
      </c>
      <c r="K1244" s="21">
        <f t="shared" si="2253"/>
        <v>0</v>
      </c>
      <c r="L1244" s="21">
        <f t="shared" si="2253"/>
        <v>0</v>
      </c>
      <c r="M1244" s="21">
        <f t="shared" si="2253"/>
        <v>0</v>
      </c>
      <c r="N1244" s="21">
        <f>39.2</f>
        <v>39.2</v>
      </c>
      <c r="O1244" s="21">
        <f>0</f>
        <v>0</v>
      </c>
    </row>
    <row r="1245">
      <c r="B1245" s="20">
        <v>46295.0</v>
      </c>
      <c r="C1245" s="21">
        <v>0.0</v>
      </c>
      <c r="D1245" s="21">
        <v>0.0</v>
      </c>
      <c r="E1245" s="21">
        <v>0.0</v>
      </c>
      <c r="F1245" s="21">
        <v>0.0</v>
      </c>
      <c r="G1245" s="21">
        <v>0.0</v>
      </c>
      <c r="H1245" s="21">
        <v>0.0</v>
      </c>
      <c r="I1245" s="21">
        <v>0.0</v>
      </c>
      <c r="J1245" s="21">
        <v>0.0</v>
      </c>
      <c r="K1245" s="21">
        <v>0.0</v>
      </c>
      <c r="L1245" s="21">
        <v>0.0</v>
      </c>
      <c r="M1245" s="21">
        <v>0.0</v>
      </c>
      <c r="N1245" s="21">
        <v>0.0</v>
      </c>
      <c r="O1245" s="21">
        <f>50</f>
        <v>50</v>
      </c>
    </row>
    <row r="1246">
      <c r="B1246" s="20">
        <v>46296.0</v>
      </c>
      <c r="C1246" s="21">
        <f>20.3</f>
        <v>20.3</v>
      </c>
      <c r="D1246" s="21">
        <f t="shared" ref="D1246:F1246" si="2254">0</f>
        <v>0</v>
      </c>
      <c r="E1246" s="21">
        <f t="shared" si="2254"/>
        <v>0</v>
      </c>
      <c r="F1246" s="21">
        <f t="shared" si="2254"/>
        <v>0</v>
      </c>
      <c r="G1246" s="21">
        <f>2.9</f>
        <v>2.9</v>
      </c>
      <c r="H1246" s="21">
        <f t="shared" ref="H1246:H1247" si="2257">0</f>
        <v>0</v>
      </c>
      <c r="I1246" s="21">
        <f>5.8</f>
        <v>5.8</v>
      </c>
      <c r="J1246" s="21">
        <f t="shared" ref="J1246:O1246" si="2255">0</f>
        <v>0</v>
      </c>
      <c r="K1246" s="21">
        <f t="shared" si="2255"/>
        <v>0</v>
      </c>
      <c r="L1246" s="21">
        <f t="shared" si="2255"/>
        <v>0</v>
      </c>
      <c r="M1246" s="21">
        <f t="shared" si="2255"/>
        <v>0</v>
      </c>
      <c r="N1246" s="21">
        <f t="shared" si="2255"/>
        <v>0</v>
      </c>
      <c r="O1246" s="21">
        <f t="shared" si="2255"/>
        <v>0</v>
      </c>
    </row>
    <row r="1247">
      <c r="B1247" s="20">
        <v>46296.0</v>
      </c>
      <c r="C1247" s="21">
        <f>30.6</f>
        <v>30.6</v>
      </c>
      <c r="D1247" s="21">
        <f t="shared" ref="D1247:F1247" si="2256">0</f>
        <v>0</v>
      </c>
      <c r="E1247" s="21">
        <f t="shared" si="2256"/>
        <v>0</v>
      </c>
      <c r="F1247" s="21">
        <f t="shared" si="2256"/>
        <v>0</v>
      </c>
      <c r="G1247" s="21">
        <f>1.7</f>
        <v>1.7</v>
      </c>
      <c r="H1247" s="21">
        <f t="shared" si="2257"/>
        <v>0</v>
      </c>
      <c r="I1247" s="21">
        <f t="shared" ref="I1247:L1247" si="2258">0</f>
        <v>0</v>
      </c>
      <c r="J1247" s="21">
        <f t="shared" si="2258"/>
        <v>0</v>
      </c>
      <c r="K1247" s="21">
        <f t="shared" si="2258"/>
        <v>0</v>
      </c>
      <c r="L1247" s="21">
        <f t="shared" si="2258"/>
        <v>0</v>
      </c>
      <c r="M1247" s="21">
        <f>1.7</f>
        <v>1.7</v>
      </c>
      <c r="N1247" s="21">
        <f t="shared" ref="N1247:O1247" si="2259">0</f>
        <v>0</v>
      </c>
      <c r="O1247" s="21">
        <f t="shared" si="2259"/>
        <v>0</v>
      </c>
    </row>
    <row r="1248">
      <c r="B1248" s="20">
        <v>46296.0</v>
      </c>
      <c r="C1248" s="21">
        <f>36</f>
        <v>36</v>
      </c>
      <c r="D1248" s="21">
        <f>4.5</f>
        <v>4.5</v>
      </c>
      <c r="E1248" s="21">
        <f t="shared" ref="E1248:N1248" si="2260">0</f>
        <v>0</v>
      </c>
      <c r="F1248" s="21">
        <f t="shared" si="2260"/>
        <v>0</v>
      </c>
      <c r="G1248" s="21">
        <f t="shared" si="2260"/>
        <v>0</v>
      </c>
      <c r="H1248" s="21">
        <f t="shared" si="2260"/>
        <v>0</v>
      </c>
      <c r="I1248" s="21">
        <f t="shared" si="2260"/>
        <v>0</v>
      </c>
      <c r="J1248" s="21">
        <f t="shared" si="2260"/>
        <v>0</v>
      </c>
      <c r="K1248" s="21">
        <f t="shared" si="2260"/>
        <v>0</v>
      </c>
      <c r="L1248" s="21">
        <f t="shared" si="2260"/>
        <v>0</v>
      </c>
      <c r="M1248" s="21">
        <f t="shared" si="2260"/>
        <v>0</v>
      </c>
      <c r="N1248" s="21">
        <f t="shared" si="2260"/>
        <v>0</v>
      </c>
      <c r="O1248" s="21">
        <f>4.5</f>
        <v>4.5</v>
      </c>
    </row>
    <row r="1249">
      <c r="B1249" s="20">
        <v>46296.0</v>
      </c>
      <c r="C1249" s="21">
        <f>14.4</f>
        <v>14.4</v>
      </c>
      <c r="D1249" s="21">
        <f t="shared" ref="D1249:F1249" si="2261">0</f>
        <v>0</v>
      </c>
      <c r="E1249" s="21">
        <f t="shared" si="2261"/>
        <v>0</v>
      </c>
      <c r="F1249" s="21">
        <f t="shared" si="2261"/>
        <v>0</v>
      </c>
      <c r="G1249" s="21">
        <f>14.4</f>
        <v>14.4</v>
      </c>
      <c r="H1249" s="21">
        <f t="shared" ref="H1249:L1249" si="2262">0</f>
        <v>0</v>
      </c>
      <c r="I1249" s="21">
        <f t="shared" si="2262"/>
        <v>0</v>
      </c>
      <c r="J1249" s="21">
        <f t="shared" si="2262"/>
        <v>0</v>
      </c>
      <c r="K1249" s="21">
        <f t="shared" si="2262"/>
        <v>0</v>
      </c>
      <c r="L1249" s="21">
        <f t="shared" si="2262"/>
        <v>0</v>
      </c>
      <c r="M1249" s="21">
        <f>19.2</f>
        <v>19.2</v>
      </c>
      <c r="N1249" s="21">
        <f t="shared" ref="N1249:O1249" si="2263">0</f>
        <v>0</v>
      </c>
      <c r="O1249" s="21">
        <f t="shared" si="2263"/>
        <v>0</v>
      </c>
    </row>
    <row r="1250">
      <c r="B1250" s="20">
        <v>46296.0</v>
      </c>
      <c r="C1250" s="21">
        <f>133.2</f>
        <v>133.2</v>
      </c>
      <c r="D1250" s="21">
        <f t="shared" ref="D1250:J1250" si="2264">0</f>
        <v>0</v>
      </c>
      <c r="E1250" s="21">
        <f t="shared" si="2264"/>
        <v>0</v>
      </c>
      <c r="F1250" s="21">
        <f t="shared" si="2264"/>
        <v>0</v>
      </c>
      <c r="G1250" s="21">
        <f t="shared" si="2264"/>
        <v>0</v>
      </c>
      <c r="H1250" s="21">
        <f t="shared" si="2264"/>
        <v>0</v>
      </c>
      <c r="I1250" s="21">
        <f t="shared" si="2264"/>
        <v>0</v>
      </c>
      <c r="J1250" s="21">
        <f t="shared" si="2264"/>
        <v>0</v>
      </c>
      <c r="K1250" s="21">
        <f>14.8</f>
        <v>14.8</v>
      </c>
      <c r="L1250" s="21">
        <f t="shared" ref="L1250:O1250" si="2265">0</f>
        <v>0</v>
      </c>
      <c r="M1250" s="21">
        <f t="shared" si="2265"/>
        <v>0</v>
      </c>
      <c r="N1250" s="21">
        <f t="shared" si="2265"/>
        <v>0</v>
      </c>
      <c r="O1250" s="21">
        <f t="shared" si="2265"/>
        <v>0</v>
      </c>
    </row>
    <row r="1251">
      <c r="B1251" s="20">
        <v>46296.0</v>
      </c>
      <c r="C1251" s="21">
        <f t="shared" ref="C1251:H1251" si="2266">0</f>
        <v>0</v>
      </c>
      <c r="D1251" s="21">
        <f t="shared" si="2266"/>
        <v>0</v>
      </c>
      <c r="E1251" s="21">
        <f t="shared" si="2266"/>
        <v>0</v>
      </c>
      <c r="F1251" s="21">
        <f t="shared" si="2266"/>
        <v>0</v>
      </c>
      <c r="G1251" s="21">
        <f t="shared" si="2266"/>
        <v>0</v>
      </c>
      <c r="H1251" s="21">
        <f t="shared" si="2266"/>
        <v>0</v>
      </c>
      <c r="I1251" s="21">
        <f>30</f>
        <v>30</v>
      </c>
      <c r="J1251" s="21">
        <f t="shared" ref="J1251:M1251" si="2267">0</f>
        <v>0</v>
      </c>
      <c r="K1251" s="21">
        <f t="shared" si="2267"/>
        <v>0</v>
      </c>
      <c r="L1251" s="21">
        <f t="shared" si="2267"/>
        <v>0</v>
      </c>
      <c r="M1251" s="21">
        <f t="shared" si="2267"/>
        <v>0</v>
      </c>
      <c r="N1251" s="21">
        <f>20</f>
        <v>20</v>
      </c>
      <c r="O1251" s="21">
        <f>0</f>
        <v>0</v>
      </c>
    </row>
    <row r="1252">
      <c r="B1252" s="20">
        <v>46296.0</v>
      </c>
      <c r="C1252" s="21">
        <f>25</f>
        <v>25</v>
      </c>
      <c r="D1252" s="21">
        <f t="shared" ref="D1252:O1252" si="2268">0</f>
        <v>0</v>
      </c>
      <c r="E1252" s="21">
        <f t="shared" si="2268"/>
        <v>0</v>
      </c>
      <c r="F1252" s="21">
        <f t="shared" si="2268"/>
        <v>0</v>
      </c>
      <c r="G1252" s="21">
        <f t="shared" si="2268"/>
        <v>0</v>
      </c>
      <c r="H1252" s="21">
        <f t="shared" si="2268"/>
        <v>0</v>
      </c>
      <c r="I1252" s="21">
        <f t="shared" si="2268"/>
        <v>0</v>
      </c>
      <c r="J1252" s="21">
        <f t="shared" si="2268"/>
        <v>0</v>
      </c>
      <c r="K1252" s="21">
        <f t="shared" si="2268"/>
        <v>0</v>
      </c>
      <c r="L1252" s="21">
        <f t="shared" si="2268"/>
        <v>0</v>
      </c>
      <c r="M1252" s="21">
        <f t="shared" si="2268"/>
        <v>0</v>
      </c>
      <c r="N1252" s="21">
        <f t="shared" si="2268"/>
        <v>0</v>
      </c>
      <c r="O1252" s="21">
        <f t="shared" si="2268"/>
        <v>0</v>
      </c>
    </row>
    <row r="1253">
      <c r="B1253" s="20">
        <v>46296.0</v>
      </c>
      <c r="C1253" s="21">
        <f t="shared" ref="C1253:F1253" si="2269">0</f>
        <v>0</v>
      </c>
      <c r="D1253" s="21">
        <f t="shared" si="2269"/>
        <v>0</v>
      </c>
      <c r="E1253" s="21">
        <f t="shared" si="2269"/>
        <v>0</v>
      </c>
      <c r="F1253" s="21">
        <f t="shared" si="2269"/>
        <v>0</v>
      </c>
      <c r="G1253" s="21">
        <f>5</f>
        <v>5</v>
      </c>
      <c r="H1253" s="21">
        <f>0</f>
        <v>0</v>
      </c>
      <c r="I1253" s="21">
        <f>35</f>
        <v>35</v>
      </c>
      <c r="J1253" s="21">
        <f t="shared" ref="J1253:L1253" si="2270">0</f>
        <v>0</v>
      </c>
      <c r="K1253" s="21">
        <f t="shared" si="2270"/>
        <v>0</v>
      </c>
      <c r="L1253" s="21">
        <f t="shared" si="2270"/>
        <v>0</v>
      </c>
      <c r="M1253" s="21">
        <f>10</f>
        <v>10</v>
      </c>
      <c r="N1253" s="21">
        <f t="shared" ref="N1253:O1253" si="2271">0</f>
        <v>0</v>
      </c>
      <c r="O1253" s="21">
        <f t="shared" si="2271"/>
        <v>0</v>
      </c>
    </row>
    <row r="1254">
      <c r="B1254" s="20">
        <v>46296.0</v>
      </c>
      <c r="C1254" s="21">
        <f t="shared" ref="C1254:L1254" si="2272">0</f>
        <v>0</v>
      </c>
      <c r="D1254" s="21">
        <f t="shared" si="2272"/>
        <v>0</v>
      </c>
      <c r="E1254" s="21">
        <f t="shared" si="2272"/>
        <v>0</v>
      </c>
      <c r="F1254" s="21">
        <f t="shared" si="2272"/>
        <v>0</v>
      </c>
      <c r="G1254" s="21">
        <f t="shared" si="2272"/>
        <v>0</v>
      </c>
      <c r="H1254" s="21">
        <f t="shared" si="2272"/>
        <v>0</v>
      </c>
      <c r="I1254" s="21">
        <f t="shared" si="2272"/>
        <v>0</v>
      </c>
      <c r="J1254" s="21">
        <f t="shared" si="2272"/>
        <v>0</v>
      </c>
      <c r="K1254" s="21">
        <f t="shared" si="2272"/>
        <v>0</v>
      </c>
      <c r="L1254" s="21">
        <f t="shared" si="2272"/>
        <v>0</v>
      </c>
      <c r="M1254" s="21">
        <f>25.4</f>
        <v>25.4</v>
      </c>
      <c r="N1254" s="21">
        <f t="shared" ref="N1254:O1254" si="2273">0</f>
        <v>0</v>
      </c>
      <c r="O1254" s="21">
        <f t="shared" si="2273"/>
        <v>0</v>
      </c>
    </row>
    <row r="1255">
      <c r="B1255" s="20">
        <v>46296.0</v>
      </c>
      <c r="C1255" s="21">
        <f>11.5</f>
        <v>11.5</v>
      </c>
      <c r="D1255" s="21">
        <f t="shared" ref="D1255:L1255" si="2274">0</f>
        <v>0</v>
      </c>
      <c r="E1255" s="21">
        <f t="shared" si="2274"/>
        <v>0</v>
      </c>
      <c r="F1255" s="21">
        <f t="shared" si="2274"/>
        <v>0</v>
      </c>
      <c r="G1255" s="21">
        <f t="shared" si="2274"/>
        <v>0</v>
      </c>
      <c r="H1255" s="21">
        <f t="shared" si="2274"/>
        <v>0</v>
      </c>
      <c r="I1255" s="21">
        <f t="shared" si="2274"/>
        <v>0</v>
      </c>
      <c r="J1255" s="21">
        <f t="shared" si="2274"/>
        <v>0</v>
      </c>
      <c r="K1255" s="21">
        <f t="shared" si="2274"/>
        <v>0</v>
      </c>
      <c r="L1255" s="21">
        <f t="shared" si="2274"/>
        <v>0</v>
      </c>
      <c r="M1255" s="21">
        <f>11.5</f>
        <v>11.5</v>
      </c>
      <c r="N1255" s="21">
        <f t="shared" ref="N1255:O1255" si="2275">0</f>
        <v>0</v>
      </c>
      <c r="O1255" s="21">
        <f t="shared" si="2275"/>
        <v>0</v>
      </c>
    </row>
    <row r="1256">
      <c r="B1256" s="20">
        <v>46296.0</v>
      </c>
      <c r="C1256" s="21">
        <f>28.2</f>
        <v>28.2</v>
      </c>
      <c r="D1256" s="21">
        <f t="shared" ref="D1256:J1256" si="2276">0</f>
        <v>0</v>
      </c>
      <c r="E1256" s="21">
        <f t="shared" si="2276"/>
        <v>0</v>
      </c>
      <c r="F1256" s="21">
        <f t="shared" si="2276"/>
        <v>0</v>
      </c>
      <c r="G1256" s="21">
        <f t="shared" si="2276"/>
        <v>0</v>
      </c>
      <c r="H1256" s="21">
        <f t="shared" si="2276"/>
        <v>0</v>
      </c>
      <c r="I1256" s="21">
        <f t="shared" si="2276"/>
        <v>0</v>
      </c>
      <c r="J1256" s="21">
        <f t="shared" si="2276"/>
        <v>0</v>
      </c>
      <c r="K1256" s="21">
        <f>18.8</f>
        <v>18.8</v>
      </c>
      <c r="L1256" s="21">
        <f t="shared" ref="L1256:O1256" si="2277">0</f>
        <v>0</v>
      </c>
      <c r="M1256" s="21">
        <f t="shared" si="2277"/>
        <v>0</v>
      </c>
      <c r="N1256" s="21">
        <f t="shared" si="2277"/>
        <v>0</v>
      </c>
      <c r="O1256" s="21">
        <f t="shared" si="2277"/>
        <v>0</v>
      </c>
    </row>
    <row r="1257">
      <c r="B1257" s="20">
        <v>46296.0</v>
      </c>
      <c r="C1257" s="21">
        <f>18</f>
        <v>18</v>
      </c>
      <c r="D1257" s="21">
        <f t="shared" ref="D1257:H1257" si="2278">0</f>
        <v>0</v>
      </c>
      <c r="E1257" s="21">
        <f t="shared" si="2278"/>
        <v>0</v>
      </c>
      <c r="F1257" s="21">
        <f t="shared" si="2278"/>
        <v>0</v>
      </c>
      <c r="G1257" s="21">
        <f t="shared" si="2278"/>
        <v>0</v>
      </c>
      <c r="H1257" s="21">
        <f t="shared" si="2278"/>
        <v>0</v>
      </c>
      <c r="I1257" s="21">
        <f>12</f>
        <v>12</v>
      </c>
      <c r="J1257" s="21">
        <f t="shared" ref="J1257:O1257" si="2279">0</f>
        <v>0</v>
      </c>
      <c r="K1257" s="21">
        <f t="shared" si="2279"/>
        <v>0</v>
      </c>
      <c r="L1257" s="21">
        <f t="shared" si="2279"/>
        <v>0</v>
      </c>
      <c r="M1257" s="21">
        <f t="shared" si="2279"/>
        <v>0</v>
      </c>
      <c r="N1257" s="21">
        <f t="shared" si="2279"/>
        <v>0</v>
      </c>
      <c r="O1257" s="21">
        <f t="shared" si="2279"/>
        <v>0</v>
      </c>
    </row>
    <row r="1258">
      <c r="B1258" s="20">
        <v>46296.0</v>
      </c>
      <c r="C1258" s="21">
        <f>10</f>
        <v>10</v>
      </c>
      <c r="D1258" s="21">
        <f t="shared" ref="D1258:L1258" si="2280">0</f>
        <v>0</v>
      </c>
      <c r="E1258" s="21">
        <f t="shared" si="2280"/>
        <v>0</v>
      </c>
      <c r="F1258" s="21">
        <f t="shared" si="2280"/>
        <v>0</v>
      </c>
      <c r="G1258" s="21">
        <f t="shared" si="2280"/>
        <v>0</v>
      </c>
      <c r="H1258" s="21">
        <f t="shared" si="2280"/>
        <v>0</v>
      </c>
      <c r="I1258" s="21">
        <f t="shared" si="2280"/>
        <v>0</v>
      </c>
      <c r="J1258" s="21">
        <f t="shared" si="2280"/>
        <v>0</v>
      </c>
      <c r="K1258" s="21">
        <f t="shared" si="2280"/>
        <v>0</v>
      </c>
      <c r="L1258" s="21">
        <f t="shared" si="2280"/>
        <v>0</v>
      </c>
      <c r="M1258" s="21">
        <f>15</f>
        <v>15</v>
      </c>
      <c r="N1258" s="21">
        <f t="shared" ref="N1258:O1258" si="2281">0</f>
        <v>0</v>
      </c>
      <c r="O1258" s="21">
        <f t="shared" si="2281"/>
        <v>0</v>
      </c>
    </row>
    <row r="1259">
      <c r="B1259" s="20">
        <v>46296.0</v>
      </c>
      <c r="C1259" s="21">
        <v>0.0</v>
      </c>
      <c r="D1259" s="21">
        <v>0.0</v>
      </c>
      <c r="E1259" s="21">
        <v>0.0</v>
      </c>
      <c r="F1259" s="21">
        <v>0.0</v>
      </c>
      <c r="G1259" s="21">
        <v>0.0</v>
      </c>
      <c r="H1259" s="21">
        <v>0.0</v>
      </c>
      <c r="I1259" s="21">
        <v>0.0</v>
      </c>
      <c r="J1259" s="21">
        <v>0.0</v>
      </c>
      <c r="K1259" s="21">
        <v>0.0</v>
      </c>
      <c r="L1259" s="21">
        <v>0.0</v>
      </c>
      <c r="M1259" s="21">
        <v>0.0</v>
      </c>
      <c r="N1259" s="21">
        <v>0.0</v>
      </c>
      <c r="O1259" s="21">
        <f>30</f>
        <v>30</v>
      </c>
    </row>
    <row r="1260">
      <c r="B1260" s="20">
        <v>46297.0</v>
      </c>
      <c r="C1260" s="21">
        <f t="shared" ref="C1260:H1260" si="2282">0</f>
        <v>0</v>
      </c>
      <c r="D1260" s="21">
        <f t="shared" si="2282"/>
        <v>0</v>
      </c>
      <c r="E1260" s="21">
        <f t="shared" si="2282"/>
        <v>0</v>
      </c>
      <c r="F1260" s="21">
        <f t="shared" si="2282"/>
        <v>0</v>
      </c>
      <c r="G1260" s="21">
        <f t="shared" si="2282"/>
        <v>0</v>
      </c>
      <c r="H1260" s="21">
        <f t="shared" si="2282"/>
        <v>0</v>
      </c>
      <c r="I1260" s="21">
        <f>10.2</f>
        <v>10.2</v>
      </c>
      <c r="J1260" s="21">
        <f t="shared" ref="J1260:L1260" si="2283">0</f>
        <v>0</v>
      </c>
      <c r="K1260" s="21">
        <f t="shared" si="2283"/>
        <v>0</v>
      </c>
      <c r="L1260" s="21">
        <f t="shared" si="2283"/>
        <v>0</v>
      </c>
      <c r="M1260" s="21">
        <f>6.8</f>
        <v>6.8</v>
      </c>
      <c r="N1260" s="21">
        <f t="shared" ref="N1260:O1260" si="2284">0</f>
        <v>0</v>
      </c>
      <c r="O1260" s="21">
        <f t="shared" si="2284"/>
        <v>0</v>
      </c>
    </row>
    <row r="1261">
      <c r="B1261" s="20">
        <v>46297.0</v>
      </c>
      <c r="C1261" s="21">
        <f>12</f>
        <v>12</v>
      </c>
      <c r="D1261" s="21">
        <f t="shared" ref="D1261:H1261" si="2285">0</f>
        <v>0</v>
      </c>
      <c r="E1261" s="21">
        <f t="shared" si="2285"/>
        <v>0</v>
      </c>
      <c r="F1261" s="21">
        <f t="shared" si="2285"/>
        <v>0</v>
      </c>
      <c r="G1261" s="21">
        <f t="shared" si="2285"/>
        <v>0</v>
      </c>
      <c r="H1261" s="21">
        <f t="shared" si="2285"/>
        <v>0</v>
      </c>
      <c r="I1261" s="21">
        <f>12</f>
        <v>12</v>
      </c>
      <c r="J1261" s="21">
        <f t="shared" ref="J1261:L1261" si="2286">0</f>
        <v>0</v>
      </c>
      <c r="K1261" s="21">
        <f t="shared" si="2286"/>
        <v>0</v>
      </c>
      <c r="L1261" s="21">
        <f t="shared" si="2286"/>
        <v>0</v>
      </c>
      <c r="M1261" s="21">
        <f>16</f>
        <v>16</v>
      </c>
      <c r="N1261" s="21">
        <f t="shared" ref="N1261:O1261" si="2287">0</f>
        <v>0</v>
      </c>
      <c r="O1261" s="21">
        <f t="shared" si="2287"/>
        <v>0</v>
      </c>
    </row>
    <row r="1262">
      <c r="B1262" s="20">
        <v>46297.0</v>
      </c>
      <c r="C1262" s="21">
        <f>9.9</f>
        <v>9.9</v>
      </c>
      <c r="D1262" s="21">
        <f t="shared" ref="D1262:H1262" si="2288">0</f>
        <v>0</v>
      </c>
      <c r="E1262" s="21">
        <f t="shared" si="2288"/>
        <v>0</v>
      </c>
      <c r="F1262" s="21">
        <f t="shared" si="2288"/>
        <v>0</v>
      </c>
      <c r="G1262" s="21">
        <f t="shared" si="2288"/>
        <v>0</v>
      </c>
      <c r="H1262" s="21">
        <f t="shared" si="2288"/>
        <v>0</v>
      </c>
      <c r="I1262" s="21">
        <f>9.9</f>
        <v>9.9</v>
      </c>
      <c r="J1262" s="21">
        <f t="shared" ref="J1262:L1262" si="2289">0</f>
        <v>0</v>
      </c>
      <c r="K1262" s="21">
        <f t="shared" si="2289"/>
        <v>0</v>
      </c>
      <c r="L1262" s="21">
        <f t="shared" si="2289"/>
        <v>0</v>
      </c>
      <c r="M1262" s="21">
        <f>13.2</f>
        <v>13.2</v>
      </c>
      <c r="N1262" s="21">
        <f t="shared" ref="N1262:O1262" si="2290">0</f>
        <v>0</v>
      </c>
      <c r="O1262" s="21">
        <f t="shared" si="2290"/>
        <v>0</v>
      </c>
    </row>
    <row r="1263">
      <c r="B1263" s="20">
        <v>46297.0</v>
      </c>
      <c r="C1263" s="21">
        <f>14.8</f>
        <v>14.8</v>
      </c>
      <c r="D1263" s="21">
        <f>0</f>
        <v>0</v>
      </c>
      <c r="E1263" s="21">
        <f>3.7</f>
        <v>3.7</v>
      </c>
      <c r="F1263" s="21">
        <f t="shared" ref="F1263:I1263" si="2291">0</f>
        <v>0</v>
      </c>
      <c r="G1263" s="21">
        <f t="shared" si="2291"/>
        <v>0</v>
      </c>
      <c r="H1263" s="21">
        <f t="shared" si="2291"/>
        <v>0</v>
      </c>
      <c r="I1263" s="21">
        <f t="shared" si="2291"/>
        <v>0</v>
      </c>
      <c r="J1263" s="21">
        <f>11.1</f>
        <v>11.1</v>
      </c>
      <c r="K1263" s="21">
        <f t="shared" ref="K1263:L1263" si="2292">0</f>
        <v>0</v>
      </c>
      <c r="L1263" s="21">
        <f t="shared" si="2292"/>
        <v>0</v>
      </c>
      <c r="M1263" s="21">
        <f>7.4</f>
        <v>7.4</v>
      </c>
      <c r="N1263" s="21">
        <f t="shared" ref="N1263:O1263" si="2293">0</f>
        <v>0</v>
      </c>
      <c r="O1263" s="21">
        <f t="shared" si="2293"/>
        <v>0</v>
      </c>
    </row>
    <row r="1264">
      <c r="B1264" s="20">
        <v>46297.0</v>
      </c>
      <c r="C1264" s="21">
        <f t="shared" ref="C1264:E1264" si="2294">0</f>
        <v>0</v>
      </c>
      <c r="D1264" s="21">
        <f t="shared" si="2294"/>
        <v>0</v>
      </c>
      <c r="E1264" s="21">
        <f t="shared" si="2294"/>
        <v>0</v>
      </c>
      <c r="F1264" s="21">
        <f>3.5</f>
        <v>3.5</v>
      </c>
      <c r="G1264" s="21">
        <f t="shared" ref="G1264:H1264" si="2295">0</f>
        <v>0</v>
      </c>
      <c r="H1264" s="21">
        <f t="shared" si="2295"/>
        <v>0</v>
      </c>
      <c r="I1264" s="21">
        <f>7</f>
        <v>7</v>
      </c>
      <c r="J1264" s="21">
        <f t="shared" ref="J1264:L1264" si="2296">0</f>
        <v>0</v>
      </c>
      <c r="K1264" s="21">
        <f t="shared" si="2296"/>
        <v>0</v>
      </c>
      <c r="L1264" s="21">
        <f t="shared" si="2296"/>
        <v>0</v>
      </c>
      <c r="M1264" s="21">
        <f>10.5</f>
        <v>10.5</v>
      </c>
      <c r="N1264" s="21">
        <f>0</f>
        <v>0</v>
      </c>
      <c r="O1264" s="21">
        <f>14</f>
        <v>14</v>
      </c>
    </row>
    <row r="1265">
      <c r="B1265" s="20">
        <v>46297.0</v>
      </c>
      <c r="C1265" s="21">
        <f t="shared" ref="C1265:C1271" si="2298">0</f>
        <v>0</v>
      </c>
      <c r="D1265" s="21">
        <f>47.8</f>
        <v>47.8</v>
      </c>
      <c r="E1265" s="21">
        <f t="shared" ref="E1265:M1265" si="2297">0</f>
        <v>0</v>
      </c>
      <c r="F1265" s="21">
        <f t="shared" si="2297"/>
        <v>0</v>
      </c>
      <c r="G1265" s="21">
        <f t="shared" si="2297"/>
        <v>0</v>
      </c>
      <c r="H1265" s="21">
        <f t="shared" si="2297"/>
        <v>0</v>
      </c>
      <c r="I1265" s="21">
        <f t="shared" si="2297"/>
        <v>0</v>
      </c>
      <c r="J1265" s="21">
        <f t="shared" si="2297"/>
        <v>0</v>
      </c>
      <c r="K1265" s="21">
        <f t="shared" si="2297"/>
        <v>0</v>
      </c>
      <c r="L1265" s="21">
        <f t="shared" si="2297"/>
        <v>0</v>
      </c>
      <c r="M1265" s="21">
        <f t="shared" si="2297"/>
        <v>0</v>
      </c>
      <c r="N1265" s="21">
        <f>191.2</f>
        <v>191.2</v>
      </c>
      <c r="O1265" s="21">
        <f>0</f>
        <v>0</v>
      </c>
    </row>
    <row r="1266">
      <c r="B1266" s="20">
        <v>46297.0</v>
      </c>
      <c r="C1266" s="21">
        <f t="shared" si="2298"/>
        <v>0</v>
      </c>
      <c r="D1266" s="21">
        <f t="shared" ref="D1266:N1266" si="2299">0</f>
        <v>0</v>
      </c>
      <c r="E1266" s="21">
        <f t="shared" si="2299"/>
        <v>0</v>
      </c>
      <c r="F1266" s="21">
        <f t="shared" si="2299"/>
        <v>0</v>
      </c>
      <c r="G1266" s="21">
        <f t="shared" si="2299"/>
        <v>0</v>
      </c>
      <c r="H1266" s="21">
        <f t="shared" si="2299"/>
        <v>0</v>
      </c>
      <c r="I1266" s="21">
        <f t="shared" si="2299"/>
        <v>0</v>
      </c>
      <c r="J1266" s="21">
        <f t="shared" si="2299"/>
        <v>0</v>
      </c>
      <c r="K1266" s="21">
        <f t="shared" si="2299"/>
        <v>0</v>
      </c>
      <c r="L1266" s="21">
        <f t="shared" si="2299"/>
        <v>0</v>
      </c>
      <c r="M1266" s="21">
        <f t="shared" si="2299"/>
        <v>0</v>
      </c>
      <c r="N1266" s="21">
        <f t="shared" si="2299"/>
        <v>0</v>
      </c>
      <c r="O1266" s="21">
        <f>14</f>
        <v>14</v>
      </c>
    </row>
    <row r="1267">
      <c r="B1267" s="20">
        <v>46297.0</v>
      </c>
      <c r="C1267" s="21">
        <f t="shared" si="2298"/>
        <v>0</v>
      </c>
      <c r="D1267" s="21">
        <f t="shared" ref="D1267:H1267" si="2300">0</f>
        <v>0</v>
      </c>
      <c r="E1267" s="21">
        <f t="shared" si="2300"/>
        <v>0</v>
      </c>
      <c r="F1267" s="21">
        <f t="shared" si="2300"/>
        <v>0</v>
      </c>
      <c r="G1267" s="21">
        <f t="shared" si="2300"/>
        <v>0</v>
      </c>
      <c r="H1267" s="21">
        <f t="shared" si="2300"/>
        <v>0</v>
      </c>
      <c r="I1267" s="21">
        <f>10.4</f>
        <v>10.4</v>
      </c>
      <c r="J1267" s="21">
        <f t="shared" ref="J1267:N1267" si="2301">0</f>
        <v>0</v>
      </c>
      <c r="K1267" s="21">
        <f t="shared" si="2301"/>
        <v>0</v>
      </c>
      <c r="L1267" s="21">
        <f t="shared" si="2301"/>
        <v>0</v>
      </c>
      <c r="M1267" s="21">
        <f t="shared" si="2301"/>
        <v>0</v>
      </c>
      <c r="N1267" s="21">
        <f t="shared" si="2301"/>
        <v>0</v>
      </c>
      <c r="O1267" s="21">
        <f>15.6</f>
        <v>15.6</v>
      </c>
    </row>
    <row r="1268">
      <c r="B1268" s="20">
        <v>46297.0</v>
      </c>
      <c r="C1268" s="21">
        <f t="shared" si="2298"/>
        <v>0</v>
      </c>
      <c r="D1268" s="21">
        <f t="shared" ref="D1268:I1268" si="2302">0</f>
        <v>0</v>
      </c>
      <c r="E1268" s="21">
        <f t="shared" si="2302"/>
        <v>0</v>
      </c>
      <c r="F1268" s="21">
        <f t="shared" si="2302"/>
        <v>0</v>
      </c>
      <c r="G1268" s="21">
        <f t="shared" si="2302"/>
        <v>0</v>
      </c>
      <c r="H1268" s="21">
        <f t="shared" si="2302"/>
        <v>0</v>
      </c>
      <c r="I1268" s="21">
        <f t="shared" si="2302"/>
        <v>0</v>
      </c>
      <c r="J1268" s="21">
        <f>30.6</f>
        <v>30.6</v>
      </c>
      <c r="K1268" s="21">
        <f t="shared" ref="K1268:M1268" si="2303">0</f>
        <v>0</v>
      </c>
      <c r="L1268" s="21">
        <f t="shared" si="2303"/>
        <v>0</v>
      </c>
      <c r="M1268" s="21">
        <f t="shared" si="2303"/>
        <v>0</v>
      </c>
      <c r="N1268" s="21">
        <f t="shared" ref="N1268:O1268" si="2304">10.2</f>
        <v>10.2</v>
      </c>
      <c r="O1268" s="21">
        <f t="shared" si="2304"/>
        <v>10.2</v>
      </c>
    </row>
    <row r="1269">
      <c r="B1269" s="20">
        <v>46297.0</v>
      </c>
      <c r="C1269" s="21">
        <f t="shared" si="2298"/>
        <v>0</v>
      </c>
      <c r="D1269" s="21">
        <f t="shared" ref="D1269:H1269" si="2305">0</f>
        <v>0</v>
      </c>
      <c r="E1269" s="21">
        <f t="shared" si="2305"/>
        <v>0</v>
      </c>
      <c r="F1269" s="21">
        <f t="shared" si="2305"/>
        <v>0</v>
      </c>
      <c r="G1269" s="21">
        <f t="shared" si="2305"/>
        <v>0</v>
      </c>
      <c r="H1269" s="21">
        <f t="shared" si="2305"/>
        <v>0</v>
      </c>
      <c r="I1269" s="21">
        <f>23.75</f>
        <v>23.75</v>
      </c>
      <c r="J1269" s="21">
        <f t="shared" ref="J1269:L1269" si="2306">0</f>
        <v>0</v>
      </c>
      <c r="K1269" s="21">
        <f t="shared" si="2306"/>
        <v>0</v>
      </c>
      <c r="L1269" s="21">
        <f t="shared" si="2306"/>
        <v>0</v>
      </c>
      <c r="M1269" s="21">
        <f>1.25</f>
        <v>1.25</v>
      </c>
      <c r="N1269" s="21">
        <f t="shared" ref="N1269:O1269" si="2307">0</f>
        <v>0</v>
      </c>
      <c r="O1269" s="21">
        <f t="shared" si="2307"/>
        <v>0</v>
      </c>
    </row>
    <row r="1270">
      <c r="B1270" s="20">
        <v>46297.0</v>
      </c>
      <c r="C1270" s="21">
        <f t="shared" si="2298"/>
        <v>0</v>
      </c>
      <c r="D1270" s="21">
        <f t="shared" ref="D1270:E1270" si="2308">0</f>
        <v>0</v>
      </c>
      <c r="E1270" s="21">
        <f t="shared" si="2308"/>
        <v>0</v>
      </c>
      <c r="F1270" s="21">
        <f>46.8</f>
        <v>46.8</v>
      </c>
      <c r="G1270" s="21">
        <f t="shared" ref="G1270:I1270" si="2309">0</f>
        <v>0</v>
      </c>
      <c r="H1270" s="21">
        <f t="shared" si="2309"/>
        <v>0</v>
      </c>
      <c r="I1270" s="21">
        <f t="shared" si="2309"/>
        <v>0</v>
      </c>
      <c r="J1270" s="21">
        <f>5.2</f>
        <v>5.2</v>
      </c>
      <c r="K1270" s="21">
        <f t="shared" ref="K1270:O1270" si="2310">0</f>
        <v>0</v>
      </c>
      <c r="L1270" s="21">
        <f t="shared" si="2310"/>
        <v>0</v>
      </c>
      <c r="M1270" s="21">
        <f t="shared" si="2310"/>
        <v>0</v>
      </c>
      <c r="N1270" s="21">
        <f t="shared" si="2310"/>
        <v>0</v>
      </c>
      <c r="O1270" s="21">
        <f t="shared" si="2310"/>
        <v>0</v>
      </c>
    </row>
    <row r="1271">
      <c r="B1271" s="20">
        <v>46297.0</v>
      </c>
      <c r="C1271" s="21">
        <f t="shared" si="2298"/>
        <v>0</v>
      </c>
      <c r="D1271" s="21">
        <f t="shared" ref="D1271:E1271" si="2311">0</f>
        <v>0</v>
      </c>
      <c r="E1271" s="21">
        <f t="shared" si="2311"/>
        <v>0</v>
      </c>
      <c r="F1271" s="21">
        <f>5.3</f>
        <v>5.3</v>
      </c>
      <c r="G1271" s="21">
        <f>2.65</f>
        <v>2.65</v>
      </c>
      <c r="H1271" s="21">
        <f t="shared" ref="H1271:L1271" si="2312">0</f>
        <v>0</v>
      </c>
      <c r="I1271" s="21">
        <f t="shared" si="2312"/>
        <v>0</v>
      </c>
      <c r="J1271" s="21">
        <f t="shared" si="2312"/>
        <v>0</v>
      </c>
      <c r="K1271" s="21">
        <f t="shared" si="2312"/>
        <v>0</v>
      </c>
      <c r="L1271" s="21">
        <f t="shared" si="2312"/>
        <v>0</v>
      </c>
      <c r="M1271" s="21">
        <f>31.8</f>
        <v>31.8</v>
      </c>
      <c r="N1271" s="21">
        <f>0</f>
        <v>0</v>
      </c>
      <c r="O1271" s="21">
        <f>13.25</f>
        <v>13.25</v>
      </c>
    </row>
    <row r="1272">
      <c r="B1272" s="20">
        <v>46297.0</v>
      </c>
      <c r="C1272" s="21">
        <v>0.0</v>
      </c>
      <c r="D1272" s="21">
        <v>0.0</v>
      </c>
      <c r="E1272" s="21">
        <v>0.0</v>
      </c>
      <c r="F1272" s="21">
        <v>0.0</v>
      </c>
      <c r="G1272" s="21">
        <v>0.0</v>
      </c>
      <c r="H1272" s="21">
        <v>0.0</v>
      </c>
      <c r="I1272" s="21">
        <v>0.0</v>
      </c>
      <c r="J1272" s="21">
        <v>0.0</v>
      </c>
      <c r="K1272" s="21">
        <v>0.0</v>
      </c>
      <c r="L1272" s="21">
        <v>0.0</v>
      </c>
      <c r="M1272" s="21">
        <v>0.0</v>
      </c>
      <c r="N1272" s="21">
        <v>0.0</v>
      </c>
      <c r="O1272" s="21">
        <f>40</f>
        <v>40</v>
      </c>
    </row>
    <row r="1273">
      <c r="B1273" s="20">
        <v>46297.0</v>
      </c>
      <c r="C1273" s="21">
        <f t="shared" ref="C1273:H1273" si="2313">0</f>
        <v>0</v>
      </c>
      <c r="D1273" s="21">
        <f t="shared" si="2313"/>
        <v>0</v>
      </c>
      <c r="E1273" s="21">
        <f t="shared" si="2313"/>
        <v>0</v>
      </c>
      <c r="F1273" s="21">
        <f t="shared" si="2313"/>
        <v>0</v>
      </c>
      <c r="G1273" s="21">
        <f t="shared" si="2313"/>
        <v>0</v>
      </c>
      <c r="H1273" s="21">
        <f t="shared" si="2313"/>
        <v>0</v>
      </c>
      <c r="I1273" s="21">
        <f>9</f>
        <v>9</v>
      </c>
      <c r="J1273" s="21">
        <f t="shared" ref="J1273:N1273" si="2314">0</f>
        <v>0</v>
      </c>
      <c r="K1273" s="21">
        <f t="shared" si="2314"/>
        <v>0</v>
      </c>
      <c r="L1273" s="21">
        <f t="shared" si="2314"/>
        <v>0</v>
      </c>
      <c r="M1273" s="21">
        <f t="shared" si="2314"/>
        <v>0</v>
      </c>
      <c r="N1273" s="21">
        <f t="shared" si="2314"/>
        <v>0</v>
      </c>
      <c r="O1273" s="21">
        <f>9</f>
        <v>9</v>
      </c>
    </row>
    <row r="1274">
      <c r="B1274" s="20">
        <v>46297.0</v>
      </c>
      <c r="C1274" s="21">
        <f>0</f>
        <v>0</v>
      </c>
      <c r="D1274" s="21">
        <f t="shared" ref="D1274:E1274" si="2315">15.5</f>
        <v>15.5</v>
      </c>
      <c r="E1274" s="21">
        <f t="shared" si="2315"/>
        <v>15.5</v>
      </c>
      <c r="F1274" s="21">
        <f t="shared" ref="F1274:O1274" si="2316">0</f>
        <v>0</v>
      </c>
      <c r="G1274" s="21">
        <f t="shared" si="2316"/>
        <v>0</v>
      </c>
      <c r="H1274" s="21">
        <f t="shared" si="2316"/>
        <v>0</v>
      </c>
      <c r="I1274" s="21">
        <f t="shared" si="2316"/>
        <v>0</v>
      </c>
      <c r="J1274" s="21">
        <f t="shared" si="2316"/>
        <v>0</v>
      </c>
      <c r="K1274" s="21">
        <f t="shared" si="2316"/>
        <v>0</v>
      </c>
      <c r="L1274" s="21">
        <f t="shared" si="2316"/>
        <v>0</v>
      </c>
      <c r="M1274" s="21">
        <f t="shared" si="2316"/>
        <v>0</v>
      </c>
      <c r="N1274" s="21">
        <f t="shared" si="2316"/>
        <v>0</v>
      </c>
      <c r="O1274" s="21">
        <f t="shared" si="2316"/>
        <v>0</v>
      </c>
    </row>
    <row r="1275">
      <c r="B1275" s="20">
        <v>46297.0</v>
      </c>
      <c r="C1275" s="21">
        <f>5</f>
        <v>5</v>
      </c>
      <c r="D1275" s="21">
        <f t="shared" ref="D1275:L1275" si="2317">0</f>
        <v>0</v>
      </c>
      <c r="E1275" s="21">
        <f t="shared" si="2317"/>
        <v>0</v>
      </c>
      <c r="F1275" s="21">
        <f t="shared" si="2317"/>
        <v>0</v>
      </c>
      <c r="G1275" s="21">
        <f t="shared" si="2317"/>
        <v>0</v>
      </c>
      <c r="H1275" s="21">
        <f t="shared" si="2317"/>
        <v>0</v>
      </c>
      <c r="I1275" s="21">
        <f t="shared" si="2317"/>
        <v>0</v>
      </c>
      <c r="J1275" s="21">
        <f t="shared" si="2317"/>
        <v>0</v>
      </c>
      <c r="K1275" s="21">
        <f t="shared" si="2317"/>
        <v>0</v>
      </c>
      <c r="L1275" s="21">
        <f t="shared" si="2317"/>
        <v>0</v>
      </c>
      <c r="M1275" s="21">
        <f>12.5</f>
        <v>12.5</v>
      </c>
      <c r="N1275" s="21">
        <f t="shared" ref="N1275:N1277" si="2319">0</f>
        <v>0</v>
      </c>
      <c r="O1275" s="21">
        <f>7.5</f>
        <v>7.5</v>
      </c>
    </row>
    <row r="1276">
      <c r="B1276" s="20">
        <v>46297.0</v>
      </c>
      <c r="C1276" s="21">
        <f t="shared" ref="C1276:L1276" si="2318">0</f>
        <v>0</v>
      </c>
      <c r="D1276" s="21">
        <f t="shared" si="2318"/>
        <v>0</v>
      </c>
      <c r="E1276" s="21">
        <f t="shared" si="2318"/>
        <v>0</v>
      </c>
      <c r="F1276" s="21">
        <f t="shared" si="2318"/>
        <v>0</v>
      </c>
      <c r="G1276" s="21">
        <f t="shared" si="2318"/>
        <v>0</v>
      </c>
      <c r="H1276" s="21">
        <f t="shared" si="2318"/>
        <v>0</v>
      </c>
      <c r="I1276" s="21">
        <f t="shared" si="2318"/>
        <v>0</v>
      </c>
      <c r="J1276" s="21">
        <f t="shared" si="2318"/>
        <v>0</v>
      </c>
      <c r="K1276" s="21">
        <f t="shared" si="2318"/>
        <v>0</v>
      </c>
      <c r="L1276" s="21">
        <f t="shared" si="2318"/>
        <v>0</v>
      </c>
      <c r="M1276" s="21">
        <f>38</f>
        <v>38</v>
      </c>
      <c r="N1276" s="21">
        <f t="shared" si="2319"/>
        <v>0</v>
      </c>
      <c r="O1276" s="21">
        <f>0</f>
        <v>0</v>
      </c>
    </row>
    <row r="1277">
      <c r="B1277" s="20">
        <v>46297.0</v>
      </c>
      <c r="C1277" s="21">
        <f>5.6</f>
        <v>5.6</v>
      </c>
      <c r="D1277" s="21">
        <f t="shared" ref="D1277:L1277" si="2320">0</f>
        <v>0</v>
      </c>
      <c r="E1277" s="21">
        <f t="shared" si="2320"/>
        <v>0</v>
      </c>
      <c r="F1277" s="21">
        <f t="shared" si="2320"/>
        <v>0</v>
      </c>
      <c r="G1277" s="21">
        <f t="shared" si="2320"/>
        <v>0</v>
      </c>
      <c r="H1277" s="21">
        <f t="shared" si="2320"/>
        <v>0</v>
      </c>
      <c r="I1277" s="21">
        <f t="shared" si="2320"/>
        <v>0</v>
      </c>
      <c r="J1277" s="21">
        <f t="shared" si="2320"/>
        <v>0</v>
      </c>
      <c r="K1277" s="21">
        <f t="shared" si="2320"/>
        <v>0</v>
      </c>
      <c r="L1277" s="21">
        <f t="shared" si="2320"/>
        <v>0</v>
      </c>
      <c r="M1277" s="21">
        <f>16.8</f>
        <v>16.8</v>
      </c>
      <c r="N1277" s="21">
        <f t="shared" si="2319"/>
        <v>0</v>
      </c>
      <c r="O1277" s="21">
        <f>5.6</f>
        <v>5.6</v>
      </c>
    </row>
    <row r="1278">
      <c r="B1278" s="20">
        <v>46297.0</v>
      </c>
      <c r="C1278" s="21">
        <f>34.2</f>
        <v>34.2</v>
      </c>
      <c r="D1278" s="21">
        <f t="shared" ref="D1278:N1278" si="2321">0</f>
        <v>0</v>
      </c>
      <c r="E1278" s="21">
        <f t="shared" si="2321"/>
        <v>0</v>
      </c>
      <c r="F1278" s="21">
        <f t="shared" si="2321"/>
        <v>0</v>
      </c>
      <c r="G1278" s="21">
        <f t="shared" si="2321"/>
        <v>0</v>
      </c>
      <c r="H1278" s="21">
        <f t="shared" si="2321"/>
        <v>0</v>
      </c>
      <c r="I1278" s="21">
        <f t="shared" si="2321"/>
        <v>0</v>
      </c>
      <c r="J1278" s="21">
        <f t="shared" si="2321"/>
        <v>0</v>
      </c>
      <c r="K1278" s="21">
        <f t="shared" si="2321"/>
        <v>0</v>
      </c>
      <c r="L1278" s="21">
        <f t="shared" si="2321"/>
        <v>0</v>
      </c>
      <c r="M1278" s="21">
        <f t="shared" si="2321"/>
        <v>0</v>
      </c>
      <c r="N1278" s="21">
        <f t="shared" si="2321"/>
        <v>0</v>
      </c>
      <c r="O1278" s="21">
        <f>3.8</f>
        <v>3.8</v>
      </c>
    </row>
    <row r="1279">
      <c r="B1279" s="20">
        <v>46297.0</v>
      </c>
      <c r="C1279" s="21">
        <f>27.6</f>
        <v>27.6</v>
      </c>
      <c r="D1279" s="21">
        <f t="shared" ref="D1279:J1279" si="2322">0</f>
        <v>0</v>
      </c>
      <c r="E1279" s="21">
        <f t="shared" si="2322"/>
        <v>0</v>
      </c>
      <c r="F1279" s="21">
        <f t="shared" si="2322"/>
        <v>0</v>
      </c>
      <c r="G1279" s="21">
        <f t="shared" si="2322"/>
        <v>0</v>
      </c>
      <c r="H1279" s="21">
        <f t="shared" si="2322"/>
        <v>0</v>
      </c>
      <c r="I1279" s="21">
        <f t="shared" si="2322"/>
        <v>0</v>
      </c>
      <c r="J1279" s="21">
        <f t="shared" si="2322"/>
        <v>0</v>
      </c>
      <c r="K1279" s="21">
        <f>41.4</f>
        <v>41.4</v>
      </c>
      <c r="L1279" s="21">
        <f t="shared" ref="L1279:O1279" si="2323">0</f>
        <v>0</v>
      </c>
      <c r="M1279" s="21">
        <f t="shared" si="2323"/>
        <v>0</v>
      </c>
      <c r="N1279" s="21">
        <f t="shared" si="2323"/>
        <v>0</v>
      </c>
      <c r="O1279" s="21">
        <f t="shared" si="2323"/>
        <v>0</v>
      </c>
    </row>
    <row r="1280">
      <c r="B1280" s="20">
        <v>46297.0</v>
      </c>
      <c r="C1280" s="21">
        <f t="shared" ref="C1280:G1280" si="2324">0</f>
        <v>0</v>
      </c>
      <c r="D1280" s="21">
        <f t="shared" si="2324"/>
        <v>0</v>
      </c>
      <c r="E1280" s="21">
        <f t="shared" si="2324"/>
        <v>0</v>
      </c>
      <c r="F1280" s="21">
        <f t="shared" si="2324"/>
        <v>0</v>
      </c>
      <c r="G1280" s="21">
        <f t="shared" si="2324"/>
        <v>0</v>
      </c>
      <c r="H1280" s="21">
        <f>37</f>
        <v>37</v>
      </c>
      <c r="I1280" s="21">
        <f t="shared" ref="I1280:O1280" si="2325">0</f>
        <v>0</v>
      </c>
      <c r="J1280" s="21">
        <f t="shared" si="2325"/>
        <v>0</v>
      </c>
      <c r="K1280" s="21">
        <f t="shared" si="2325"/>
        <v>0</v>
      </c>
      <c r="L1280" s="21">
        <f t="shared" si="2325"/>
        <v>0</v>
      </c>
      <c r="M1280" s="21">
        <f t="shared" si="2325"/>
        <v>0</v>
      </c>
      <c r="N1280" s="21">
        <f t="shared" si="2325"/>
        <v>0</v>
      </c>
      <c r="O1280" s="21">
        <f t="shared" si="2325"/>
        <v>0</v>
      </c>
    </row>
    <row r="1281">
      <c r="B1281" s="20">
        <v>46297.0</v>
      </c>
      <c r="C1281" s="21">
        <f t="shared" ref="C1281:F1281" si="2326">0</f>
        <v>0</v>
      </c>
      <c r="D1281" s="21">
        <f t="shared" si="2326"/>
        <v>0</v>
      </c>
      <c r="E1281" s="21">
        <f t="shared" si="2326"/>
        <v>0</v>
      </c>
      <c r="F1281" s="21">
        <f t="shared" si="2326"/>
        <v>0</v>
      </c>
      <c r="G1281" s="21">
        <f>5.5</f>
        <v>5.5</v>
      </c>
      <c r="H1281" s="21">
        <f>0</f>
        <v>0</v>
      </c>
      <c r="I1281" s="21">
        <f>46.75</f>
        <v>46.75</v>
      </c>
      <c r="J1281" s="21">
        <f t="shared" ref="J1281:L1281" si="2327">0</f>
        <v>0</v>
      </c>
      <c r="K1281" s="21">
        <f t="shared" si="2327"/>
        <v>0</v>
      </c>
      <c r="L1281" s="21">
        <f t="shared" si="2327"/>
        <v>0</v>
      </c>
      <c r="M1281" s="21">
        <f>2.75</f>
        <v>2.75</v>
      </c>
      <c r="N1281" s="21">
        <f t="shared" ref="N1281:O1281" si="2328">0</f>
        <v>0</v>
      </c>
      <c r="O1281" s="21">
        <f t="shared" si="2328"/>
        <v>0</v>
      </c>
    </row>
    <row r="1282">
      <c r="B1282" s="20">
        <v>46297.0</v>
      </c>
      <c r="C1282" s="21">
        <f>8.9</f>
        <v>8.9</v>
      </c>
      <c r="D1282" s="21">
        <f t="shared" ref="D1282:H1282" si="2329">0</f>
        <v>0</v>
      </c>
      <c r="E1282" s="21">
        <f t="shared" si="2329"/>
        <v>0</v>
      </c>
      <c r="F1282" s="21">
        <f t="shared" si="2329"/>
        <v>0</v>
      </c>
      <c r="G1282" s="21">
        <f t="shared" si="2329"/>
        <v>0</v>
      </c>
      <c r="H1282" s="21">
        <f t="shared" si="2329"/>
        <v>0</v>
      </c>
      <c r="I1282" s="21">
        <f>62.3</f>
        <v>62.3</v>
      </c>
      <c r="J1282" s="21">
        <f t="shared" ref="J1282:M1282" si="2330">0</f>
        <v>0</v>
      </c>
      <c r="K1282" s="21">
        <f t="shared" si="2330"/>
        <v>0</v>
      </c>
      <c r="L1282" s="21">
        <f t="shared" si="2330"/>
        <v>0</v>
      </c>
      <c r="M1282" s="21">
        <f t="shared" si="2330"/>
        <v>0</v>
      </c>
      <c r="N1282" s="21">
        <f>17.8</f>
        <v>17.8</v>
      </c>
      <c r="O1282" s="21">
        <f>0</f>
        <v>0</v>
      </c>
    </row>
    <row r="1283">
      <c r="B1283" s="20">
        <v>46297.0</v>
      </c>
      <c r="C1283" s="21">
        <v>0.0</v>
      </c>
      <c r="D1283" s="21">
        <v>0.0</v>
      </c>
      <c r="E1283" s="21">
        <v>0.0</v>
      </c>
      <c r="F1283" s="21">
        <v>0.0</v>
      </c>
      <c r="G1283" s="21">
        <v>0.0</v>
      </c>
      <c r="H1283" s="21">
        <v>0.0</v>
      </c>
      <c r="I1283" s="21">
        <v>0.0</v>
      </c>
      <c r="J1283" s="21">
        <v>0.0</v>
      </c>
      <c r="K1283" s="21">
        <v>0.0</v>
      </c>
      <c r="L1283" s="21">
        <v>0.0</v>
      </c>
      <c r="M1283" s="21">
        <v>0.0</v>
      </c>
      <c r="N1283" s="21">
        <v>0.0</v>
      </c>
      <c r="O1283" s="21">
        <f>37.6</f>
        <v>37.6</v>
      </c>
    </row>
    <row r="1284">
      <c r="B1284" s="20">
        <v>46297.0</v>
      </c>
      <c r="C1284" s="21">
        <f t="shared" ref="C1284:H1284" si="2331">0</f>
        <v>0</v>
      </c>
      <c r="D1284" s="21">
        <f t="shared" si="2331"/>
        <v>0</v>
      </c>
      <c r="E1284" s="21">
        <f t="shared" si="2331"/>
        <v>0</v>
      </c>
      <c r="F1284" s="21">
        <f t="shared" si="2331"/>
        <v>0</v>
      </c>
      <c r="G1284" s="21">
        <f t="shared" si="2331"/>
        <v>0</v>
      </c>
      <c r="H1284" s="21">
        <f t="shared" si="2331"/>
        <v>0</v>
      </c>
      <c r="I1284" s="21">
        <f>4.05</f>
        <v>4.05</v>
      </c>
      <c r="J1284" s="21">
        <f>34.425</f>
        <v>34.425</v>
      </c>
      <c r="K1284" s="21">
        <f t="shared" ref="K1284:L1284" si="2332">0</f>
        <v>0</v>
      </c>
      <c r="L1284" s="21">
        <f t="shared" si="2332"/>
        <v>0</v>
      </c>
      <c r="M1284" s="21">
        <f>2.025</f>
        <v>2.025</v>
      </c>
      <c r="N1284" s="21">
        <f t="shared" ref="N1284:O1284" si="2333">0</f>
        <v>0</v>
      </c>
      <c r="O1284" s="21">
        <f t="shared" si="2333"/>
        <v>0</v>
      </c>
    </row>
    <row r="1285">
      <c r="B1285" s="20">
        <v>46298.0</v>
      </c>
      <c r="C1285" s="21">
        <f>13.8</f>
        <v>13.8</v>
      </c>
      <c r="D1285" s="21">
        <f t="shared" ref="D1285:F1285" si="2334">0</f>
        <v>0</v>
      </c>
      <c r="E1285" s="21">
        <f t="shared" si="2334"/>
        <v>0</v>
      </c>
      <c r="F1285" s="21">
        <f t="shared" si="2334"/>
        <v>0</v>
      </c>
      <c r="G1285" s="21">
        <f>27.6</f>
        <v>27.6</v>
      </c>
      <c r="H1285" s="21">
        <f t="shared" ref="H1285:L1285" si="2335">0</f>
        <v>0</v>
      </c>
      <c r="I1285" s="21">
        <f t="shared" si="2335"/>
        <v>0</v>
      </c>
      <c r="J1285" s="21">
        <f t="shared" si="2335"/>
        <v>0</v>
      </c>
      <c r="K1285" s="21">
        <f t="shared" si="2335"/>
        <v>0</v>
      </c>
      <c r="L1285" s="21">
        <f t="shared" si="2335"/>
        <v>0</v>
      </c>
      <c r="M1285" s="21">
        <f>4.6</f>
        <v>4.6</v>
      </c>
      <c r="N1285" s="21">
        <f t="shared" ref="N1285:O1285" si="2336">0</f>
        <v>0</v>
      </c>
      <c r="O1285" s="21">
        <f t="shared" si="2336"/>
        <v>0</v>
      </c>
    </row>
    <row r="1286">
      <c r="B1286" s="20">
        <v>46298.0</v>
      </c>
      <c r="C1286" s="21">
        <f t="shared" ref="C1286:D1286" si="2337">14</f>
        <v>14</v>
      </c>
      <c r="D1286" s="21">
        <f t="shared" si="2337"/>
        <v>14</v>
      </c>
      <c r="E1286" s="21">
        <f t="shared" ref="E1286:F1286" si="2338">0</f>
        <v>0</v>
      </c>
      <c r="F1286" s="21">
        <f t="shared" si="2338"/>
        <v>0</v>
      </c>
      <c r="G1286" s="21">
        <f>7</f>
        <v>7</v>
      </c>
      <c r="H1286" s="21">
        <f>0</f>
        <v>0</v>
      </c>
      <c r="I1286" s="21">
        <f>35</f>
        <v>35</v>
      </c>
      <c r="J1286" s="21">
        <f t="shared" ref="J1286:O1286" si="2339">0</f>
        <v>0</v>
      </c>
      <c r="K1286" s="21">
        <f t="shared" si="2339"/>
        <v>0</v>
      </c>
      <c r="L1286" s="21">
        <f t="shared" si="2339"/>
        <v>0</v>
      </c>
      <c r="M1286" s="21">
        <f t="shared" si="2339"/>
        <v>0</v>
      </c>
      <c r="N1286" s="21">
        <f t="shared" si="2339"/>
        <v>0</v>
      </c>
      <c r="O1286" s="21">
        <f t="shared" si="2339"/>
        <v>0</v>
      </c>
    </row>
    <row r="1287">
      <c r="B1287" s="20">
        <v>46298.0</v>
      </c>
      <c r="C1287" s="21">
        <f t="shared" ref="C1287:H1287" si="2340">0</f>
        <v>0</v>
      </c>
      <c r="D1287" s="21">
        <f t="shared" si="2340"/>
        <v>0</v>
      </c>
      <c r="E1287" s="21">
        <f t="shared" si="2340"/>
        <v>0</v>
      </c>
      <c r="F1287" s="21">
        <f t="shared" si="2340"/>
        <v>0</v>
      </c>
      <c r="G1287" s="21">
        <f t="shared" si="2340"/>
        <v>0</v>
      </c>
      <c r="H1287" s="21">
        <f t="shared" si="2340"/>
        <v>0</v>
      </c>
      <c r="I1287" s="21">
        <f>58.6</f>
        <v>58.6</v>
      </c>
      <c r="J1287" s="21">
        <f>146.5</f>
        <v>146.5</v>
      </c>
      <c r="K1287" s="21">
        <f t="shared" ref="K1287:L1287" si="2341">0</f>
        <v>0</v>
      </c>
      <c r="L1287" s="21">
        <f t="shared" si="2341"/>
        <v>0</v>
      </c>
      <c r="M1287" s="21">
        <f>87.9</f>
        <v>87.9</v>
      </c>
      <c r="N1287" s="21">
        <f t="shared" ref="N1287:O1287" si="2342">0</f>
        <v>0</v>
      </c>
      <c r="O1287" s="21">
        <f t="shared" si="2342"/>
        <v>0</v>
      </c>
    </row>
    <row r="1288">
      <c r="B1288" s="20">
        <v>46298.0</v>
      </c>
      <c r="C1288" s="21">
        <v>0.0</v>
      </c>
      <c r="D1288" s="21">
        <v>0.0</v>
      </c>
      <c r="E1288" s="21">
        <v>0.0</v>
      </c>
      <c r="F1288" s="21">
        <v>0.0</v>
      </c>
      <c r="G1288" s="21">
        <v>0.0</v>
      </c>
      <c r="H1288" s="21">
        <v>0.0</v>
      </c>
      <c r="I1288" s="21">
        <v>0.0</v>
      </c>
      <c r="J1288" s="21">
        <v>0.0</v>
      </c>
      <c r="K1288" s="21">
        <v>0.0</v>
      </c>
      <c r="L1288" s="21">
        <v>0.0</v>
      </c>
      <c r="M1288" s="21">
        <v>0.0</v>
      </c>
      <c r="N1288" s="21">
        <v>0.0</v>
      </c>
      <c r="O1288" s="21">
        <f>47</f>
        <v>47</v>
      </c>
    </row>
    <row r="1289">
      <c r="B1289" s="20">
        <v>46298.0</v>
      </c>
      <c r="C1289" s="21">
        <f>24</f>
        <v>24</v>
      </c>
      <c r="D1289" s="21">
        <f t="shared" ref="D1289:O1289" si="2343">0</f>
        <v>0</v>
      </c>
      <c r="E1289" s="21">
        <f t="shared" si="2343"/>
        <v>0</v>
      </c>
      <c r="F1289" s="21">
        <f t="shared" si="2343"/>
        <v>0</v>
      </c>
      <c r="G1289" s="21">
        <f t="shared" si="2343"/>
        <v>0</v>
      </c>
      <c r="H1289" s="21">
        <f t="shared" si="2343"/>
        <v>0</v>
      </c>
      <c r="I1289" s="21">
        <f t="shared" si="2343"/>
        <v>0</v>
      </c>
      <c r="J1289" s="21">
        <f t="shared" si="2343"/>
        <v>0</v>
      </c>
      <c r="K1289" s="21">
        <f t="shared" si="2343"/>
        <v>0</v>
      </c>
      <c r="L1289" s="21">
        <f t="shared" si="2343"/>
        <v>0</v>
      </c>
      <c r="M1289" s="21">
        <f t="shared" si="2343"/>
        <v>0</v>
      </c>
      <c r="N1289" s="21">
        <f t="shared" si="2343"/>
        <v>0</v>
      </c>
      <c r="O1289" s="21">
        <f t="shared" si="2343"/>
        <v>0</v>
      </c>
    </row>
    <row r="1290">
      <c r="B1290" s="20">
        <v>46298.0</v>
      </c>
      <c r="C1290" s="21">
        <v>0.0</v>
      </c>
      <c r="D1290" s="21">
        <v>0.0</v>
      </c>
      <c r="E1290" s="21">
        <v>0.0</v>
      </c>
      <c r="F1290" s="21">
        <v>0.0</v>
      </c>
      <c r="G1290" s="21">
        <v>0.0</v>
      </c>
      <c r="H1290" s="21">
        <v>0.0</v>
      </c>
      <c r="I1290" s="21">
        <v>0.0</v>
      </c>
      <c r="J1290" s="21">
        <v>0.0</v>
      </c>
      <c r="K1290" s="21">
        <v>0.0</v>
      </c>
      <c r="L1290" s="21">
        <v>0.0</v>
      </c>
      <c r="M1290" s="21">
        <v>0.0</v>
      </c>
      <c r="N1290" s="21">
        <v>0.0</v>
      </c>
      <c r="O1290" s="21">
        <f>44</f>
        <v>44</v>
      </c>
    </row>
    <row r="1291">
      <c r="B1291" s="20">
        <v>46298.0</v>
      </c>
      <c r="C1291" s="21">
        <v>0.0</v>
      </c>
      <c r="D1291" s="21">
        <v>0.0</v>
      </c>
      <c r="E1291" s="21">
        <v>0.0</v>
      </c>
      <c r="F1291" s="21">
        <v>0.0</v>
      </c>
      <c r="G1291" s="21">
        <v>0.0</v>
      </c>
      <c r="H1291" s="21">
        <v>0.0</v>
      </c>
      <c r="I1291" s="21">
        <v>0.0</v>
      </c>
      <c r="J1291" s="21">
        <v>0.0</v>
      </c>
      <c r="K1291" s="21">
        <v>0.0</v>
      </c>
      <c r="L1291" s="21">
        <v>0.0</v>
      </c>
      <c r="M1291" s="21">
        <v>0.0</v>
      </c>
      <c r="N1291" s="21">
        <v>0.0</v>
      </c>
      <c r="O1291" s="21">
        <f>66</f>
        <v>66</v>
      </c>
    </row>
    <row r="1292">
      <c r="B1292" s="20">
        <v>46298.0</v>
      </c>
      <c r="C1292" s="21">
        <v>0.0</v>
      </c>
      <c r="D1292" s="21">
        <v>0.0</v>
      </c>
      <c r="E1292" s="21">
        <v>0.0</v>
      </c>
      <c r="F1292" s="21">
        <v>0.0</v>
      </c>
      <c r="G1292" s="21">
        <v>0.0</v>
      </c>
      <c r="H1292" s="21">
        <v>0.0</v>
      </c>
      <c r="I1292" s="21">
        <v>0.0</v>
      </c>
      <c r="J1292" s="21">
        <v>0.0</v>
      </c>
      <c r="K1292" s="21">
        <v>0.0</v>
      </c>
      <c r="L1292" s="21">
        <v>0.0</v>
      </c>
      <c r="M1292" s="21">
        <v>0.0</v>
      </c>
      <c r="N1292" s="21">
        <v>0.0</v>
      </c>
      <c r="O1292" s="21">
        <f>178</f>
        <v>178</v>
      </c>
    </row>
    <row r="1293">
      <c r="B1293" s="20">
        <v>46298.0</v>
      </c>
      <c r="C1293" s="21">
        <f t="shared" ref="C1293:H1293" si="2344">0</f>
        <v>0</v>
      </c>
      <c r="D1293" s="21">
        <f t="shared" si="2344"/>
        <v>0</v>
      </c>
      <c r="E1293" s="21">
        <f t="shared" si="2344"/>
        <v>0</v>
      </c>
      <c r="F1293" s="21">
        <f t="shared" si="2344"/>
        <v>0</v>
      </c>
      <c r="G1293" s="21">
        <f t="shared" si="2344"/>
        <v>0</v>
      </c>
      <c r="H1293" s="21">
        <f t="shared" si="2344"/>
        <v>0</v>
      </c>
      <c r="I1293" s="21">
        <f>34</f>
        <v>34</v>
      </c>
      <c r="J1293" s="21">
        <f t="shared" ref="J1293:L1293" si="2345">0</f>
        <v>0</v>
      </c>
      <c r="K1293" s="21">
        <f t="shared" si="2345"/>
        <v>0</v>
      </c>
      <c r="L1293" s="21">
        <f t="shared" si="2345"/>
        <v>0</v>
      </c>
      <c r="M1293" s="21">
        <f>34</f>
        <v>34</v>
      </c>
      <c r="N1293" s="21">
        <f t="shared" ref="N1293:O1293" si="2346">0</f>
        <v>0</v>
      </c>
      <c r="O1293" s="21">
        <f t="shared" si="2346"/>
        <v>0</v>
      </c>
    </row>
    <row r="1294">
      <c r="B1294" s="20">
        <v>46298.0</v>
      </c>
      <c r="C1294" s="21">
        <f t="shared" ref="C1294:L1294" si="2347">0</f>
        <v>0</v>
      </c>
      <c r="D1294" s="21">
        <f t="shared" si="2347"/>
        <v>0</v>
      </c>
      <c r="E1294" s="21">
        <f t="shared" si="2347"/>
        <v>0</v>
      </c>
      <c r="F1294" s="21">
        <f t="shared" si="2347"/>
        <v>0</v>
      </c>
      <c r="G1294" s="21">
        <f t="shared" si="2347"/>
        <v>0</v>
      </c>
      <c r="H1294" s="21">
        <f t="shared" si="2347"/>
        <v>0</v>
      </c>
      <c r="I1294" s="21">
        <f t="shared" si="2347"/>
        <v>0</v>
      </c>
      <c r="J1294" s="21">
        <f t="shared" si="2347"/>
        <v>0</v>
      </c>
      <c r="K1294" s="21">
        <f t="shared" si="2347"/>
        <v>0</v>
      </c>
      <c r="L1294" s="21">
        <f t="shared" si="2347"/>
        <v>0</v>
      </c>
      <c r="M1294" s="21">
        <f>42</f>
        <v>42</v>
      </c>
      <c r="N1294" s="21">
        <f t="shared" ref="N1294:O1294" si="2348">0</f>
        <v>0</v>
      </c>
      <c r="O1294" s="21">
        <f t="shared" si="2348"/>
        <v>0</v>
      </c>
    </row>
    <row r="1295">
      <c r="B1295" s="20">
        <v>46298.0</v>
      </c>
      <c r="C1295" s="21">
        <f>19.6</f>
        <v>19.6</v>
      </c>
      <c r="D1295" s="21">
        <f t="shared" ref="D1295:H1295" si="2349">0</f>
        <v>0</v>
      </c>
      <c r="E1295" s="21">
        <f t="shared" si="2349"/>
        <v>0</v>
      </c>
      <c r="F1295" s="21">
        <f t="shared" si="2349"/>
        <v>0</v>
      </c>
      <c r="G1295" s="21">
        <f t="shared" si="2349"/>
        <v>0</v>
      </c>
      <c r="H1295" s="21">
        <f t="shared" si="2349"/>
        <v>0</v>
      </c>
      <c r="I1295" s="21">
        <f>14.7</f>
        <v>14.7</v>
      </c>
      <c r="J1295" s="21">
        <f t="shared" ref="J1295:L1295" si="2350">0</f>
        <v>0</v>
      </c>
      <c r="K1295" s="21">
        <f t="shared" si="2350"/>
        <v>0</v>
      </c>
      <c r="L1295" s="21">
        <f t="shared" si="2350"/>
        <v>0</v>
      </c>
      <c r="M1295" s="21">
        <f>14.7</f>
        <v>14.7</v>
      </c>
      <c r="N1295" s="21">
        <f t="shared" ref="N1295:O1295" si="2351">0</f>
        <v>0</v>
      </c>
      <c r="O1295" s="21">
        <f t="shared" si="2351"/>
        <v>0</v>
      </c>
    </row>
    <row r="1296">
      <c r="B1296" s="20">
        <v>46299.0</v>
      </c>
      <c r="C1296" s="21">
        <f t="shared" ref="C1296:C1300" si="2353">0</f>
        <v>0</v>
      </c>
      <c r="D1296" s="21">
        <f>20</f>
        <v>20</v>
      </c>
      <c r="E1296" s="21">
        <f t="shared" ref="E1296:M1296" si="2352">0</f>
        <v>0</v>
      </c>
      <c r="F1296" s="21">
        <f t="shared" si="2352"/>
        <v>0</v>
      </c>
      <c r="G1296" s="21">
        <f t="shared" si="2352"/>
        <v>0</v>
      </c>
      <c r="H1296" s="21">
        <f t="shared" si="2352"/>
        <v>0</v>
      </c>
      <c r="I1296" s="21">
        <f t="shared" si="2352"/>
        <v>0</v>
      </c>
      <c r="J1296" s="21">
        <f t="shared" si="2352"/>
        <v>0</v>
      </c>
      <c r="K1296" s="21">
        <f t="shared" si="2352"/>
        <v>0</v>
      </c>
      <c r="L1296" s="21">
        <f t="shared" si="2352"/>
        <v>0</v>
      </c>
      <c r="M1296" s="21">
        <f t="shared" si="2352"/>
        <v>0</v>
      </c>
      <c r="N1296" s="21">
        <f>20</f>
        <v>20</v>
      </c>
      <c r="O1296" s="21">
        <f>0</f>
        <v>0</v>
      </c>
    </row>
    <row r="1297">
      <c r="B1297" s="20">
        <v>46299.0</v>
      </c>
      <c r="C1297" s="21">
        <f t="shared" si="2353"/>
        <v>0</v>
      </c>
      <c r="D1297" s="21">
        <f t="shared" ref="D1297:M1297" si="2354">0</f>
        <v>0</v>
      </c>
      <c r="E1297" s="21">
        <f t="shared" si="2354"/>
        <v>0</v>
      </c>
      <c r="F1297" s="21">
        <f t="shared" si="2354"/>
        <v>0</v>
      </c>
      <c r="G1297" s="21">
        <f t="shared" si="2354"/>
        <v>0</v>
      </c>
      <c r="H1297" s="21">
        <f t="shared" si="2354"/>
        <v>0</v>
      </c>
      <c r="I1297" s="21">
        <f t="shared" si="2354"/>
        <v>0</v>
      </c>
      <c r="J1297" s="21">
        <f t="shared" si="2354"/>
        <v>0</v>
      </c>
      <c r="K1297" s="21">
        <f t="shared" si="2354"/>
        <v>0</v>
      </c>
      <c r="L1297" s="21">
        <f t="shared" si="2354"/>
        <v>0</v>
      </c>
      <c r="M1297" s="21">
        <f t="shared" si="2354"/>
        <v>0</v>
      </c>
      <c r="N1297" s="21">
        <f t="shared" ref="N1297:O1297" si="2355">56</f>
        <v>56</v>
      </c>
      <c r="O1297" s="21">
        <f t="shared" si="2355"/>
        <v>56</v>
      </c>
    </row>
    <row r="1298">
      <c r="B1298" s="20">
        <v>46299.0</v>
      </c>
      <c r="C1298" s="21">
        <f t="shared" si="2353"/>
        <v>0</v>
      </c>
      <c r="D1298" s="21">
        <f>12.4</f>
        <v>12.4</v>
      </c>
      <c r="E1298" s="21">
        <f t="shared" ref="E1298:H1298" si="2356">0</f>
        <v>0</v>
      </c>
      <c r="F1298" s="21">
        <f t="shared" si="2356"/>
        <v>0</v>
      </c>
      <c r="G1298" s="21">
        <f t="shared" si="2356"/>
        <v>0</v>
      </c>
      <c r="H1298" s="21">
        <f t="shared" si="2356"/>
        <v>0</v>
      </c>
      <c r="I1298" s="21">
        <f>12.4</f>
        <v>12.4</v>
      </c>
      <c r="J1298" s="21">
        <f t="shared" ref="J1298:M1298" si="2357">0</f>
        <v>0</v>
      </c>
      <c r="K1298" s="21">
        <f t="shared" si="2357"/>
        <v>0</v>
      </c>
      <c r="L1298" s="21">
        <f t="shared" si="2357"/>
        <v>0</v>
      </c>
      <c r="M1298" s="21">
        <f t="shared" si="2357"/>
        <v>0</v>
      </c>
      <c r="N1298" s="21">
        <f>37.2</f>
        <v>37.2</v>
      </c>
      <c r="O1298" s="21">
        <f>0</f>
        <v>0</v>
      </c>
    </row>
    <row r="1299">
      <c r="B1299" s="20">
        <v>46299.0</v>
      </c>
      <c r="C1299" s="21">
        <f t="shared" si="2353"/>
        <v>0</v>
      </c>
      <c r="D1299" s="21">
        <f t="shared" ref="D1299:G1299" si="2358">0</f>
        <v>0</v>
      </c>
      <c r="E1299" s="21">
        <f t="shared" si="2358"/>
        <v>0</v>
      </c>
      <c r="F1299" s="21">
        <f t="shared" si="2358"/>
        <v>0</v>
      </c>
      <c r="G1299" s="21">
        <f t="shared" si="2358"/>
        <v>0</v>
      </c>
      <c r="H1299" s="21">
        <f>48</f>
        <v>48</v>
      </c>
      <c r="I1299" s="21">
        <f t="shared" ref="I1299:O1299" si="2359">0</f>
        <v>0</v>
      </c>
      <c r="J1299" s="21">
        <f t="shared" si="2359"/>
        <v>0</v>
      </c>
      <c r="K1299" s="21">
        <f t="shared" si="2359"/>
        <v>0</v>
      </c>
      <c r="L1299" s="21">
        <f t="shared" si="2359"/>
        <v>0</v>
      </c>
      <c r="M1299" s="21">
        <f t="shared" si="2359"/>
        <v>0</v>
      </c>
      <c r="N1299" s="21">
        <f t="shared" si="2359"/>
        <v>0</v>
      </c>
      <c r="O1299" s="21">
        <f t="shared" si="2359"/>
        <v>0</v>
      </c>
    </row>
    <row r="1300">
      <c r="B1300" s="20">
        <v>46299.0</v>
      </c>
      <c r="C1300" s="21">
        <f t="shared" si="2353"/>
        <v>0</v>
      </c>
      <c r="D1300" s="21">
        <f t="shared" ref="D1300:J1300" si="2360">0</f>
        <v>0</v>
      </c>
      <c r="E1300" s="21">
        <f t="shared" si="2360"/>
        <v>0</v>
      </c>
      <c r="F1300" s="21">
        <f t="shared" si="2360"/>
        <v>0</v>
      </c>
      <c r="G1300" s="21">
        <f t="shared" si="2360"/>
        <v>0</v>
      </c>
      <c r="H1300" s="21">
        <f t="shared" si="2360"/>
        <v>0</v>
      </c>
      <c r="I1300" s="21">
        <f t="shared" si="2360"/>
        <v>0</v>
      </c>
      <c r="J1300" s="21">
        <f t="shared" si="2360"/>
        <v>0</v>
      </c>
      <c r="K1300" s="21">
        <f>188</f>
        <v>188</v>
      </c>
      <c r="L1300" s="21">
        <f t="shared" ref="L1300:O1300" si="2361">0</f>
        <v>0</v>
      </c>
      <c r="M1300" s="21">
        <f t="shared" si="2361"/>
        <v>0</v>
      </c>
      <c r="N1300" s="21">
        <f t="shared" si="2361"/>
        <v>0</v>
      </c>
      <c r="O1300" s="21">
        <f t="shared" si="2361"/>
        <v>0</v>
      </c>
    </row>
    <row r="1301">
      <c r="B1301" s="20">
        <v>46299.0</v>
      </c>
      <c r="C1301" s="21">
        <f>39.2</f>
        <v>39.2</v>
      </c>
      <c r="D1301" s="21">
        <f t="shared" ref="D1301:H1301" si="2362">0</f>
        <v>0</v>
      </c>
      <c r="E1301" s="21">
        <f t="shared" si="2362"/>
        <v>0</v>
      </c>
      <c r="F1301" s="21">
        <f t="shared" si="2362"/>
        <v>0</v>
      </c>
      <c r="G1301" s="21">
        <f t="shared" si="2362"/>
        <v>0</v>
      </c>
      <c r="H1301" s="21">
        <f t="shared" si="2362"/>
        <v>0</v>
      </c>
      <c r="I1301" s="21">
        <f>2.45</f>
        <v>2.45</v>
      </c>
      <c r="J1301" s="21">
        <f t="shared" ref="J1301:L1301" si="2363">0</f>
        <v>0</v>
      </c>
      <c r="K1301" s="21">
        <f t="shared" si="2363"/>
        <v>0</v>
      </c>
      <c r="L1301" s="21">
        <f t="shared" si="2363"/>
        <v>0</v>
      </c>
      <c r="M1301" s="21">
        <f>7.35</f>
        <v>7.35</v>
      </c>
      <c r="N1301" s="21">
        <f t="shared" ref="N1301:O1301" si="2364">0</f>
        <v>0</v>
      </c>
      <c r="O1301" s="21">
        <f t="shared" si="2364"/>
        <v>0</v>
      </c>
    </row>
    <row r="1302">
      <c r="B1302" s="20">
        <v>46299.0</v>
      </c>
      <c r="C1302" s="21">
        <f>139</f>
        <v>139</v>
      </c>
      <c r="D1302" s="21">
        <f t="shared" ref="D1302:O1302" si="2365">0</f>
        <v>0</v>
      </c>
      <c r="E1302" s="21">
        <f t="shared" si="2365"/>
        <v>0</v>
      </c>
      <c r="F1302" s="21">
        <f t="shared" si="2365"/>
        <v>0</v>
      </c>
      <c r="G1302" s="21">
        <f t="shared" si="2365"/>
        <v>0</v>
      </c>
      <c r="H1302" s="21">
        <f t="shared" si="2365"/>
        <v>0</v>
      </c>
      <c r="I1302" s="21">
        <f t="shared" si="2365"/>
        <v>0</v>
      </c>
      <c r="J1302" s="21">
        <f t="shared" si="2365"/>
        <v>0</v>
      </c>
      <c r="K1302" s="21">
        <f t="shared" si="2365"/>
        <v>0</v>
      </c>
      <c r="L1302" s="21">
        <f t="shared" si="2365"/>
        <v>0</v>
      </c>
      <c r="M1302" s="21">
        <f t="shared" si="2365"/>
        <v>0</v>
      </c>
      <c r="N1302" s="21">
        <f t="shared" si="2365"/>
        <v>0</v>
      </c>
      <c r="O1302" s="21">
        <f t="shared" si="2365"/>
        <v>0</v>
      </c>
    </row>
    <row r="1303">
      <c r="B1303" s="20">
        <v>46299.0</v>
      </c>
      <c r="C1303" s="21">
        <f>16.65</f>
        <v>16.65</v>
      </c>
      <c r="D1303" s="21">
        <f t="shared" ref="D1303:H1303" si="2366">0</f>
        <v>0</v>
      </c>
      <c r="E1303" s="21">
        <f t="shared" si="2366"/>
        <v>0</v>
      </c>
      <c r="F1303" s="21">
        <f t="shared" si="2366"/>
        <v>0</v>
      </c>
      <c r="G1303" s="21">
        <f t="shared" si="2366"/>
        <v>0</v>
      </c>
      <c r="H1303" s="21">
        <f t="shared" si="2366"/>
        <v>0</v>
      </c>
      <c r="I1303" s="21">
        <f>77.7</f>
        <v>77.7</v>
      </c>
      <c r="J1303" s="21">
        <f t="shared" ref="J1303:L1303" si="2367">0</f>
        <v>0</v>
      </c>
      <c r="K1303" s="21">
        <f t="shared" si="2367"/>
        <v>0</v>
      </c>
      <c r="L1303" s="21">
        <f t="shared" si="2367"/>
        <v>0</v>
      </c>
      <c r="M1303" s="21">
        <f>16.65</f>
        <v>16.65</v>
      </c>
      <c r="N1303" s="21">
        <f t="shared" ref="N1303:O1303" si="2368">0</f>
        <v>0</v>
      </c>
      <c r="O1303" s="21">
        <f t="shared" si="2368"/>
        <v>0</v>
      </c>
    </row>
    <row r="1304">
      <c r="B1304" s="20">
        <v>46299.0</v>
      </c>
      <c r="C1304" s="21">
        <f t="shared" ref="C1304:E1304" si="2369">0</f>
        <v>0</v>
      </c>
      <c r="D1304" s="21">
        <f t="shared" si="2369"/>
        <v>0</v>
      </c>
      <c r="E1304" s="21">
        <f t="shared" si="2369"/>
        <v>0</v>
      </c>
      <c r="F1304" s="21">
        <f>12</f>
        <v>12</v>
      </c>
      <c r="G1304" s="21">
        <f t="shared" ref="G1304:L1304" si="2370">0</f>
        <v>0</v>
      </c>
      <c r="H1304" s="21">
        <f t="shared" si="2370"/>
        <v>0</v>
      </c>
      <c r="I1304" s="21">
        <f t="shared" si="2370"/>
        <v>0</v>
      </c>
      <c r="J1304" s="21">
        <f t="shared" si="2370"/>
        <v>0</v>
      </c>
      <c r="K1304" s="21">
        <f t="shared" si="2370"/>
        <v>0</v>
      </c>
      <c r="L1304" s="21">
        <f t="shared" si="2370"/>
        <v>0</v>
      </c>
      <c r="M1304" s="21">
        <f>12</f>
        <v>12</v>
      </c>
      <c r="N1304" s="21">
        <f t="shared" ref="N1304:O1304" si="2371">0</f>
        <v>0</v>
      </c>
      <c r="O1304" s="21">
        <f t="shared" si="2371"/>
        <v>0</v>
      </c>
    </row>
    <row r="1305">
      <c r="B1305" s="20">
        <v>46299.0</v>
      </c>
      <c r="C1305" s="21">
        <f t="shared" ref="C1305:H1305" si="2372">0</f>
        <v>0</v>
      </c>
      <c r="D1305" s="21">
        <f t="shared" si="2372"/>
        <v>0</v>
      </c>
      <c r="E1305" s="21">
        <f t="shared" si="2372"/>
        <v>0</v>
      </c>
      <c r="F1305" s="21">
        <f t="shared" si="2372"/>
        <v>0</v>
      </c>
      <c r="G1305" s="21">
        <f t="shared" si="2372"/>
        <v>0</v>
      </c>
      <c r="H1305" s="21">
        <f t="shared" si="2372"/>
        <v>0</v>
      </c>
      <c r="I1305" s="21">
        <f>72</f>
        <v>72</v>
      </c>
      <c r="J1305" s="21">
        <f t="shared" ref="J1305:O1305" si="2373">0</f>
        <v>0</v>
      </c>
      <c r="K1305" s="21">
        <f t="shared" si="2373"/>
        <v>0</v>
      </c>
      <c r="L1305" s="21">
        <f t="shared" si="2373"/>
        <v>0</v>
      </c>
      <c r="M1305" s="21">
        <f t="shared" si="2373"/>
        <v>0</v>
      </c>
      <c r="N1305" s="21">
        <f t="shared" si="2373"/>
        <v>0</v>
      </c>
      <c r="O1305" s="21">
        <f t="shared" si="2373"/>
        <v>0</v>
      </c>
    </row>
    <row r="1306">
      <c r="B1306" s="20">
        <v>46299.0</v>
      </c>
      <c r="C1306" s="21">
        <f t="shared" ref="C1306:E1306" si="2374">0</f>
        <v>0</v>
      </c>
      <c r="D1306" s="21">
        <f t="shared" si="2374"/>
        <v>0</v>
      </c>
      <c r="E1306" s="21">
        <f t="shared" si="2374"/>
        <v>0</v>
      </c>
      <c r="F1306" s="21">
        <f>72.9</f>
        <v>72.9</v>
      </c>
      <c r="G1306" s="21">
        <f t="shared" ref="G1306:L1306" si="2375">0</f>
        <v>0</v>
      </c>
      <c r="H1306" s="21">
        <f t="shared" si="2375"/>
        <v>0</v>
      </c>
      <c r="I1306" s="21">
        <f t="shared" si="2375"/>
        <v>0</v>
      </c>
      <c r="J1306" s="21">
        <f t="shared" si="2375"/>
        <v>0</v>
      </c>
      <c r="K1306" s="21">
        <f t="shared" si="2375"/>
        <v>0</v>
      </c>
      <c r="L1306" s="21">
        <f t="shared" si="2375"/>
        <v>0</v>
      </c>
      <c r="M1306" s="21">
        <f>8.1</f>
        <v>8.1</v>
      </c>
      <c r="N1306" s="21">
        <f t="shared" ref="N1306:O1306" si="2376">0</f>
        <v>0</v>
      </c>
      <c r="O1306" s="21">
        <f t="shared" si="2376"/>
        <v>0</v>
      </c>
    </row>
    <row r="1307">
      <c r="B1307" s="20">
        <v>46299.0</v>
      </c>
      <c r="C1307" s="21">
        <f>14</f>
        <v>14</v>
      </c>
      <c r="D1307" s="21">
        <f t="shared" ref="D1307:O1307" si="2377">0</f>
        <v>0</v>
      </c>
      <c r="E1307" s="21">
        <f t="shared" si="2377"/>
        <v>0</v>
      </c>
      <c r="F1307" s="21">
        <f t="shared" si="2377"/>
        <v>0</v>
      </c>
      <c r="G1307" s="21">
        <f t="shared" si="2377"/>
        <v>0</v>
      </c>
      <c r="H1307" s="21">
        <f t="shared" si="2377"/>
        <v>0</v>
      </c>
      <c r="I1307" s="21">
        <f t="shared" si="2377"/>
        <v>0</v>
      </c>
      <c r="J1307" s="21">
        <f t="shared" si="2377"/>
        <v>0</v>
      </c>
      <c r="K1307" s="21">
        <f t="shared" si="2377"/>
        <v>0</v>
      </c>
      <c r="L1307" s="21">
        <f t="shared" si="2377"/>
        <v>0</v>
      </c>
      <c r="M1307" s="21">
        <f t="shared" si="2377"/>
        <v>0</v>
      </c>
      <c r="N1307" s="21">
        <f t="shared" si="2377"/>
        <v>0</v>
      </c>
      <c r="O1307" s="21">
        <f t="shared" si="2377"/>
        <v>0</v>
      </c>
    </row>
    <row r="1308">
      <c r="B1308" s="20">
        <v>46299.0</v>
      </c>
      <c r="C1308" s="21">
        <f t="shared" ref="C1308:E1308" si="2378">0</f>
        <v>0</v>
      </c>
      <c r="D1308" s="21">
        <f t="shared" si="2378"/>
        <v>0</v>
      </c>
      <c r="E1308" s="21">
        <f t="shared" si="2378"/>
        <v>0</v>
      </c>
      <c r="F1308" s="21">
        <f>6</f>
        <v>6</v>
      </c>
      <c r="G1308" s="21">
        <f t="shared" ref="G1308:H1308" si="2379">0</f>
        <v>0</v>
      </c>
      <c r="H1308" s="21">
        <f t="shared" si="2379"/>
        <v>0</v>
      </c>
      <c r="I1308" s="21">
        <f>12</f>
        <v>12</v>
      </c>
      <c r="J1308" s="21">
        <f t="shared" ref="J1308:K1308" si="2380">0</f>
        <v>0</v>
      </c>
      <c r="K1308" s="21">
        <f t="shared" si="2380"/>
        <v>0</v>
      </c>
      <c r="L1308" s="21">
        <f>12</f>
        <v>12</v>
      </c>
      <c r="M1308" s="21">
        <f t="shared" ref="M1308:O1308" si="2381">0</f>
        <v>0</v>
      </c>
      <c r="N1308" s="21">
        <f t="shared" si="2381"/>
        <v>0</v>
      </c>
      <c r="O1308" s="21">
        <f t="shared" si="2381"/>
        <v>0</v>
      </c>
    </row>
    <row r="1309">
      <c r="B1309" s="20">
        <v>46299.0</v>
      </c>
      <c r="C1309" s="21">
        <f t="shared" ref="C1309:E1309" si="2382">0</f>
        <v>0</v>
      </c>
      <c r="D1309" s="21">
        <f t="shared" si="2382"/>
        <v>0</v>
      </c>
      <c r="E1309" s="21">
        <f t="shared" si="2382"/>
        <v>0</v>
      </c>
      <c r="F1309" s="21">
        <f>19.2</f>
        <v>19.2</v>
      </c>
      <c r="G1309" s="21">
        <f t="shared" ref="G1309:N1309" si="2383">0</f>
        <v>0</v>
      </c>
      <c r="H1309" s="21">
        <f t="shared" si="2383"/>
        <v>0</v>
      </c>
      <c r="I1309" s="21">
        <f t="shared" si="2383"/>
        <v>0</v>
      </c>
      <c r="J1309" s="21">
        <f t="shared" si="2383"/>
        <v>0</v>
      </c>
      <c r="K1309" s="21">
        <f t="shared" si="2383"/>
        <v>0</v>
      </c>
      <c r="L1309" s="21">
        <f t="shared" si="2383"/>
        <v>0</v>
      </c>
      <c r="M1309" s="21">
        <f t="shared" si="2383"/>
        <v>0</v>
      </c>
      <c r="N1309" s="21">
        <f t="shared" si="2383"/>
        <v>0</v>
      </c>
      <c r="O1309" s="21">
        <f>4.8</f>
        <v>4.8</v>
      </c>
    </row>
    <row r="1310">
      <c r="B1310" s="20">
        <v>46299.0</v>
      </c>
      <c r="C1310" s="21">
        <f t="shared" ref="C1310:F1310" si="2384">0</f>
        <v>0</v>
      </c>
      <c r="D1310" s="21">
        <f t="shared" si="2384"/>
        <v>0</v>
      </c>
      <c r="E1310" s="21">
        <f t="shared" si="2384"/>
        <v>0</v>
      </c>
      <c r="F1310" s="21">
        <f t="shared" si="2384"/>
        <v>0</v>
      </c>
      <c r="G1310" s="21">
        <f>57.6</f>
        <v>57.6</v>
      </c>
      <c r="H1310" s="21">
        <f t="shared" ref="H1310:N1310" si="2385">0</f>
        <v>0</v>
      </c>
      <c r="I1310" s="21">
        <f t="shared" si="2385"/>
        <v>0</v>
      </c>
      <c r="J1310" s="21">
        <f t="shared" si="2385"/>
        <v>0</v>
      </c>
      <c r="K1310" s="21">
        <f t="shared" si="2385"/>
        <v>0</v>
      </c>
      <c r="L1310" s="21">
        <f t="shared" si="2385"/>
        <v>0</v>
      </c>
      <c r="M1310" s="21">
        <f t="shared" si="2385"/>
        <v>0</v>
      </c>
      <c r="N1310" s="21">
        <f t="shared" si="2385"/>
        <v>0</v>
      </c>
      <c r="O1310" s="21">
        <f>6.4</f>
        <v>6.4</v>
      </c>
    </row>
    <row r="1311">
      <c r="B1311" s="20">
        <v>46299.0</v>
      </c>
      <c r="C1311" s="21">
        <f t="shared" ref="C1311:E1311" si="2386">0</f>
        <v>0</v>
      </c>
      <c r="D1311" s="21">
        <f t="shared" si="2386"/>
        <v>0</v>
      </c>
      <c r="E1311" s="21">
        <f t="shared" si="2386"/>
        <v>0</v>
      </c>
      <c r="F1311" s="21">
        <f>1.7</f>
        <v>1.7</v>
      </c>
      <c r="G1311" s="21">
        <f t="shared" ref="G1311:L1311" si="2387">0</f>
        <v>0</v>
      </c>
      <c r="H1311" s="21">
        <f t="shared" si="2387"/>
        <v>0</v>
      </c>
      <c r="I1311" s="21">
        <f t="shared" si="2387"/>
        <v>0</v>
      </c>
      <c r="J1311" s="21">
        <f t="shared" si="2387"/>
        <v>0</v>
      </c>
      <c r="K1311" s="21">
        <f t="shared" si="2387"/>
        <v>0</v>
      </c>
      <c r="L1311" s="21">
        <f t="shared" si="2387"/>
        <v>0</v>
      </c>
      <c r="M1311" s="21">
        <f>15.3</f>
        <v>15.3</v>
      </c>
      <c r="N1311" s="21">
        <f t="shared" ref="N1311:O1311" si="2388">0</f>
        <v>0</v>
      </c>
      <c r="O1311" s="21">
        <f t="shared" si="2388"/>
        <v>0</v>
      </c>
    </row>
    <row r="1312">
      <c r="B1312" s="20">
        <v>46299.0</v>
      </c>
      <c r="C1312" s="21">
        <f t="shared" ref="C1312:C1315" si="2390">0</f>
        <v>0</v>
      </c>
      <c r="D1312" s="21">
        <f>2.4</f>
        <v>2.4</v>
      </c>
      <c r="E1312" s="21">
        <f t="shared" ref="E1312:N1312" si="2389">0</f>
        <v>0</v>
      </c>
      <c r="F1312" s="21">
        <f t="shared" si="2389"/>
        <v>0</v>
      </c>
      <c r="G1312" s="21">
        <f t="shared" si="2389"/>
        <v>0</v>
      </c>
      <c r="H1312" s="21">
        <f t="shared" si="2389"/>
        <v>0</v>
      </c>
      <c r="I1312" s="21">
        <f t="shared" si="2389"/>
        <v>0</v>
      </c>
      <c r="J1312" s="21">
        <f t="shared" si="2389"/>
        <v>0</v>
      </c>
      <c r="K1312" s="21">
        <f t="shared" si="2389"/>
        <v>0</v>
      </c>
      <c r="L1312" s="21">
        <f t="shared" si="2389"/>
        <v>0</v>
      </c>
      <c r="M1312" s="21">
        <f t="shared" si="2389"/>
        <v>0</v>
      </c>
      <c r="N1312" s="21">
        <f t="shared" si="2389"/>
        <v>0</v>
      </c>
      <c r="O1312" s="21">
        <f>21.6</f>
        <v>21.6</v>
      </c>
    </row>
    <row r="1313">
      <c r="B1313" s="20">
        <v>46299.0</v>
      </c>
      <c r="C1313" s="21">
        <f t="shared" si="2390"/>
        <v>0</v>
      </c>
      <c r="D1313" s="21">
        <f t="shared" ref="D1313:F1313" si="2391">0</f>
        <v>0</v>
      </c>
      <c r="E1313" s="21">
        <f t="shared" si="2391"/>
        <v>0</v>
      </c>
      <c r="F1313" s="21">
        <f t="shared" si="2391"/>
        <v>0</v>
      </c>
      <c r="G1313" s="21">
        <f>17</f>
        <v>17</v>
      </c>
      <c r="H1313" s="21">
        <f>0</f>
        <v>0</v>
      </c>
      <c r="I1313" s="21">
        <f>17</f>
        <v>17</v>
      </c>
      <c r="J1313" s="21">
        <f t="shared" ref="J1313:O1313" si="2392">0</f>
        <v>0</v>
      </c>
      <c r="K1313" s="21">
        <f t="shared" si="2392"/>
        <v>0</v>
      </c>
      <c r="L1313" s="21">
        <f t="shared" si="2392"/>
        <v>0</v>
      </c>
      <c r="M1313" s="21">
        <f t="shared" si="2392"/>
        <v>0</v>
      </c>
      <c r="N1313" s="21">
        <f t="shared" si="2392"/>
        <v>0</v>
      </c>
      <c r="O1313" s="21">
        <f t="shared" si="2392"/>
        <v>0</v>
      </c>
    </row>
    <row r="1314">
      <c r="B1314" s="20">
        <v>46299.0</v>
      </c>
      <c r="C1314" s="21">
        <f t="shared" si="2390"/>
        <v>0</v>
      </c>
      <c r="D1314" s="21">
        <f>14</f>
        <v>14</v>
      </c>
      <c r="E1314" s="21">
        <f t="shared" ref="E1314:H1314" si="2393">0</f>
        <v>0</v>
      </c>
      <c r="F1314" s="21">
        <f t="shared" si="2393"/>
        <v>0</v>
      </c>
      <c r="G1314" s="21">
        <f t="shared" si="2393"/>
        <v>0</v>
      </c>
      <c r="H1314" s="21">
        <f t="shared" si="2393"/>
        <v>0</v>
      </c>
      <c r="I1314" s="21">
        <f>14</f>
        <v>14</v>
      </c>
      <c r="J1314" s="21">
        <f t="shared" ref="J1314:O1314" si="2394">0</f>
        <v>0</v>
      </c>
      <c r="K1314" s="21">
        <f t="shared" si="2394"/>
        <v>0</v>
      </c>
      <c r="L1314" s="21">
        <f t="shared" si="2394"/>
        <v>0</v>
      </c>
      <c r="M1314" s="21">
        <f t="shared" si="2394"/>
        <v>0</v>
      </c>
      <c r="N1314" s="21">
        <f t="shared" si="2394"/>
        <v>0</v>
      </c>
      <c r="O1314" s="21">
        <f t="shared" si="2394"/>
        <v>0</v>
      </c>
    </row>
    <row r="1315">
      <c r="B1315" s="20">
        <v>46300.0</v>
      </c>
      <c r="C1315" s="21">
        <f t="shared" si="2390"/>
        <v>0</v>
      </c>
      <c r="D1315" s="21">
        <f t="shared" ref="D1315:F1315" si="2395">0</f>
        <v>0</v>
      </c>
      <c r="E1315" s="21">
        <f t="shared" si="2395"/>
        <v>0</v>
      </c>
      <c r="F1315" s="21">
        <f t="shared" si="2395"/>
        <v>0</v>
      </c>
      <c r="G1315" s="21">
        <f>7.8</f>
        <v>7.8</v>
      </c>
      <c r="H1315" s="21">
        <f>0</f>
        <v>0</v>
      </c>
      <c r="I1315" s="21">
        <f>11.7</f>
        <v>11.7</v>
      </c>
      <c r="J1315" s="21">
        <f t="shared" ref="J1315:N1315" si="2396">0</f>
        <v>0</v>
      </c>
      <c r="K1315" s="21">
        <f t="shared" si="2396"/>
        <v>0</v>
      </c>
      <c r="L1315" s="21">
        <f t="shared" si="2396"/>
        <v>0</v>
      </c>
      <c r="M1315" s="21">
        <f t="shared" si="2396"/>
        <v>0</v>
      </c>
      <c r="N1315" s="21">
        <f t="shared" si="2396"/>
        <v>0</v>
      </c>
      <c r="O1315" s="21">
        <f>19.5</f>
        <v>19.5</v>
      </c>
    </row>
    <row r="1316">
      <c r="B1316" s="20">
        <v>46300.0</v>
      </c>
      <c r="C1316" s="21">
        <f>14</f>
        <v>14</v>
      </c>
      <c r="D1316" s="21">
        <f t="shared" ref="D1316:L1316" si="2397">0</f>
        <v>0</v>
      </c>
      <c r="E1316" s="21">
        <f t="shared" si="2397"/>
        <v>0</v>
      </c>
      <c r="F1316" s="21">
        <f t="shared" si="2397"/>
        <v>0</v>
      </c>
      <c r="G1316" s="21">
        <f t="shared" si="2397"/>
        <v>0</v>
      </c>
      <c r="H1316" s="21">
        <f t="shared" si="2397"/>
        <v>0</v>
      </c>
      <c r="I1316" s="21">
        <f t="shared" si="2397"/>
        <v>0</v>
      </c>
      <c r="J1316" s="21">
        <f t="shared" si="2397"/>
        <v>0</v>
      </c>
      <c r="K1316" s="21">
        <f t="shared" si="2397"/>
        <v>0</v>
      </c>
      <c r="L1316" s="21">
        <f t="shared" si="2397"/>
        <v>0</v>
      </c>
      <c r="M1316" s="21">
        <f>5.6</f>
        <v>5.6</v>
      </c>
      <c r="N1316" s="21">
        <f>0</f>
        <v>0</v>
      </c>
      <c r="O1316" s="21">
        <f>8.4</f>
        <v>8.4</v>
      </c>
    </row>
    <row r="1317">
      <c r="B1317" s="20">
        <v>46300.0</v>
      </c>
      <c r="C1317" s="21">
        <f>10.2</f>
        <v>10.2</v>
      </c>
      <c r="D1317" s="21">
        <f t="shared" ref="D1317:L1317" si="2398">0</f>
        <v>0</v>
      </c>
      <c r="E1317" s="21">
        <f t="shared" si="2398"/>
        <v>0</v>
      </c>
      <c r="F1317" s="21">
        <f t="shared" si="2398"/>
        <v>0</v>
      </c>
      <c r="G1317" s="21">
        <f t="shared" si="2398"/>
        <v>0</v>
      </c>
      <c r="H1317" s="21">
        <f t="shared" si="2398"/>
        <v>0</v>
      </c>
      <c r="I1317" s="21">
        <f t="shared" si="2398"/>
        <v>0</v>
      </c>
      <c r="J1317" s="21">
        <f t="shared" si="2398"/>
        <v>0</v>
      </c>
      <c r="K1317" s="21">
        <f t="shared" si="2398"/>
        <v>0</v>
      </c>
      <c r="L1317" s="21">
        <f t="shared" si="2398"/>
        <v>0</v>
      </c>
      <c r="M1317" s="21">
        <f>1.7</f>
        <v>1.7</v>
      </c>
      <c r="N1317" s="21">
        <f>5.1</f>
        <v>5.1</v>
      </c>
      <c r="O1317" s="21">
        <f>0</f>
        <v>0</v>
      </c>
    </row>
    <row r="1318">
      <c r="B1318" s="20">
        <v>46300.0</v>
      </c>
      <c r="C1318" s="21">
        <f t="shared" ref="C1318:F1318" si="2399">0</f>
        <v>0</v>
      </c>
      <c r="D1318" s="21">
        <f t="shared" si="2399"/>
        <v>0</v>
      </c>
      <c r="E1318" s="21">
        <f t="shared" si="2399"/>
        <v>0</v>
      </c>
      <c r="F1318" s="21">
        <f t="shared" si="2399"/>
        <v>0</v>
      </c>
      <c r="G1318" s="21">
        <f>5</f>
        <v>5</v>
      </c>
      <c r="H1318" s="21">
        <f t="shared" ref="H1318:L1318" si="2400">0</f>
        <v>0</v>
      </c>
      <c r="I1318" s="21">
        <f t="shared" si="2400"/>
        <v>0</v>
      </c>
      <c r="J1318" s="21">
        <f t="shared" si="2400"/>
        <v>0</v>
      </c>
      <c r="K1318" s="21">
        <f t="shared" si="2400"/>
        <v>0</v>
      </c>
      <c r="L1318" s="21">
        <f t="shared" si="2400"/>
        <v>0</v>
      </c>
      <c r="M1318" s="21">
        <f>5</f>
        <v>5</v>
      </c>
      <c r="N1318" s="21">
        <f t="shared" ref="N1318:O1318" si="2401">0</f>
        <v>0</v>
      </c>
      <c r="O1318" s="21">
        <f t="shared" si="2401"/>
        <v>0</v>
      </c>
    </row>
    <row r="1319">
      <c r="B1319" s="20">
        <v>46300.0</v>
      </c>
      <c r="C1319" s="21">
        <f>15</f>
        <v>15</v>
      </c>
      <c r="D1319" s="21">
        <f t="shared" ref="D1319:H1319" si="2402">0</f>
        <v>0</v>
      </c>
      <c r="E1319" s="21">
        <f t="shared" si="2402"/>
        <v>0</v>
      </c>
      <c r="F1319" s="21">
        <f t="shared" si="2402"/>
        <v>0</v>
      </c>
      <c r="G1319" s="21">
        <f t="shared" si="2402"/>
        <v>0</v>
      </c>
      <c r="H1319" s="21">
        <f t="shared" si="2402"/>
        <v>0</v>
      </c>
      <c r="I1319" s="21">
        <f>35</f>
        <v>35</v>
      </c>
      <c r="J1319" s="21">
        <f t="shared" ref="J1319:O1319" si="2403">0</f>
        <v>0</v>
      </c>
      <c r="K1319" s="21">
        <f t="shared" si="2403"/>
        <v>0</v>
      </c>
      <c r="L1319" s="21">
        <f t="shared" si="2403"/>
        <v>0</v>
      </c>
      <c r="M1319" s="21">
        <f t="shared" si="2403"/>
        <v>0</v>
      </c>
      <c r="N1319" s="21">
        <f t="shared" si="2403"/>
        <v>0</v>
      </c>
      <c r="O1319" s="21">
        <f t="shared" si="2403"/>
        <v>0</v>
      </c>
    </row>
    <row r="1320">
      <c r="B1320" s="20">
        <v>46300.0</v>
      </c>
      <c r="C1320" s="21">
        <f>19.8</f>
        <v>19.8</v>
      </c>
      <c r="D1320" s="21">
        <f t="shared" ref="D1320:L1320" si="2404">0</f>
        <v>0</v>
      </c>
      <c r="E1320" s="21">
        <f t="shared" si="2404"/>
        <v>0</v>
      </c>
      <c r="F1320" s="21">
        <f t="shared" si="2404"/>
        <v>0</v>
      </c>
      <c r="G1320" s="21">
        <f t="shared" si="2404"/>
        <v>0</v>
      </c>
      <c r="H1320" s="21">
        <f t="shared" si="2404"/>
        <v>0</v>
      </c>
      <c r="I1320" s="21">
        <f t="shared" si="2404"/>
        <v>0</v>
      </c>
      <c r="J1320" s="21">
        <f t="shared" si="2404"/>
        <v>0</v>
      </c>
      <c r="K1320" s="21">
        <f t="shared" si="2404"/>
        <v>0</v>
      </c>
      <c r="L1320" s="21">
        <f t="shared" si="2404"/>
        <v>0</v>
      </c>
      <c r="M1320" s="21">
        <f>46.2</f>
        <v>46.2</v>
      </c>
      <c r="N1320" s="21">
        <f t="shared" ref="N1320:O1320" si="2405">0</f>
        <v>0</v>
      </c>
      <c r="O1320" s="21">
        <f t="shared" si="2405"/>
        <v>0</v>
      </c>
    </row>
    <row r="1321">
      <c r="B1321" s="20">
        <v>46300.0</v>
      </c>
      <c r="C1321" s="21">
        <v>0.0</v>
      </c>
      <c r="D1321" s="21">
        <v>0.0</v>
      </c>
      <c r="E1321" s="21">
        <v>0.0</v>
      </c>
      <c r="F1321" s="21">
        <v>0.0</v>
      </c>
      <c r="G1321" s="21">
        <v>0.0</v>
      </c>
      <c r="H1321" s="21">
        <v>0.0</v>
      </c>
      <c r="I1321" s="21">
        <f>19</f>
        <v>19</v>
      </c>
      <c r="J1321" s="21">
        <v>0.0</v>
      </c>
      <c r="K1321" s="21">
        <v>0.0</v>
      </c>
      <c r="L1321" s="21">
        <v>0.0</v>
      </c>
      <c r="M1321" s="21">
        <v>0.0</v>
      </c>
      <c r="N1321" s="21">
        <v>0.0</v>
      </c>
      <c r="O1321" s="21">
        <v>0.0</v>
      </c>
    </row>
    <row r="1322">
      <c r="B1322" s="20">
        <v>46300.0</v>
      </c>
      <c r="C1322" s="21">
        <v>0.0</v>
      </c>
      <c r="D1322" s="21">
        <v>0.0</v>
      </c>
      <c r="E1322" s="21">
        <v>0.0</v>
      </c>
      <c r="F1322" s="21">
        <v>0.0</v>
      </c>
      <c r="G1322" s="21">
        <v>0.0</v>
      </c>
      <c r="H1322" s="21">
        <v>0.0</v>
      </c>
      <c r="I1322" s="21">
        <f>52</f>
        <v>52</v>
      </c>
      <c r="J1322" s="21">
        <v>0.0</v>
      </c>
      <c r="K1322" s="21">
        <v>0.0</v>
      </c>
      <c r="L1322" s="21">
        <v>0.0</v>
      </c>
      <c r="M1322" s="21">
        <v>0.0</v>
      </c>
      <c r="N1322" s="21">
        <v>0.0</v>
      </c>
      <c r="O1322" s="21">
        <v>0.0</v>
      </c>
    </row>
    <row r="1323">
      <c r="B1323" s="20">
        <v>46300.0</v>
      </c>
      <c r="C1323" s="21">
        <f t="shared" ref="C1323:H1323" si="2406">0</f>
        <v>0</v>
      </c>
      <c r="D1323" s="21">
        <f t="shared" si="2406"/>
        <v>0</v>
      </c>
      <c r="E1323" s="21">
        <f t="shared" si="2406"/>
        <v>0</v>
      </c>
      <c r="F1323" s="21">
        <f t="shared" si="2406"/>
        <v>0</v>
      </c>
      <c r="G1323" s="21">
        <f t="shared" si="2406"/>
        <v>0</v>
      </c>
      <c r="H1323" s="21">
        <f t="shared" si="2406"/>
        <v>0</v>
      </c>
      <c r="I1323" s="21">
        <f>20.8</f>
        <v>20.8</v>
      </c>
      <c r="J1323" s="21">
        <f t="shared" ref="J1323:L1323" si="2407">0</f>
        <v>0</v>
      </c>
      <c r="K1323" s="21">
        <f t="shared" si="2407"/>
        <v>0</v>
      </c>
      <c r="L1323" s="21">
        <f t="shared" si="2407"/>
        <v>0</v>
      </c>
      <c r="M1323" s="21">
        <f>5.2</f>
        <v>5.2</v>
      </c>
      <c r="N1323" s="21">
        <f t="shared" ref="N1323:O1323" si="2408">0</f>
        <v>0</v>
      </c>
      <c r="O1323" s="21">
        <f t="shared" si="2408"/>
        <v>0</v>
      </c>
    </row>
    <row r="1324">
      <c r="B1324" s="20">
        <v>46300.0</v>
      </c>
      <c r="C1324" s="21">
        <f>32.2</f>
        <v>32.2</v>
      </c>
      <c r="D1324" s="21">
        <f t="shared" ref="D1324:L1324" si="2409">0</f>
        <v>0</v>
      </c>
      <c r="E1324" s="21">
        <f t="shared" si="2409"/>
        <v>0</v>
      </c>
      <c r="F1324" s="21">
        <f t="shared" si="2409"/>
        <v>0</v>
      </c>
      <c r="G1324" s="21">
        <f t="shared" si="2409"/>
        <v>0</v>
      </c>
      <c r="H1324" s="21">
        <f t="shared" si="2409"/>
        <v>0</v>
      </c>
      <c r="I1324" s="21">
        <f t="shared" si="2409"/>
        <v>0</v>
      </c>
      <c r="J1324" s="21">
        <f t="shared" si="2409"/>
        <v>0</v>
      </c>
      <c r="K1324" s="21">
        <f t="shared" si="2409"/>
        <v>0</v>
      </c>
      <c r="L1324" s="21">
        <f t="shared" si="2409"/>
        <v>0</v>
      </c>
      <c r="M1324" s="21">
        <f>4.6</f>
        <v>4.6</v>
      </c>
      <c r="N1324" s="21">
        <f>0</f>
        <v>0</v>
      </c>
      <c r="O1324" s="21">
        <f>9.2</f>
        <v>9.2</v>
      </c>
    </row>
    <row r="1325">
      <c r="B1325" s="20">
        <v>46300.0</v>
      </c>
      <c r="C1325" s="21">
        <f t="shared" ref="C1325:H1325" si="2410">0</f>
        <v>0</v>
      </c>
      <c r="D1325" s="21">
        <f t="shared" si="2410"/>
        <v>0</v>
      </c>
      <c r="E1325" s="21">
        <f t="shared" si="2410"/>
        <v>0</v>
      </c>
      <c r="F1325" s="21">
        <f t="shared" si="2410"/>
        <v>0</v>
      </c>
      <c r="G1325" s="21">
        <f t="shared" si="2410"/>
        <v>0</v>
      </c>
      <c r="H1325" s="21">
        <f t="shared" si="2410"/>
        <v>0</v>
      </c>
      <c r="I1325" s="21">
        <f>46</f>
        <v>46</v>
      </c>
      <c r="J1325" s="21">
        <f t="shared" ref="J1325:O1325" si="2411">0</f>
        <v>0</v>
      </c>
      <c r="K1325" s="21">
        <f t="shared" si="2411"/>
        <v>0</v>
      </c>
      <c r="L1325" s="21">
        <f t="shared" si="2411"/>
        <v>0</v>
      </c>
      <c r="M1325" s="21">
        <f t="shared" si="2411"/>
        <v>0</v>
      </c>
      <c r="N1325" s="21">
        <f t="shared" si="2411"/>
        <v>0</v>
      </c>
      <c r="O1325" s="21">
        <f t="shared" si="2411"/>
        <v>0</v>
      </c>
    </row>
    <row r="1326">
      <c r="B1326" s="20">
        <v>46300.0</v>
      </c>
      <c r="C1326" s="21">
        <f t="shared" ref="C1326:C1328" si="2414">0</f>
        <v>0</v>
      </c>
      <c r="D1326" s="21">
        <f>3.7</f>
        <v>3.7</v>
      </c>
      <c r="E1326" s="21">
        <f t="shared" ref="E1326:H1326" si="2412">0</f>
        <v>0</v>
      </c>
      <c r="F1326" s="21">
        <f t="shared" si="2412"/>
        <v>0</v>
      </c>
      <c r="G1326" s="21">
        <f t="shared" si="2412"/>
        <v>0</v>
      </c>
      <c r="H1326" s="21">
        <f t="shared" si="2412"/>
        <v>0</v>
      </c>
      <c r="I1326" s="21">
        <f>51.8</f>
        <v>51.8</v>
      </c>
      <c r="J1326" s="21">
        <f t="shared" ref="J1326:N1326" si="2413">0</f>
        <v>0</v>
      </c>
      <c r="K1326" s="21">
        <f t="shared" si="2413"/>
        <v>0</v>
      </c>
      <c r="L1326" s="21">
        <f t="shared" si="2413"/>
        <v>0</v>
      </c>
      <c r="M1326" s="21">
        <f t="shared" si="2413"/>
        <v>0</v>
      </c>
      <c r="N1326" s="21">
        <f t="shared" si="2413"/>
        <v>0</v>
      </c>
      <c r="O1326" s="21">
        <f>18.5</f>
        <v>18.5</v>
      </c>
    </row>
    <row r="1327">
      <c r="B1327" s="20">
        <v>46300.0</v>
      </c>
      <c r="C1327" s="21">
        <f t="shared" si="2414"/>
        <v>0</v>
      </c>
      <c r="D1327" s="21">
        <f t="shared" ref="D1327:E1327" si="2415">0</f>
        <v>0</v>
      </c>
      <c r="E1327" s="21">
        <f t="shared" si="2415"/>
        <v>0</v>
      </c>
      <c r="F1327" s="21">
        <f>13.2</f>
        <v>13.2</v>
      </c>
      <c r="G1327" s="21">
        <f>19.8</f>
        <v>19.8</v>
      </c>
      <c r="H1327" s="21">
        <f t="shared" ref="H1327:H1328" si="2419">0</f>
        <v>0</v>
      </c>
      <c r="I1327" s="21">
        <f>19.8</f>
        <v>19.8</v>
      </c>
      <c r="J1327" s="21">
        <f t="shared" ref="J1327:L1327" si="2416">0</f>
        <v>0</v>
      </c>
      <c r="K1327" s="21">
        <f t="shared" si="2416"/>
        <v>0</v>
      </c>
      <c r="L1327" s="21">
        <f t="shared" si="2416"/>
        <v>0</v>
      </c>
      <c r="M1327" s="21">
        <f>13.2</f>
        <v>13.2</v>
      </c>
      <c r="N1327" s="21">
        <f t="shared" ref="N1327:O1327" si="2417">0</f>
        <v>0</v>
      </c>
      <c r="O1327" s="21">
        <f t="shared" si="2417"/>
        <v>0</v>
      </c>
    </row>
    <row r="1328">
      <c r="B1328" s="20">
        <v>46300.0</v>
      </c>
      <c r="C1328" s="21">
        <f t="shared" si="2414"/>
        <v>0</v>
      </c>
      <c r="D1328" s="21">
        <f t="shared" ref="D1328:E1328" si="2418">0</f>
        <v>0</v>
      </c>
      <c r="E1328" s="21">
        <f t="shared" si="2418"/>
        <v>0</v>
      </c>
      <c r="F1328" s="21">
        <f>4.6</f>
        <v>4.6</v>
      </c>
      <c r="G1328" s="21">
        <f>18.4</f>
        <v>18.4</v>
      </c>
      <c r="H1328" s="21">
        <f t="shared" si="2419"/>
        <v>0</v>
      </c>
      <c r="I1328" s="21">
        <f t="shared" ref="I1328:O1328" si="2420">0</f>
        <v>0</v>
      </c>
      <c r="J1328" s="21">
        <f t="shared" si="2420"/>
        <v>0</v>
      </c>
      <c r="K1328" s="21">
        <f t="shared" si="2420"/>
        <v>0</v>
      </c>
      <c r="L1328" s="21">
        <f t="shared" si="2420"/>
        <v>0</v>
      </c>
      <c r="M1328" s="21">
        <f t="shared" si="2420"/>
        <v>0</v>
      </c>
      <c r="N1328" s="21">
        <f t="shared" si="2420"/>
        <v>0</v>
      </c>
      <c r="O1328" s="21">
        <f t="shared" si="2420"/>
        <v>0</v>
      </c>
    </row>
    <row r="1329">
      <c r="B1329" s="20">
        <v>46300.0</v>
      </c>
      <c r="C1329" s="21">
        <f>30</f>
        <v>30</v>
      </c>
      <c r="D1329" s="21">
        <f t="shared" ref="D1329:H1329" si="2421">0</f>
        <v>0</v>
      </c>
      <c r="E1329" s="21">
        <f t="shared" si="2421"/>
        <v>0</v>
      </c>
      <c r="F1329" s="21">
        <f t="shared" si="2421"/>
        <v>0</v>
      </c>
      <c r="G1329" s="21">
        <f t="shared" si="2421"/>
        <v>0</v>
      </c>
      <c r="H1329" s="21">
        <f t="shared" si="2421"/>
        <v>0</v>
      </c>
      <c r="I1329" s="21">
        <f>15</f>
        <v>15</v>
      </c>
      <c r="J1329" s="21">
        <f t="shared" ref="J1329:L1329" si="2422">0</f>
        <v>0</v>
      </c>
      <c r="K1329" s="21">
        <f t="shared" si="2422"/>
        <v>0</v>
      </c>
      <c r="L1329" s="21">
        <f t="shared" si="2422"/>
        <v>0</v>
      </c>
      <c r="M1329" s="21">
        <f>5</f>
        <v>5</v>
      </c>
      <c r="N1329" s="21">
        <f t="shared" ref="N1329:O1329" si="2423">0</f>
        <v>0</v>
      </c>
      <c r="O1329" s="21">
        <f t="shared" si="2423"/>
        <v>0</v>
      </c>
    </row>
    <row r="1330">
      <c r="B1330" s="20">
        <v>46300.0</v>
      </c>
      <c r="C1330" s="21">
        <f>4.2</f>
        <v>4.2</v>
      </c>
      <c r="D1330" s="21">
        <f t="shared" ref="D1330:I1330" si="2424">0</f>
        <v>0</v>
      </c>
      <c r="E1330" s="21">
        <f t="shared" si="2424"/>
        <v>0</v>
      </c>
      <c r="F1330" s="21">
        <f t="shared" si="2424"/>
        <v>0</v>
      </c>
      <c r="G1330" s="21">
        <f t="shared" si="2424"/>
        <v>0</v>
      </c>
      <c r="H1330" s="21">
        <f t="shared" si="2424"/>
        <v>0</v>
      </c>
      <c r="I1330" s="21">
        <f t="shared" si="2424"/>
        <v>0</v>
      </c>
      <c r="J1330" s="21">
        <f>37.8</f>
        <v>37.8</v>
      </c>
      <c r="K1330" s="21">
        <f t="shared" ref="K1330:O1330" si="2425">0</f>
        <v>0</v>
      </c>
      <c r="L1330" s="21">
        <f t="shared" si="2425"/>
        <v>0</v>
      </c>
      <c r="M1330" s="21">
        <f t="shared" si="2425"/>
        <v>0</v>
      </c>
      <c r="N1330" s="21">
        <f t="shared" si="2425"/>
        <v>0</v>
      </c>
      <c r="O1330" s="21">
        <f t="shared" si="2425"/>
        <v>0</v>
      </c>
    </row>
    <row r="1331">
      <c r="B1331" s="20">
        <v>46300.0</v>
      </c>
      <c r="C1331" s="21">
        <f>33</f>
        <v>33</v>
      </c>
      <c r="D1331" s="21">
        <f t="shared" ref="D1331:H1331" si="2426">0</f>
        <v>0</v>
      </c>
      <c r="E1331" s="21">
        <f t="shared" si="2426"/>
        <v>0</v>
      </c>
      <c r="F1331" s="21">
        <f t="shared" si="2426"/>
        <v>0</v>
      </c>
      <c r="G1331" s="21">
        <f t="shared" si="2426"/>
        <v>0</v>
      </c>
      <c r="H1331" s="21">
        <f t="shared" si="2426"/>
        <v>0</v>
      </c>
      <c r="I1331" s="21">
        <f>33</f>
        <v>33</v>
      </c>
      <c r="J1331" s="21">
        <f t="shared" ref="J1331:O1331" si="2427">0</f>
        <v>0</v>
      </c>
      <c r="K1331" s="21">
        <f t="shared" si="2427"/>
        <v>0</v>
      </c>
      <c r="L1331" s="21">
        <f t="shared" si="2427"/>
        <v>0</v>
      </c>
      <c r="M1331" s="21">
        <f t="shared" si="2427"/>
        <v>0</v>
      </c>
      <c r="N1331" s="21">
        <f t="shared" si="2427"/>
        <v>0</v>
      </c>
      <c r="O1331" s="21">
        <f t="shared" si="2427"/>
        <v>0</v>
      </c>
    </row>
    <row r="1332">
      <c r="B1332" s="20">
        <v>46300.0</v>
      </c>
      <c r="C1332" s="21">
        <v>0.0</v>
      </c>
      <c r="D1332" s="21">
        <v>0.0</v>
      </c>
      <c r="E1332" s="21">
        <v>0.0</v>
      </c>
      <c r="F1332" s="21">
        <v>0.0</v>
      </c>
      <c r="G1332" s="21">
        <v>0.0</v>
      </c>
      <c r="H1332" s="21">
        <v>0.0</v>
      </c>
      <c r="I1332" s="21">
        <v>0.0</v>
      </c>
      <c r="J1332" s="21">
        <v>0.0</v>
      </c>
      <c r="K1332" s="21">
        <v>0.0</v>
      </c>
      <c r="L1332" s="21">
        <v>0.0</v>
      </c>
      <c r="M1332" s="21">
        <v>0.0</v>
      </c>
      <c r="N1332" s="21">
        <v>0.0</v>
      </c>
      <c r="O1332" s="21">
        <f>31</f>
        <v>31</v>
      </c>
    </row>
    <row r="1333">
      <c r="B1333" s="20">
        <v>46300.0</v>
      </c>
      <c r="C1333" s="21">
        <f>19.8</f>
        <v>19.8</v>
      </c>
      <c r="D1333" s="21">
        <f t="shared" ref="D1333:K1333" si="2428">0</f>
        <v>0</v>
      </c>
      <c r="E1333" s="21">
        <f t="shared" si="2428"/>
        <v>0</v>
      </c>
      <c r="F1333" s="21">
        <f t="shared" si="2428"/>
        <v>0</v>
      </c>
      <c r="G1333" s="21">
        <f t="shared" si="2428"/>
        <v>0</v>
      </c>
      <c r="H1333" s="21">
        <f t="shared" si="2428"/>
        <v>0</v>
      </c>
      <c r="I1333" s="21">
        <f t="shared" si="2428"/>
        <v>0</v>
      </c>
      <c r="J1333" s="21">
        <f t="shared" si="2428"/>
        <v>0</v>
      </c>
      <c r="K1333" s="21">
        <f t="shared" si="2428"/>
        <v>0</v>
      </c>
      <c r="L1333" s="21">
        <f>13.2</f>
        <v>13.2</v>
      </c>
      <c r="M1333" s="21">
        <f t="shared" ref="M1333:O1333" si="2429">0</f>
        <v>0</v>
      </c>
      <c r="N1333" s="21">
        <f t="shared" si="2429"/>
        <v>0</v>
      </c>
      <c r="O1333" s="21">
        <f t="shared" si="2429"/>
        <v>0</v>
      </c>
    </row>
    <row r="1334">
      <c r="B1334" s="20">
        <v>46300.0</v>
      </c>
      <c r="C1334" s="21">
        <f>34</f>
        <v>34</v>
      </c>
      <c r="D1334" s="21">
        <f t="shared" ref="D1334:H1334" si="2430">0</f>
        <v>0</v>
      </c>
      <c r="E1334" s="21">
        <f t="shared" si="2430"/>
        <v>0</v>
      </c>
      <c r="F1334" s="21">
        <f t="shared" si="2430"/>
        <v>0</v>
      </c>
      <c r="G1334" s="21">
        <f t="shared" si="2430"/>
        <v>0</v>
      </c>
      <c r="H1334" s="21">
        <f t="shared" si="2430"/>
        <v>0</v>
      </c>
      <c r="I1334" s="21">
        <f>34</f>
        <v>34</v>
      </c>
      <c r="J1334" s="21">
        <f t="shared" ref="J1334:O1334" si="2431">0</f>
        <v>0</v>
      </c>
      <c r="K1334" s="21">
        <f t="shared" si="2431"/>
        <v>0</v>
      </c>
      <c r="L1334" s="21">
        <f t="shared" si="2431"/>
        <v>0</v>
      </c>
      <c r="M1334" s="21">
        <f t="shared" si="2431"/>
        <v>0</v>
      </c>
      <c r="N1334" s="21">
        <f t="shared" si="2431"/>
        <v>0</v>
      </c>
      <c r="O1334" s="21">
        <f t="shared" si="2431"/>
        <v>0</v>
      </c>
    </row>
    <row r="1335">
      <c r="B1335" s="20">
        <v>46300.0</v>
      </c>
      <c r="C1335" s="21">
        <f>4.6</f>
        <v>4.6</v>
      </c>
      <c r="D1335" s="21">
        <f t="shared" ref="D1335:L1335" si="2432">0</f>
        <v>0</v>
      </c>
      <c r="E1335" s="21">
        <f t="shared" si="2432"/>
        <v>0</v>
      </c>
      <c r="F1335" s="21">
        <f t="shared" si="2432"/>
        <v>0</v>
      </c>
      <c r="G1335" s="21">
        <f t="shared" si="2432"/>
        <v>0</v>
      </c>
      <c r="H1335" s="21">
        <f t="shared" si="2432"/>
        <v>0</v>
      </c>
      <c r="I1335" s="21">
        <f t="shared" si="2432"/>
        <v>0</v>
      </c>
      <c r="J1335" s="21">
        <f t="shared" si="2432"/>
        <v>0</v>
      </c>
      <c r="K1335" s="21">
        <f t="shared" si="2432"/>
        <v>0</v>
      </c>
      <c r="L1335" s="21">
        <f t="shared" si="2432"/>
        <v>0</v>
      </c>
      <c r="M1335" s="21">
        <f>16.1</f>
        <v>16.1</v>
      </c>
      <c r="N1335" s="21">
        <f>2.3</f>
        <v>2.3</v>
      </c>
      <c r="O1335" s="21">
        <f>0</f>
        <v>0</v>
      </c>
    </row>
    <row r="1336">
      <c r="B1336" s="20">
        <v>46301.0</v>
      </c>
      <c r="C1336" s="21">
        <f>22.25</f>
        <v>22.25</v>
      </c>
      <c r="D1336" s="21">
        <f t="shared" ref="D1336:H1336" si="2433">0</f>
        <v>0</v>
      </c>
      <c r="E1336" s="21">
        <f t="shared" si="2433"/>
        <v>0</v>
      </c>
      <c r="F1336" s="21">
        <f t="shared" si="2433"/>
        <v>0</v>
      </c>
      <c r="G1336" s="21">
        <f t="shared" si="2433"/>
        <v>0</v>
      </c>
      <c r="H1336" s="21">
        <f t="shared" si="2433"/>
        <v>0</v>
      </c>
      <c r="I1336" s="21">
        <f>22.25</f>
        <v>22.25</v>
      </c>
      <c r="J1336" s="21">
        <f t="shared" ref="J1336:O1336" si="2434">0</f>
        <v>0</v>
      </c>
      <c r="K1336" s="21">
        <f t="shared" si="2434"/>
        <v>0</v>
      </c>
      <c r="L1336" s="21">
        <f t="shared" si="2434"/>
        <v>0</v>
      </c>
      <c r="M1336" s="21">
        <f t="shared" si="2434"/>
        <v>0</v>
      </c>
      <c r="N1336" s="21">
        <f t="shared" si="2434"/>
        <v>0</v>
      </c>
      <c r="O1336" s="21">
        <f t="shared" si="2434"/>
        <v>0</v>
      </c>
    </row>
    <row r="1337">
      <c r="B1337" s="20">
        <v>46301.0</v>
      </c>
      <c r="C1337" s="21">
        <f t="shared" ref="C1337:C1338" si="2438">0</f>
        <v>0</v>
      </c>
      <c r="D1337" s="21">
        <f>21</f>
        <v>21</v>
      </c>
      <c r="E1337" s="21">
        <f t="shared" ref="E1337:H1337" si="2435">0</f>
        <v>0</v>
      </c>
      <c r="F1337" s="21">
        <f t="shared" si="2435"/>
        <v>0</v>
      </c>
      <c r="G1337" s="21">
        <f t="shared" si="2435"/>
        <v>0</v>
      </c>
      <c r="H1337" s="21">
        <f t="shared" si="2435"/>
        <v>0</v>
      </c>
      <c r="I1337" s="21">
        <f>12.6</f>
        <v>12.6</v>
      </c>
      <c r="J1337" s="21">
        <f t="shared" ref="J1337:L1337" si="2436">0</f>
        <v>0</v>
      </c>
      <c r="K1337" s="21">
        <f t="shared" si="2436"/>
        <v>0</v>
      </c>
      <c r="L1337" s="21">
        <f t="shared" si="2436"/>
        <v>0</v>
      </c>
      <c r="M1337" s="21">
        <f>8.4</f>
        <v>8.4</v>
      </c>
      <c r="N1337" s="21">
        <f t="shared" ref="N1337:O1337" si="2437">0</f>
        <v>0</v>
      </c>
      <c r="O1337" s="21">
        <f t="shared" si="2437"/>
        <v>0</v>
      </c>
    </row>
    <row r="1338">
      <c r="B1338" s="20">
        <v>46301.0</v>
      </c>
      <c r="C1338" s="21">
        <f t="shared" si="2438"/>
        <v>0</v>
      </c>
      <c r="D1338" s="21">
        <f t="shared" ref="D1338:H1338" si="2439">0</f>
        <v>0</v>
      </c>
      <c r="E1338" s="21">
        <f t="shared" si="2439"/>
        <v>0</v>
      </c>
      <c r="F1338" s="21">
        <f t="shared" si="2439"/>
        <v>0</v>
      </c>
      <c r="G1338" s="21">
        <f t="shared" si="2439"/>
        <v>0</v>
      </c>
      <c r="H1338" s="21">
        <f t="shared" si="2439"/>
        <v>0</v>
      </c>
      <c r="I1338" s="21">
        <f>127</f>
        <v>127</v>
      </c>
      <c r="J1338" s="21">
        <f t="shared" ref="J1338:O1338" si="2440">0</f>
        <v>0</v>
      </c>
      <c r="K1338" s="21">
        <f t="shared" si="2440"/>
        <v>0</v>
      </c>
      <c r="L1338" s="21">
        <f t="shared" si="2440"/>
        <v>0</v>
      </c>
      <c r="M1338" s="21">
        <f t="shared" si="2440"/>
        <v>0</v>
      </c>
      <c r="N1338" s="21">
        <f t="shared" si="2440"/>
        <v>0</v>
      </c>
      <c r="O1338" s="21">
        <f t="shared" si="2440"/>
        <v>0</v>
      </c>
    </row>
    <row r="1339">
      <c r="B1339" s="20">
        <v>46301.0</v>
      </c>
      <c r="C1339" s="21">
        <f>25.5</f>
        <v>25.5</v>
      </c>
      <c r="D1339" s="21">
        <f t="shared" ref="D1339:L1339" si="2441">0</f>
        <v>0</v>
      </c>
      <c r="E1339" s="21">
        <f t="shared" si="2441"/>
        <v>0</v>
      </c>
      <c r="F1339" s="21">
        <f t="shared" si="2441"/>
        <v>0</v>
      </c>
      <c r="G1339" s="21">
        <f t="shared" si="2441"/>
        <v>0</v>
      </c>
      <c r="H1339" s="21">
        <f t="shared" si="2441"/>
        <v>0</v>
      </c>
      <c r="I1339" s="21">
        <f t="shared" si="2441"/>
        <v>0</v>
      </c>
      <c r="J1339" s="21">
        <f t="shared" si="2441"/>
        <v>0</v>
      </c>
      <c r="K1339" s="21">
        <f t="shared" si="2441"/>
        <v>0</v>
      </c>
      <c r="L1339" s="21">
        <f t="shared" si="2441"/>
        <v>0</v>
      </c>
      <c r="M1339" s="21">
        <f>25.5</f>
        <v>25.5</v>
      </c>
      <c r="N1339" s="21">
        <f t="shared" ref="N1339:O1339" si="2442">0</f>
        <v>0</v>
      </c>
      <c r="O1339" s="21">
        <f t="shared" si="2442"/>
        <v>0</v>
      </c>
    </row>
    <row r="1340">
      <c r="B1340" s="20">
        <v>46301.0</v>
      </c>
      <c r="C1340" s="21">
        <v>0.0</v>
      </c>
      <c r="D1340" s="21">
        <v>0.0</v>
      </c>
      <c r="E1340" s="21">
        <v>0.0</v>
      </c>
      <c r="F1340" s="21">
        <v>0.0</v>
      </c>
      <c r="G1340" s="21">
        <v>0.0</v>
      </c>
      <c r="H1340" s="21">
        <v>0.0</v>
      </c>
      <c r="I1340" s="21">
        <v>0.0</v>
      </c>
      <c r="J1340" s="21">
        <v>0.0</v>
      </c>
      <c r="K1340" s="21">
        <v>0.0</v>
      </c>
      <c r="L1340" s="21">
        <v>0.0</v>
      </c>
      <c r="M1340" s="21">
        <v>0.0</v>
      </c>
      <c r="N1340" s="21">
        <v>0.0</v>
      </c>
      <c r="O1340" s="21">
        <f>24</f>
        <v>24</v>
      </c>
    </row>
    <row r="1341">
      <c r="B1341" s="20">
        <v>46301.0</v>
      </c>
      <c r="C1341" s="21">
        <v>0.0</v>
      </c>
      <c r="D1341" s="21">
        <v>0.0</v>
      </c>
      <c r="E1341" s="21">
        <v>0.0</v>
      </c>
      <c r="F1341" s="21">
        <v>0.0</v>
      </c>
      <c r="G1341" s="21">
        <v>0.0</v>
      </c>
      <c r="H1341" s="21">
        <v>0.0</v>
      </c>
      <c r="I1341" s="21">
        <v>0.0</v>
      </c>
      <c r="J1341" s="21">
        <v>0.0</v>
      </c>
      <c r="K1341" s="21">
        <v>0.0</v>
      </c>
      <c r="L1341" s="21">
        <v>0.0</v>
      </c>
      <c r="M1341" s="21">
        <v>0.0</v>
      </c>
      <c r="N1341" s="21">
        <v>0.0</v>
      </c>
      <c r="O1341" s="21">
        <f>64</f>
        <v>64</v>
      </c>
    </row>
    <row r="1342">
      <c r="B1342" s="20">
        <v>46301.0</v>
      </c>
      <c r="C1342" s="21">
        <v>0.0</v>
      </c>
      <c r="D1342" s="21">
        <v>0.0</v>
      </c>
      <c r="E1342" s="21">
        <v>0.0</v>
      </c>
      <c r="F1342" s="21">
        <v>0.0</v>
      </c>
      <c r="G1342" s="21">
        <v>0.0</v>
      </c>
      <c r="H1342" s="21">
        <v>0.0</v>
      </c>
      <c r="I1342" s="21">
        <v>0.0</v>
      </c>
      <c r="J1342" s="21">
        <v>0.0</v>
      </c>
      <c r="K1342" s="21">
        <v>0.0</v>
      </c>
      <c r="L1342" s="21">
        <v>0.0</v>
      </c>
      <c r="M1342" s="21">
        <v>0.0</v>
      </c>
      <c r="N1342" s="21">
        <v>0.0</v>
      </c>
      <c r="O1342" s="21">
        <f>58</f>
        <v>58</v>
      </c>
    </row>
    <row r="1343">
      <c r="B1343" s="20">
        <v>46301.0</v>
      </c>
      <c r="C1343" s="21">
        <v>0.0</v>
      </c>
      <c r="D1343" s="21">
        <v>0.0</v>
      </c>
      <c r="E1343" s="21">
        <v>0.0</v>
      </c>
      <c r="F1343" s="21">
        <v>0.0</v>
      </c>
      <c r="G1343" s="21">
        <v>0.0</v>
      </c>
      <c r="H1343" s="21">
        <v>0.0</v>
      </c>
      <c r="I1343" s="21">
        <v>0.0</v>
      </c>
      <c r="J1343" s="21">
        <v>0.0</v>
      </c>
      <c r="K1343" s="21">
        <v>0.0</v>
      </c>
      <c r="L1343" s="21">
        <v>0.0</v>
      </c>
      <c r="M1343" s="21">
        <v>0.0</v>
      </c>
      <c r="N1343" s="21">
        <v>0.0</v>
      </c>
      <c r="O1343" s="21">
        <f>101</f>
        <v>101</v>
      </c>
    </row>
    <row r="1344">
      <c r="B1344" s="20">
        <v>46301.0</v>
      </c>
      <c r="C1344" s="21">
        <v>0.0</v>
      </c>
      <c r="D1344" s="21">
        <v>0.0</v>
      </c>
      <c r="E1344" s="21">
        <v>0.0</v>
      </c>
      <c r="F1344" s="21">
        <v>0.0</v>
      </c>
      <c r="G1344" s="21">
        <v>0.0</v>
      </c>
      <c r="H1344" s="21">
        <v>0.0</v>
      </c>
      <c r="I1344" s="21">
        <v>0.0</v>
      </c>
      <c r="J1344" s="21">
        <v>0.0</v>
      </c>
      <c r="K1344" s="21">
        <v>0.0</v>
      </c>
      <c r="L1344" s="21">
        <v>0.0</v>
      </c>
      <c r="M1344" s="21">
        <v>0.0</v>
      </c>
      <c r="N1344" s="21">
        <v>0.0</v>
      </c>
      <c r="O1344" s="21">
        <f>26</f>
        <v>26</v>
      </c>
    </row>
    <row r="1345">
      <c r="B1345" s="20">
        <v>46302.0</v>
      </c>
      <c r="C1345" s="21">
        <f t="shared" ref="C1345:H1345" si="2443">0</f>
        <v>0</v>
      </c>
      <c r="D1345" s="21">
        <f t="shared" si="2443"/>
        <v>0</v>
      </c>
      <c r="E1345" s="21">
        <f t="shared" si="2443"/>
        <v>0</v>
      </c>
      <c r="F1345" s="21">
        <f t="shared" si="2443"/>
        <v>0</v>
      </c>
      <c r="G1345" s="21">
        <f t="shared" si="2443"/>
        <v>0</v>
      </c>
      <c r="H1345" s="21">
        <f t="shared" si="2443"/>
        <v>0</v>
      </c>
      <c r="I1345" s="21">
        <f>38</f>
        <v>38</v>
      </c>
      <c r="J1345" s="21">
        <f t="shared" ref="J1345:O1345" si="2444">0</f>
        <v>0</v>
      </c>
      <c r="K1345" s="21">
        <f t="shared" si="2444"/>
        <v>0</v>
      </c>
      <c r="L1345" s="21">
        <f t="shared" si="2444"/>
        <v>0</v>
      </c>
      <c r="M1345" s="21">
        <f t="shared" si="2444"/>
        <v>0</v>
      </c>
      <c r="N1345" s="21">
        <f t="shared" si="2444"/>
        <v>0</v>
      </c>
      <c r="O1345" s="21">
        <f t="shared" si="2444"/>
        <v>0</v>
      </c>
    </row>
    <row r="1346">
      <c r="B1346" s="20">
        <v>46302.0</v>
      </c>
      <c r="C1346" s="21">
        <f>15.5</f>
        <v>15.5</v>
      </c>
      <c r="D1346" s="21">
        <f t="shared" ref="D1346:I1346" si="2445">0</f>
        <v>0</v>
      </c>
      <c r="E1346" s="21">
        <f t="shared" si="2445"/>
        <v>0</v>
      </c>
      <c r="F1346" s="21">
        <f t="shared" si="2445"/>
        <v>0</v>
      </c>
      <c r="G1346" s="21">
        <f t="shared" si="2445"/>
        <v>0</v>
      </c>
      <c r="H1346" s="21">
        <f t="shared" si="2445"/>
        <v>0</v>
      </c>
      <c r="I1346" s="21">
        <f t="shared" si="2445"/>
        <v>0</v>
      </c>
      <c r="J1346" s="21">
        <f>108.5</f>
        <v>108.5</v>
      </c>
      <c r="K1346" s="21">
        <f t="shared" ref="K1346:L1346" si="2446">0</f>
        <v>0</v>
      </c>
      <c r="L1346" s="21">
        <f t="shared" si="2446"/>
        <v>0</v>
      </c>
      <c r="M1346" s="21">
        <f>31</f>
        <v>31</v>
      </c>
      <c r="N1346" s="21">
        <f t="shared" ref="N1346:O1346" si="2447">0</f>
        <v>0</v>
      </c>
      <c r="O1346" s="21">
        <f t="shared" si="2447"/>
        <v>0</v>
      </c>
    </row>
    <row r="1347">
      <c r="B1347" s="20">
        <v>46302.0</v>
      </c>
      <c r="C1347" s="21">
        <f>9.2</f>
        <v>9.2</v>
      </c>
      <c r="D1347" s="21">
        <f t="shared" ref="D1347:F1347" si="2448">0</f>
        <v>0</v>
      </c>
      <c r="E1347" s="21">
        <f t="shared" si="2448"/>
        <v>0</v>
      </c>
      <c r="F1347" s="21">
        <f t="shared" si="2448"/>
        <v>0</v>
      </c>
      <c r="G1347" s="21">
        <f>9.2</f>
        <v>9.2</v>
      </c>
      <c r="H1347" s="21">
        <f t="shared" ref="H1347:L1347" si="2449">0</f>
        <v>0</v>
      </c>
      <c r="I1347" s="21">
        <f t="shared" si="2449"/>
        <v>0</v>
      </c>
      <c r="J1347" s="21">
        <f t="shared" si="2449"/>
        <v>0</v>
      </c>
      <c r="K1347" s="21">
        <f t="shared" si="2449"/>
        <v>0</v>
      </c>
      <c r="L1347" s="21">
        <f t="shared" si="2449"/>
        <v>0</v>
      </c>
      <c r="M1347" s="21">
        <f>27.6</f>
        <v>27.6</v>
      </c>
      <c r="N1347" s="21">
        <f t="shared" ref="N1347:O1347" si="2450">0</f>
        <v>0</v>
      </c>
      <c r="O1347" s="21">
        <f t="shared" si="2450"/>
        <v>0</v>
      </c>
    </row>
    <row r="1348">
      <c r="B1348" s="20">
        <v>46302.0</v>
      </c>
      <c r="C1348" s="21">
        <f>24.5</f>
        <v>24.5</v>
      </c>
      <c r="D1348" s="21">
        <f t="shared" ref="D1348:L1348" si="2451">0</f>
        <v>0</v>
      </c>
      <c r="E1348" s="21">
        <f t="shared" si="2451"/>
        <v>0</v>
      </c>
      <c r="F1348" s="21">
        <f t="shared" si="2451"/>
        <v>0</v>
      </c>
      <c r="G1348" s="21">
        <f t="shared" si="2451"/>
        <v>0</v>
      </c>
      <c r="H1348" s="21">
        <f t="shared" si="2451"/>
        <v>0</v>
      </c>
      <c r="I1348" s="21">
        <f t="shared" si="2451"/>
        <v>0</v>
      </c>
      <c r="J1348" s="21">
        <f t="shared" si="2451"/>
        <v>0</v>
      </c>
      <c r="K1348" s="21">
        <f t="shared" si="2451"/>
        <v>0</v>
      </c>
      <c r="L1348" s="21">
        <f t="shared" si="2451"/>
        <v>0</v>
      </c>
      <c r="M1348" s="21">
        <f>10.5</f>
        <v>10.5</v>
      </c>
      <c r="N1348" s="21">
        <f t="shared" ref="N1348:O1348" si="2452">0</f>
        <v>0</v>
      </c>
      <c r="O1348" s="21">
        <f t="shared" si="2452"/>
        <v>0</v>
      </c>
    </row>
    <row r="1349">
      <c r="B1349" s="20">
        <v>46302.0</v>
      </c>
      <c r="C1349" s="21">
        <f t="shared" ref="C1349:G1349" si="2453">0</f>
        <v>0</v>
      </c>
      <c r="D1349" s="21">
        <f t="shared" si="2453"/>
        <v>0</v>
      </c>
      <c r="E1349" s="21">
        <f t="shared" si="2453"/>
        <v>0</v>
      </c>
      <c r="F1349" s="21">
        <f t="shared" si="2453"/>
        <v>0</v>
      </c>
      <c r="G1349" s="21">
        <f t="shared" si="2453"/>
        <v>0</v>
      </c>
      <c r="H1349" s="21">
        <f>27</f>
        <v>27</v>
      </c>
      <c r="I1349" s="21">
        <f>0</f>
        <v>0</v>
      </c>
      <c r="J1349" s="21">
        <f>18</f>
        <v>18</v>
      </c>
      <c r="K1349" s="21">
        <f t="shared" ref="K1349:O1349" si="2454">0</f>
        <v>0</v>
      </c>
      <c r="L1349" s="21">
        <f t="shared" si="2454"/>
        <v>0</v>
      </c>
      <c r="M1349" s="21">
        <f t="shared" si="2454"/>
        <v>0</v>
      </c>
      <c r="N1349" s="21">
        <f t="shared" si="2454"/>
        <v>0</v>
      </c>
      <c r="O1349" s="21">
        <f t="shared" si="2454"/>
        <v>0</v>
      </c>
    </row>
    <row r="1350">
      <c r="B1350" s="20">
        <v>46302.0</v>
      </c>
      <c r="C1350" s="21">
        <f t="shared" ref="C1350:E1350" si="2455">0</f>
        <v>0</v>
      </c>
      <c r="D1350" s="21">
        <f t="shared" si="2455"/>
        <v>0</v>
      </c>
      <c r="E1350" s="21">
        <f t="shared" si="2455"/>
        <v>0</v>
      </c>
      <c r="F1350" s="21">
        <f>38.7</f>
        <v>38.7</v>
      </c>
      <c r="G1350" s="21">
        <f t="shared" ref="G1350:L1350" si="2456">0</f>
        <v>0</v>
      </c>
      <c r="H1350" s="21">
        <f t="shared" si="2456"/>
        <v>0</v>
      </c>
      <c r="I1350" s="21">
        <f t="shared" si="2456"/>
        <v>0</v>
      </c>
      <c r="J1350" s="21">
        <f t="shared" si="2456"/>
        <v>0</v>
      </c>
      <c r="K1350" s="21">
        <f t="shared" si="2456"/>
        <v>0</v>
      </c>
      <c r="L1350" s="21">
        <f t="shared" si="2456"/>
        <v>0</v>
      </c>
      <c r="M1350" s="21">
        <f>4.3</f>
        <v>4.3</v>
      </c>
      <c r="N1350" s="21">
        <f t="shared" ref="N1350:O1350" si="2457">0</f>
        <v>0</v>
      </c>
      <c r="O1350" s="21">
        <f t="shared" si="2457"/>
        <v>0</v>
      </c>
    </row>
    <row r="1351">
      <c r="B1351" s="20">
        <v>46302.0</v>
      </c>
      <c r="C1351" s="21">
        <v>0.0</v>
      </c>
      <c r="D1351" s="21">
        <v>0.0</v>
      </c>
      <c r="E1351" s="21">
        <v>0.0</v>
      </c>
      <c r="F1351" s="21">
        <v>0.0</v>
      </c>
      <c r="G1351" s="21">
        <v>0.0</v>
      </c>
      <c r="H1351" s="21">
        <v>0.0</v>
      </c>
      <c r="I1351" s="21">
        <v>0.0</v>
      </c>
      <c r="J1351" s="21">
        <v>0.0</v>
      </c>
      <c r="K1351" s="21">
        <v>0.0</v>
      </c>
      <c r="L1351" s="21">
        <v>0.0</v>
      </c>
      <c r="M1351" s="21">
        <v>0.0</v>
      </c>
      <c r="N1351" s="21">
        <v>0.0</v>
      </c>
      <c r="O1351" s="21">
        <f>44</f>
        <v>44</v>
      </c>
    </row>
    <row r="1352">
      <c r="B1352" s="20">
        <v>46302.0</v>
      </c>
      <c r="C1352" s="21">
        <f>13.8</f>
        <v>13.8</v>
      </c>
      <c r="D1352" s="21">
        <f>0</f>
        <v>0</v>
      </c>
      <c r="E1352" s="21">
        <f>4.6</f>
        <v>4.6</v>
      </c>
      <c r="F1352" s="21">
        <f t="shared" ref="F1352:H1352" si="2458">0</f>
        <v>0</v>
      </c>
      <c r="G1352" s="21">
        <f t="shared" si="2458"/>
        <v>0</v>
      </c>
      <c r="H1352" s="21">
        <f t="shared" si="2458"/>
        <v>0</v>
      </c>
      <c r="I1352" s="21">
        <f>9.2</f>
        <v>9.2</v>
      </c>
      <c r="J1352" s="21">
        <f t="shared" ref="J1352:N1352" si="2459">0</f>
        <v>0</v>
      </c>
      <c r="K1352" s="21">
        <f t="shared" si="2459"/>
        <v>0</v>
      </c>
      <c r="L1352" s="21">
        <f t="shared" si="2459"/>
        <v>0</v>
      </c>
      <c r="M1352" s="21">
        <f t="shared" si="2459"/>
        <v>0</v>
      </c>
      <c r="N1352" s="21">
        <f t="shared" si="2459"/>
        <v>0</v>
      </c>
      <c r="O1352" s="21">
        <f>18.4</f>
        <v>18.4</v>
      </c>
    </row>
    <row r="1353">
      <c r="B1353" s="20">
        <v>46302.0</v>
      </c>
      <c r="C1353" s="28">
        <f t="shared" ref="C1353:L1353" si="2460">0</f>
        <v>0</v>
      </c>
      <c r="D1353" s="28">
        <f t="shared" si="2460"/>
        <v>0</v>
      </c>
      <c r="E1353" s="28">
        <f t="shared" si="2460"/>
        <v>0</v>
      </c>
      <c r="F1353" s="28">
        <f t="shared" si="2460"/>
        <v>0</v>
      </c>
      <c r="G1353" s="28">
        <f t="shared" si="2460"/>
        <v>0</v>
      </c>
      <c r="H1353" s="28">
        <f t="shared" si="2460"/>
        <v>0</v>
      </c>
      <c r="I1353" s="28">
        <f t="shared" si="2460"/>
        <v>0</v>
      </c>
      <c r="J1353" s="28">
        <f t="shared" si="2460"/>
        <v>0</v>
      </c>
      <c r="K1353" s="28">
        <f t="shared" si="2460"/>
        <v>0</v>
      </c>
      <c r="L1353" s="28">
        <f t="shared" si="2460"/>
        <v>0</v>
      </c>
      <c r="M1353" s="28">
        <f>12</f>
        <v>12</v>
      </c>
      <c r="N1353" s="28">
        <f t="shared" ref="N1353:O1353" si="2461">0</f>
        <v>0</v>
      </c>
      <c r="O1353" s="28">
        <f t="shared" si="2461"/>
        <v>0</v>
      </c>
    </row>
    <row r="1354">
      <c r="B1354" s="20">
        <v>46302.0</v>
      </c>
      <c r="C1354" s="21">
        <f t="shared" ref="C1354:F1354" si="2462">0</f>
        <v>0</v>
      </c>
      <c r="D1354" s="21">
        <f t="shared" si="2462"/>
        <v>0</v>
      </c>
      <c r="E1354" s="21">
        <f t="shared" si="2462"/>
        <v>0</v>
      </c>
      <c r="F1354" s="21">
        <f t="shared" si="2462"/>
        <v>0</v>
      </c>
      <c r="G1354" s="21">
        <f>28.7</f>
        <v>28.7</v>
      </c>
      <c r="H1354" s="21">
        <f t="shared" ref="H1354:N1354" si="2463">0</f>
        <v>0</v>
      </c>
      <c r="I1354" s="21">
        <f t="shared" si="2463"/>
        <v>0</v>
      </c>
      <c r="J1354" s="21">
        <f t="shared" si="2463"/>
        <v>0</v>
      </c>
      <c r="K1354" s="21">
        <f t="shared" si="2463"/>
        <v>0</v>
      </c>
      <c r="L1354" s="21">
        <f t="shared" si="2463"/>
        <v>0</v>
      </c>
      <c r="M1354" s="21">
        <f t="shared" si="2463"/>
        <v>0</v>
      </c>
      <c r="N1354" s="21">
        <f t="shared" si="2463"/>
        <v>0</v>
      </c>
      <c r="O1354" s="21">
        <f>12.3</f>
        <v>12.3</v>
      </c>
    </row>
    <row r="1355">
      <c r="B1355" s="20">
        <v>46302.0</v>
      </c>
      <c r="C1355" s="21">
        <f t="shared" ref="C1355:D1355" si="2464">0</f>
        <v>0</v>
      </c>
      <c r="D1355" s="21">
        <f t="shared" si="2464"/>
        <v>0</v>
      </c>
      <c r="E1355" s="21">
        <f>3</f>
        <v>3</v>
      </c>
      <c r="F1355" s="21">
        <f>0</f>
        <v>0</v>
      </c>
      <c r="G1355" s="21">
        <f>9</f>
        <v>9</v>
      </c>
      <c r="H1355" s="21">
        <f>0</f>
        <v>0</v>
      </c>
      <c r="I1355" s="21">
        <f>12</f>
        <v>12</v>
      </c>
      <c r="J1355" s="21">
        <f t="shared" ref="J1355:N1355" si="2465">0</f>
        <v>0</v>
      </c>
      <c r="K1355" s="21">
        <f t="shared" si="2465"/>
        <v>0</v>
      </c>
      <c r="L1355" s="21">
        <f t="shared" si="2465"/>
        <v>0</v>
      </c>
      <c r="M1355" s="21">
        <f t="shared" si="2465"/>
        <v>0</v>
      </c>
      <c r="N1355" s="21">
        <f t="shared" si="2465"/>
        <v>0</v>
      </c>
      <c r="O1355" s="21">
        <f>6</f>
        <v>6</v>
      </c>
    </row>
    <row r="1356">
      <c r="B1356" s="20">
        <v>46302.0</v>
      </c>
      <c r="C1356" s="21">
        <v>0.0</v>
      </c>
      <c r="D1356" s="21">
        <v>0.0</v>
      </c>
      <c r="E1356" s="21">
        <v>0.0</v>
      </c>
      <c r="F1356" s="21">
        <v>0.0</v>
      </c>
      <c r="G1356" s="21">
        <v>0.0</v>
      </c>
      <c r="H1356" s="21">
        <v>0.0</v>
      </c>
      <c r="I1356" s="21">
        <v>0.0</v>
      </c>
      <c r="J1356" s="21">
        <v>0.0</v>
      </c>
      <c r="K1356" s="21">
        <v>0.0</v>
      </c>
      <c r="L1356" s="21">
        <v>0.0</v>
      </c>
      <c r="M1356" s="21">
        <v>0.0</v>
      </c>
      <c r="N1356" s="21">
        <v>0.0</v>
      </c>
      <c r="O1356" s="21">
        <f>51</f>
        <v>51</v>
      </c>
    </row>
    <row r="1357">
      <c r="B1357" s="20">
        <v>46302.0</v>
      </c>
      <c r="C1357" s="21">
        <f>9</f>
        <v>9</v>
      </c>
      <c r="D1357" s="21">
        <f t="shared" ref="D1357:L1357" si="2466">0</f>
        <v>0</v>
      </c>
      <c r="E1357" s="21">
        <f t="shared" si="2466"/>
        <v>0</v>
      </c>
      <c r="F1357" s="21">
        <f t="shared" si="2466"/>
        <v>0</v>
      </c>
      <c r="G1357" s="21">
        <f t="shared" si="2466"/>
        <v>0</v>
      </c>
      <c r="H1357" s="21">
        <f t="shared" si="2466"/>
        <v>0</v>
      </c>
      <c r="I1357" s="21">
        <f t="shared" si="2466"/>
        <v>0</v>
      </c>
      <c r="J1357" s="21">
        <f t="shared" si="2466"/>
        <v>0</v>
      </c>
      <c r="K1357" s="21">
        <f t="shared" si="2466"/>
        <v>0</v>
      </c>
      <c r="L1357" s="21">
        <f t="shared" si="2466"/>
        <v>0</v>
      </c>
      <c r="M1357" s="21">
        <f>22.5</f>
        <v>22.5</v>
      </c>
      <c r="N1357" s="21">
        <f>0</f>
        <v>0</v>
      </c>
      <c r="O1357" s="21">
        <f>13.5</f>
        <v>13.5</v>
      </c>
    </row>
    <row r="1358">
      <c r="B1358" s="20">
        <v>46302.0</v>
      </c>
      <c r="C1358" s="21">
        <f t="shared" ref="C1358:F1358" si="2467">0</f>
        <v>0</v>
      </c>
      <c r="D1358" s="21">
        <f t="shared" si="2467"/>
        <v>0</v>
      </c>
      <c r="E1358" s="21">
        <f t="shared" si="2467"/>
        <v>0</v>
      </c>
      <c r="F1358" s="21">
        <f t="shared" si="2467"/>
        <v>0</v>
      </c>
      <c r="G1358" s="21">
        <f>12.6</f>
        <v>12.6</v>
      </c>
      <c r="H1358" s="21">
        <f t="shared" ref="H1358:I1358" si="2468">0</f>
        <v>0</v>
      </c>
      <c r="I1358" s="21">
        <f t="shared" si="2468"/>
        <v>0</v>
      </c>
      <c r="J1358" s="21">
        <f>25.2</f>
        <v>25.2</v>
      </c>
      <c r="K1358" s="21">
        <f t="shared" ref="K1358:M1358" si="2469">0</f>
        <v>0</v>
      </c>
      <c r="L1358" s="21">
        <f t="shared" si="2469"/>
        <v>0</v>
      </c>
      <c r="M1358" s="21">
        <f t="shared" si="2469"/>
        <v>0</v>
      </c>
      <c r="N1358" s="21">
        <f>4.2</f>
        <v>4.2</v>
      </c>
      <c r="O1358" s="21">
        <f>0</f>
        <v>0</v>
      </c>
    </row>
    <row r="1359">
      <c r="B1359" s="20">
        <v>46302.0</v>
      </c>
      <c r="C1359" s="21">
        <v>0.0</v>
      </c>
      <c r="D1359" s="21">
        <v>0.0</v>
      </c>
      <c r="E1359" s="21">
        <v>0.0</v>
      </c>
      <c r="F1359" s="21">
        <v>0.0</v>
      </c>
      <c r="G1359" s="21">
        <v>0.0</v>
      </c>
      <c r="H1359" s="21">
        <v>0.0</v>
      </c>
      <c r="I1359" s="21">
        <v>0.0</v>
      </c>
      <c r="J1359" s="21">
        <v>0.0</v>
      </c>
      <c r="K1359" s="21">
        <v>0.0</v>
      </c>
      <c r="L1359" s="21">
        <v>0.0</v>
      </c>
      <c r="M1359" s="21">
        <v>0.0</v>
      </c>
      <c r="N1359" s="21">
        <v>0.0</v>
      </c>
      <c r="O1359" s="21">
        <f>40</f>
        <v>40</v>
      </c>
    </row>
    <row r="1360">
      <c r="B1360" s="20">
        <v>46303.0</v>
      </c>
      <c r="C1360" s="21">
        <f t="shared" ref="C1360:H1360" si="2470">0</f>
        <v>0</v>
      </c>
      <c r="D1360" s="21">
        <f t="shared" si="2470"/>
        <v>0</v>
      </c>
      <c r="E1360" s="21">
        <f t="shared" si="2470"/>
        <v>0</v>
      </c>
      <c r="F1360" s="21">
        <f t="shared" si="2470"/>
        <v>0</v>
      </c>
      <c r="G1360" s="21">
        <f t="shared" si="2470"/>
        <v>0</v>
      </c>
      <c r="H1360" s="21">
        <f t="shared" si="2470"/>
        <v>0</v>
      </c>
      <c r="I1360" s="21">
        <f>84.6</f>
        <v>84.6</v>
      </c>
      <c r="J1360" s="21">
        <f t="shared" ref="J1360:L1360" si="2471">0</f>
        <v>0</v>
      </c>
      <c r="K1360" s="21">
        <f t="shared" si="2471"/>
        <v>0</v>
      </c>
      <c r="L1360" s="21">
        <f t="shared" si="2471"/>
        <v>0</v>
      </c>
      <c r="M1360" s="21">
        <f>9.4</f>
        <v>9.4</v>
      </c>
      <c r="N1360" s="21">
        <f t="shared" ref="N1360:O1360" si="2472">0</f>
        <v>0</v>
      </c>
      <c r="O1360" s="21">
        <f t="shared" si="2472"/>
        <v>0</v>
      </c>
    </row>
    <row r="1361">
      <c r="B1361" s="20">
        <v>46303.0</v>
      </c>
      <c r="C1361" s="21">
        <f>142</f>
        <v>142</v>
      </c>
      <c r="D1361" s="21">
        <f t="shared" ref="D1361:O1361" si="2473">0</f>
        <v>0</v>
      </c>
      <c r="E1361" s="21">
        <f t="shared" si="2473"/>
        <v>0</v>
      </c>
      <c r="F1361" s="21">
        <f t="shared" si="2473"/>
        <v>0</v>
      </c>
      <c r="G1361" s="21">
        <f t="shared" si="2473"/>
        <v>0</v>
      </c>
      <c r="H1361" s="21">
        <f t="shared" si="2473"/>
        <v>0</v>
      </c>
      <c r="I1361" s="21">
        <f t="shared" si="2473"/>
        <v>0</v>
      </c>
      <c r="J1361" s="21">
        <f t="shared" si="2473"/>
        <v>0</v>
      </c>
      <c r="K1361" s="21">
        <f t="shared" si="2473"/>
        <v>0</v>
      </c>
      <c r="L1361" s="21">
        <f t="shared" si="2473"/>
        <v>0</v>
      </c>
      <c r="M1361" s="21">
        <f t="shared" si="2473"/>
        <v>0</v>
      </c>
      <c r="N1361" s="21">
        <f t="shared" si="2473"/>
        <v>0</v>
      </c>
      <c r="O1361" s="21">
        <f t="shared" si="2473"/>
        <v>0</v>
      </c>
    </row>
    <row r="1362">
      <c r="B1362" s="20">
        <v>46303.0</v>
      </c>
      <c r="C1362" s="21">
        <f t="shared" ref="C1362:F1362" si="2474">0</f>
        <v>0</v>
      </c>
      <c r="D1362" s="21">
        <f t="shared" si="2474"/>
        <v>0</v>
      </c>
      <c r="E1362" s="21">
        <f t="shared" si="2474"/>
        <v>0</v>
      </c>
      <c r="F1362" s="21">
        <f t="shared" si="2474"/>
        <v>0</v>
      </c>
      <c r="G1362" s="21">
        <f>6.2</f>
        <v>6.2</v>
      </c>
      <c r="H1362" s="21">
        <f>0</f>
        <v>0</v>
      </c>
      <c r="I1362" s="21">
        <f>55.8</f>
        <v>55.8</v>
      </c>
      <c r="J1362" s="21">
        <f t="shared" ref="J1362:O1362" si="2475">0</f>
        <v>0</v>
      </c>
      <c r="K1362" s="21">
        <f t="shared" si="2475"/>
        <v>0</v>
      </c>
      <c r="L1362" s="21">
        <f t="shared" si="2475"/>
        <v>0</v>
      </c>
      <c r="M1362" s="21">
        <f t="shared" si="2475"/>
        <v>0</v>
      </c>
      <c r="N1362" s="21">
        <f t="shared" si="2475"/>
        <v>0</v>
      </c>
      <c r="O1362" s="21">
        <f t="shared" si="2475"/>
        <v>0</v>
      </c>
    </row>
    <row r="1363">
      <c r="B1363" s="20">
        <v>46303.0</v>
      </c>
      <c r="C1363" s="21">
        <f>22.4</f>
        <v>22.4</v>
      </c>
      <c r="D1363" s="21">
        <f t="shared" ref="D1363:H1363" si="2476">0</f>
        <v>0</v>
      </c>
      <c r="E1363" s="21">
        <f t="shared" si="2476"/>
        <v>0</v>
      </c>
      <c r="F1363" s="21">
        <f t="shared" si="2476"/>
        <v>0</v>
      </c>
      <c r="G1363" s="21">
        <f t="shared" si="2476"/>
        <v>0</v>
      </c>
      <c r="H1363" s="21">
        <f t="shared" si="2476"/>
        <v>0</v>
      </c>
      <c r="I1363" s="21">
        <f>5.6</f>
        <v>5.6</v>
      </c>
      <c r="J1363" s="21">
        <f t="shared" ref="J1363:O1363" si="2477">0</f>
        <v>0</v>
      </c>
      <c r="K1363" s="21">
        <f t="shared" si="2477"/>
        <v>0</v>
      </c>
      <c r="L1363" s="21">
        <f t="shared" si="2477"/>
        <v>0</v>
      </c>
      <c r="M1363" s="21">
        <f t="shared" si="2477"/>
        <v>0</v>
      </c>
      <c r="N1363" s="21">
        <f t="shared" si="2477"/>
        <v>0</v>
      </c>
      <c r="O1363" s="21">
        <f t="shared" si="2477"/>
        <v>0</v>
      </c>
    </row>
    <row r="1364">
      <c r="B1364" s="20">
        <v>46303.0</v>
      </c>
      <c r="C1364" s="21">
        <f>3.4</f>
        <v>3.4</v>
      </c>
      <c r="D1364" s="21">
        <f>17</f>
        <v>17</v>
      </c>
      <c r="E1364" s="21">
        <f t="shared" ref="E1364:F1364" si="2478">0</f>
        <v>0</v>
      </c>
      <c r="F1364" s="21">
        <f t="shared" si="2478"/>
        <v>0</v>
      </c>
      <c r="G1364" s="21">
        <f>3.4</f>
        <v>3.4</v>
      </c>
      <c r="H1364" s="21">
        <f>0</f>
        <v>0</v>
      </c>
      <c r="I1364" s="21">
        <f>3.4</f>
        <v>3.4</v>
      </c>
      <c r="J1364" s="21">
        <f t="shared" ref="J1364:L1364" si="2479">0</f>
        <v>0</v>
      </c>
      <c r="K1364" s="21">
        <f t="shared" si="2479"/>
        <v>0</v>
      </c>
      <c r="L1364" s="21">
        <f t="shared" si="2479"/>
        <v>0</v>
      </c>
      <c r="M1364" s="21">
        <f>3.4</f>
        <v>3.4</v>
      </c>
      <c r="N1364" s="21">
        <f>0</f>
        <v>0</v>
      </c>
      <c r="O1364" s="21">
        <f>3.4</f>
        <v>3.4</v>
      </c>
    </row>
    <row r="1365">
      <c r="B1365" s="20">
        <v>46303.0</v>
      </c>
      <c r="C1365" s="21">
        <f t="shared" ref="C1365:D1365" si="2480">0</f>
        <v>0</v>
      </c>
      <c r="D1365" s="21">
        <f t="shared" si="2480"/>
        <v>0</v>
      </c>
      <c r="E1365" s="21">
        <f>19</f>
        <v>19</v>
      </c>
      <c r="F1365" s="21">
        <f t="shared" ref="F1365:H1365" si="2481">0</f>
        <v>0</v>
      </c>
      <c r="G1365" s="21">
        <f t="shared" si="2481"/>
        <v>0</v>
      </c>
      <c r="H1365" s="21">
        <f t="shared" si="2481"/>
        <v>0</v>
      </c>
      <c r="I1365" s="21">
        <f>19</f>
        <v>19</v>
      </c>
      <c r="J1365" s="21">
        <f t="shared" ref="J1365:O1365" si="2482">0</f>
        <v>0</v>
      </c>
      <c r="K1365" s="21">
        <f t="shared" si="2482"/>
        <v>0</v>
      </c>
      <c r="L1365" s="21">
        <f t="shared" si="2482"/>
        <v>0</v>
      </c>
      <c r="M1365" s="21">
        <f t="shared" si="2482"/>
        <v>0</v>
      </c>
      <c r="N1365" s="21">
        <f t="shared" si="2482"/>
        <v>0</v>
      </c>
      <c r="O1365" s="21">
        <f t="shared" si="2482"/>
        <v>0</v>
      </c>
    </row>
    <row r="1366">
      <c r="B1366" s="20">
        <v>46303.0</v>
      </c>
      <c r="C1366" s="21">
        <f t="shared" ref="C1366:D1366" si="2483">0</f>
        <v>0</v>
      </c>
      <c r="D1366" s="21">
        <f t="shared" si="2483"/>
        <v>0</v>
      </c>
      <c r="E1366" s="21">
        <f>12.6</f>
        <v>12.6</v>
      </c>
      <c r="F1366" s="21">
        <f>0</f>
        <v>0</v>
      </c>
      <c r="G1366" s="21">
        <f>2.1</f>
        <v>2.1</v>
      </c>
      <c r="H1366" s="21">
        <f>0</f>
        <v>0</v>
      </c>
      <c r="I1366" s="21">
        <f>25.2</f>
        <v>25.2</v>
      </c>
      <c r="J1366" s="21">
        <f t="shared" ref="J1366:N1366" si="2484">0</f>
        <v>0</v>
      </c>
      <c r="K1366" s="21">
        <f t="shared" si="2484"/>
        <v>0</v>
      </c>
      <c r="L1366" s="21">
        <f t="shared" si="2484"/>
        <v>0</v>
      </c>
      <c r="M1366" s="21">
        <f t="shared" si="2484"/>
        <v>0</v>
      </c>
      <c r="N1366" s="21">
        <f t="shared" si="2484"/>
        <v>0</v>
      </c>
      <c r="O1366" s="21">
        <f>2.1</f>
        <v>2.1</v>
      </c>
    </row>
    <row r="1367">
      <c r="B1367" s="20">
        <v>46303.0</v>
      </c>
      <c r="C1367" s="21">
        <f t="shared" ref="C1367:H1367" si="2485">0</f>
        <v>0</v>
      </c>
      <c r="D1367" s="21">
        <f t="shared" si="2485"/>
        <v>0</v>
      </c>
      <c r="E1367" s="21">
        <f t="shared" si="2485"/>
        <v>0</v>
      </c>
      <c r="F1367" s="21">
        <f t="shared" si="2485"/>
        <v>0</v>
      </c>
      <c r="G1367" s="21">
        <f t="shared" si="2485"/>
        <v>0</v>
      </c>
      <c r="H1367" s="21">
        <f t="shared" si="2485"/>
        <v>0</v>
      </c>
      <c r="I1367" s="21">
        <f>9.6</f>
        <v>9.6</v>
      </c>
      <c r="J1367" s="21">
        <f t="shared" ref="J1367:N1367" si="2486">0</f>
        <v>0</v>
      </c>
      <c r="K1367" s="21">
        <f t="shared" si="2486"/>
        <v>0</v>
      </c>
      <c r="L1367" s="21">
        <f t="shared" si="2486"/>
        <v>0</v>
      </c>
      <c r="M1367" s="21">
        <f t="shared" si="2486"/>
        <v>0</v>
      </c>
      <c r="N1367" s="21">
        <f t="shared" si="2486"/>
        <v>0</v>
      </c>
      <c r="O1367" s="21">
        <f>38.4</f>
        <v>38.4</v>
      </c>
    </row>
    <row r="1368">
      <c r="B1368" s="20">
        <v>46303.0</v>
      </c>
      <c r="C1368" s="21">
        <f t="shared" ref="C1368:E1368" si="2487">0</f>
        <v>0</v>
      </c>
      <c r="D1368" s="21">
        <f t="shared" si="2487"/>
        <v>0</v>
      </c>
      <c r="E1368" s="21">
        <f t="shared" si="2487"/>
        <v>0</v>
      </c>
      <c r="F1368" s="21">
        <f>47.7</f>
        <v>47.7</v>
      </c>
      <c r="G1368" s="21">
        <f t="shared" ref="G1368:N1368" si="2488">0</f>
        <v>0</v>
      </c>
      <c r="H1368" s="21">
        <f t="shared" si="2488"/>
        <v>0</v>
      </c>
      <c r="I1368" s="21">
        <f t="shared" si="2488"/>
        <v>0</v>
      </c>
      <c r="J1368" s="21">
        <f t="shared" si="2488"/>
        <v>0</v>
      </c>
      <c r="K1368" s="21">
        <f t="shared" si="2488"/>
        <v>0</v>
      </c>
      <c r="L1368" s="21">
        <f t="shared" si="2488"/>
        <v>0</v>
      </c>
      <c r="M1368" s="21">
        <f t="shared" si="2488"/>
        <v>0</v>
      </c>
      <c r="N1368" s="21">
        <f t="shared" si="2488"/>
        <v>0</v>
      </c>
      <c r="O1368" s="21">
        <f>5.3</f>
        <v>5.3</v>
      </c>
    </row>
    <row r="1369">
      <c r="B1369" s="20">
        <v>46303.0</v>
      </c>
      <c r="C1369" s="21">
        <f>8.7</f>
        <v>8.7</v>
      </c>
      <c r="D1369" s="21">
        <f t="shared" ref="D1369:H1369" si="2489">0</f>
        <v>0</v>
      </c>
      <c r="E1369" s="21">
        <f t="shared" si="2489"/>
        <v>0</v>
      </c>
      <c r="F1369" s="21">
        <f t="shared" si="2489"/>
        <v>0</v>
      </c>
      <c r="G1369" s="21">
        <f t="shared" si="2489"/>
        <v>0</v>
      </c>
      <c r="H1369" s="21">
        <f t="shared" si="2489"/>
        <v>0</v>
      </c>
      <c r="I1369" s="21">
        <f>8.7</f>
        <v>8.7</v>
      </c>
      <c r="J1369" s="21">
        <f t="shared" ref="J1369:L1369" si="2490">0</f>
        <v>0</v>
      </c>
      <c r="K1369" s="21">
        <f t="shared" si="2490"/>
        <v>0</v>
      </c>
      <c r="L1369" s="21">
        <f t="shared" si="2490"/>
        <v>0</v>
      </c>
      <c r="M1369" s="21">
        <f>8.7</f>
        <v>8.7</v>
      </c>
      <c r="N1369" s="21">
        <f>0</f>
        <v>0</v>
      </c>
      <c r="O1369" s="21">
        <f>2.9</f>
        <v>2.9</v>
      </c>
    </row>
    <row r="1370">
      <c r="B1370" s="20">
        <v>46303.0</v>
      </c>
      <c r="C1370" s="21">
        <f t="shared" ref="C1370:E1370" si="2491">0</f>
        <v>0</v>
      </c>
      <c r="D1370" s="21">
        <f t="shared" si="2491"/>
        <v>0</v>
      </c>
      <c r="E1370" s="21">
        <f t="shared" si="2491"/>
        <v>0</v>
      </c>
      <c r="F1370" s="21">
        <f>47.7</f>
        <v>47.7</v>
      </c>
      <c r="G1370" s="21">
        <f t="shared" ref="G1370:N1370" si="2492">0</f>
        <v>0</v>
      </c>
      <c r="H1370" s="21">
        <f t="shared" si="2492"/>
        <v>0</v>
      </c>
      <c r="I1370" s="21">
        <f t="shared" si="2492"/>
        <v>0</v>
      </c>
      <c r="J1370" s="21">
        <f t="shared" si="2492"/>
        <v>0</v>
      </c>
      <c r="K1370" s="21">
        <f t="shared" si="2492"/>
        <v>0</v>
      </c>
      <c r="L1370" s="21">
        <f t="shared" si="2492"/>
        <v>0</v>
      </c>
      <c r="M1370" s="21">
        <f t="shared" si="2492"/>
        <v>0</v>
      </c>
      <c r="N1370" s="21">
        <f t="shared" si="2492"/>
        <v>0</v>
      </c>
      <c r="O1370" s="21">
        <f>5.3</f>
        <v>5.3</v>
      </c>
    </row>
    <row r="1371">
      <c r="B1371" s="20">
        <v>46303.0</v>
      </c>
      <c r="C1371" s="21">
        <f t="shared" ref="C1371:E1371" si="2493">0</f>
        <v>0</v>
      </c>
      <c r="D1371" s="21">
        <f t="shared" si="2493"/>
        <v>0</v>
      </c>
      <c r="E1371" s="21">
        <f t="shared" si="2493"/>
        <v>0</v>
      </c>
      <c r="F1371" s="21">
        <f>39.2</f>
        <v>39.2</v>
      </c>
      <c r="G1371" s="21">
        <f t="shared" ref="G1371:L1371" si="2494">0</f>
        <v>0</v>
      </c>
      <c r="H1371" s="21">
        <f t="shared" si="2494"/>
        <v>0</v>
      </c>
      <c r="I1371" s="21">
        <f t="shared" si="2494"/>
        <v>0</v>
      </c>
      <c r="J1371" s="21">
        <f t="shared" si="2494"/>
        <v>0</v>
      </c>
      <c r="K1371" s="21">
        <f t="shared" si="2494"/>
        <v>0</v>
      </c>
      <c r="L1371" s="21">
        <f t="shared" si="2494"/>
        <v>0</v>
      </c>
      <c r="M1371" s="21">
        <f>4.9</f>
        <v>4.9</v>
      </c>
      <c r="N1371" s="21">
        <f>0</f>
        <v>0</v>
      </c>
      <c r="O1371" s="21">
        <f>4.9</f>
        <v>4.9</v>
      </c>
    </row>
    <row r="1372">
      <c r="B1372" s="20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</row>
    <row r="1373">
      <c r="B1373" s="20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</row>
    <row r="1374">
      <c r="B1374" s="20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</row>
    <row r="1375">
      <c r="B1375" s="20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</row>
    <row r="1376">
      <c r="B1376" s="20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</row>
    <row r="1377">
      <c r="B1377" s="20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</row>
    <row r="1378">
      <c r="B1378" s="20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</row>
    <row r="1379">
      <c r="B1379" s="20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</row>
    <row r="1380">
      <c r="B1380" s="20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</row>
    <row r="1381">
      <c r="B1381" s="20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</row>
    <row r="1382">
      <c r="B1382" s="20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</row>
    <row r="1383">
      <c r="B1383" s="20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</row>
    <row r="1384">
      <c r="B1384" s="20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</row>
    <row r="1385">
      <c r="B1385" s="20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</row>
    <row r="1386">
      <c r="B1386" s="20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</row>
    <row r="1387">
      <c r="B1387" s="20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</row>
    <row r="1388">
      <c r="B1388" s="20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</row>
    <row r="1389">
      <c r="B1389" s="20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</row>
    <row r="1390">
      <c r="B1390" s="20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</row>
    <row r="1391">
      <c r="B1391" s="20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</row>
    <row r="1392">
      <c r="B1392" s="20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</row>
    <row r="1393">
      <c r="B1393" s="20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</row>
    <row r="1394">
      <c r="B1394" s="20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</row>
    <row r="1395">
      <c r="B1395" s="20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</row>
    <row r="1396">
      <c r="B1396" s="20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</row>
    <row r="1397">
      <c r="B1397" s="20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</row>
    <row r="1398">
      <c r="B1398" s="20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</row>
    <row r="1399">
      <c r="B1399" s="20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</row>
    <row r="1400">
      <c r="B1400" s="20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</row>
    <row r="1401">
      <c r="B1401" s="20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</row>
    <row r="1402">
      <c r="B1402" s="20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</row>
    <row r="1403">
      <c r="B1403" s="20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</row>
    <row r="1404">
      <c r="B1404" s="20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</row>
    <row r="1405">
      <c r="B1405" s="20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</row>
    <row r="1406">
      <c r="B1406" s="20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</row>
    <row r="1407">
      <c r="B1407" s="20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</row>
    <row r="1408">
      <c r="B1408" s="20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</row>
    <row r="1409">
      <c r="B1409" s="20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</row>
    <row r="1410">
      <c r="B1410" s="20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</row>
    <row r="1411">
      <c r="B1411" s="20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</row>
    <row r="1412">
      <c r="B1412" s="20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</row>
    <row r="1413">
      <c r="B1413" s="20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</row>
    <row r="1414">
      <c r="B1414" s="20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</row>
    <row r="1415">
      <c r="B1415" s="20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</row>
    <row r="1416">
      <c r="B1416" s="20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</row>
    <row r="1417">
      <c r="B1417" s="20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</row>
    <row r="1418">
      <c r="B1418" s="20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</row>
    <row r="1419">
      <c r="B1419" s="20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</row>
    <row r="1420">
      <c r="B1420" s="20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</row>
    <row r="1421">
      <c r="B1421" s="20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</row>
    <row r="1422">
      <c r="B1422" s="20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</row>
    <row r="1423">
      <c r="B1423" s="20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</row>
    <row r="1424">
      <c r="B1424" s="20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</row>
    <row r="1425">
      <c r="B1425" s="20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</row>
    <row r="1426">
      <c r="B1426" s="20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</row>
    <row r="1427">
      <c r="B1427" s="20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</row>
    <row r="1428">
      <c r="B1428" s="20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</row>
    <row r="1429">
      <c r="B1429" s="20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</row>
    <row r="1430">
      <c r="B1430" s="20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</row>
    <row r="1431">
      <c r="B1431" s="20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</row>
    <row r="1432">
      <c r="B1432" s="20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</row>
    <row r="1433">
      <c r="B1433" s="20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</row>
    <row r="1434">
      <c r="B1434" s="20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</row>
    <row r="1435">
      <c r="B1435" s="20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</row>
    <row r="1436">
      <c r="B1436" s="20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</row>
    <row r="1437">
      <c r="B1437" s="20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</row>
    <row r="1438">
      <c r="B1438" s="20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</row>
    <row r="1439">
      <c r="B1439" s="20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</row>
    <row r="1440">
      <c r="B1440" s="20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</row>
    <row r="1441">
      <c r="B1441" s="20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</row>
    <row r="1442">
      <c r="B1442" s="20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</row>
    <row r="1443">
      <c r="B1443" s="20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</row>
    <row r="1444">
      <c r="B1444" s="20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</row>
    <row r="1445">
      <c r="B1445" s="20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</row>
    <row r="1446">
      <c r="B1446" s="20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</row>
    <row r="1447">
      <c r="B1447" s="20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</row>
    <row r="1448">
      <c r="B1448" s="20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</row>
    <row r="1449">
      <c r="B1449" s="20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</row>
    <row r="1450">
      <c r="B1450" s="20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</row>
    <row r="1451">
      <c r="B1451" s="20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</row>
    <row r="1452">
      <c r="B1452" s="20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</row>
    <row r="1453">
      <c r="B1453" s="20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</row>
    <row r="1454">
      <c r="B1454" s="20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</row>
    <row r="1455">
      <c r="B1455" s="20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</row>
    <row r="1456">
      <c r="B1456" s="20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</row>
    <row r="1457">
      <c r="B1457" s="20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</row>
    <row r="1458">
      <c r="B1458" s="20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</row>
    <row r="1459">
      <c r="B1459" s="20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</row>
    <row r="1460">
      <c r="B1460" s="20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</row>
    <row r="1461">
      <c r="B1461" s="20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</row>
    <row r="1462">
      <c r="B1462" s="20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</row>
    <row r="1463">
      <c r="B1463" s="20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</row>
    <row r="1464">
      <c r="B1464" s="20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</row>
    <row r="1465">
      <c r="B1465" s="20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</row>
    <row r="1466">
      <c r="B1466" s="20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</row>
    <row r="1467">
      <c r="B1467" s="20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</row>
    <row r="1468">
      <c r="B1468" s="20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</row>
    <row r="1469">
      <c r="B1469" s="20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</row>
    <row r="1470">
      <c r="B1470" s="20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</row>
    <row r="1471">
      <c r="B1471" s="20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</row>
    <row r="1472">
      <c r="B1472" s="20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</row>
    <row r="1473">
      <c r="B1473" s="20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</row>
    <row r="1474">
      <c r="B1474" s="20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</row>
    <row r="1475">
      <c r="B1475" s="20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</row>
    <row r="1476">
      <c r="B1476" s="20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</row>
    <row r="1477">
      <c r="B1477" s="20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</row>
    <row r="1478">
      <c r="B1478" s="20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</row>
    <row r="1479">
      <c r="B1479" s="20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</row>
    <row r="1480">
      <c r="B1480" s="20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</row>
    <row r="1481">
      <c r="B1481" s="20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</row>
    <row r="1482">
      <c r="B1482" s="20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</row>
    <row r="1483">
      <c r="B1483" s="20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</row>
    <row r="1484">
      <c r="B1484" s="20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</row>
    <row r="1485">
      <c r="B1485" s="20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</row>
    <row r="1486">
      <c r="B1486" s="20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</row>
    <row r="1487">
      <c r="B1487" s="20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</row>
    <row r="1488">
      <c r="B1488" s="20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</row>
    <row r="1489">
      <c r="B1489" s="20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</row>
    <row r="1490">
      <c r="B1490" s="20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</row>
    <row r="1491">
      <c r="B1491" s="20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</row>
    <row r="1492">
      <c r="B1492" s="20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</row>
    <row r="1493">
      <c r="B1493" s="20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</row>
    <row r="1494">
      <c r="B1494" s="20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</row>
    <row r="1495">
      <c r="B1495" s="20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</row>
    <row r="1496">
      <c r="B1496" s="20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</row>
    <row r="1497">
      <c r="B1497" s="20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</row>
    <row r="1498">
      <c r="B1498" s="20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</row>
    <row r="1499">
      <c r="B1499" s="20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</row>
    <row r="1500">
      <c r="B1500" s="20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</row>
    <row r="1501">
      <c r="B1501" s="20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</row>
    <row r="1502">
      <c r="B1502" s="20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</row>
    <row r="1503">
      <c r="B1503" s="20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</row>
    <row r="1504">
      <c r="B1504" s="20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</row>
    <row r="1505">
      <c r="B1505" s="20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</row>
    <row r="1506">
      <c r="B1506" s="20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</row>
    <row r="1507">
      <c r="B1507" s="20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</row>
    <row r="1508">
      <c r="B1508" s="20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</row>
    <row r="1509">
      <c r="B1509" s="20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</row>
    <row r="1510">
      <c r="B1510" s="20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</row>
    <row r="1511">
      <c r="B1511" s="20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</row>
    <row r="1512">
      <c r="B1512" s="20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</row>
    <row r="1513">
      <c r="B1513" s="20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</row>
    <row r="1514">
      <c r="B1514" s="20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</row>
    <row r="1515">
      <c r="B1515" s="20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</row>
    <row r="1516">
      <c r="B1516" s="20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</row>
    <row r="1517">
      <c r="B1517" s="20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</row>
    <row r="1518">
      <c r="B1518" s="20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</row>
    <row r="1519">
      <c r="B1519" s="20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</row>
    <row r="1520">
      <c r="B1520" s="20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</row>
    <row r="1521">
      <c r="B1521" s="20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</row>
    <row r="1522">
      <c r="B1522" s="20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</row>
    <row r="1523">
      <c r="B1523" s="20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</row>
    <row r="1524">
      <c r="B1524" s="20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</row>
    <row r="1525">
      <c r="B1525" s="20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</row>
    <row r="1526">
      <c r="B1526" s="20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</row>
    <row r="1527">
      <c r="B1527" s="20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</row>
    <row r="1528">
      <c r="B1528" s="20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</row>
    <row r="1529">
      <c r="B1529" s="20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</row>
    <row r="1530">
      <c r="B1530" s="20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</row>
    <row r="1531">
      <c r="B1531" s="20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</row>
    <row r="1532">
      <c r="B1532" s="20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</row>
    <row r="1533">
      <c r="B1533" s="20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</row>
    <row r="1534">
      <c r="B1534" s="20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</row>
    <row r="1535">
      <c r="B1535" s="20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</row>
    <row r="1536">
      <c r="B1536" s="20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</row>
    <row r="1537">
      <c r="B1537" s="20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</row>
    <row r="1538">
      <c r="B1538" s="20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</row>
    <row r="1539">
      <c r="B1539" s="20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</row>
    <row r="1540">
      <c r="B1540" s="20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</row>
    <row r="1541">
      <c r="B1541" s="20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</row>
    <row r="1542">
      <c r="B1542" s="20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</row>
    <row r="1543">
      <c r="B1543" s="20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</row>
    <row r="1544">
      <c r="B1544" s="20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</row>
    <row r="1545">
      <c r="B1545" s="20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</row>
    <row r="1546">
      <c r="B1546" s="20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</row>
    <row r="1547">
      <c r="B1547" s="20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</row>
    <row r="1548">
      <c r="B1548" s="20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</row>
    <row r="1549">
      <c r="B1549" s="20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</row>
    <row r="1550">
      <c r="B1550" s="20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</row>
    <row r="1551">
      <c r="B1551" s="20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</row>
    <row r="1552">
      <c r="B1552" s="20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</row>
    <row r="1553">
      <c r="B1553" s="20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</row>
    <row r="1554">
      <c r="B1554" s="20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</row>
    <row r="1555">
      <c r="B1555" s="20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</row>
    <row r="1556">
      <c r="B1556" s="20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</row>
    <row r="1557">
      <c r="B1557" s="20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</row>
    <row r="1558">
      <c r="B1558" s="20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</row>
    <row r="1559">
      <c r="B1559" s="20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</row>
    <row r="1560">
      <c r="B1560" s="20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</row>
    <row r="1561">
      <c r="B1561" s="20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</row>
    <row r="1562">
      <c r="B1562" s="20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</row>
    <row r="1563">
      <c r="B1563" s="20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</row>
    <row r="1564">
      <c r="B1564" s="20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</row>
    <row r="1565">
      <c r="B1565" s="20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</row>
    <row r="1566">
      <c r="B1566" s="20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</row>
    <row r="1567">
      <c r="B1567" s="20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</row>
    <row r="1568">
      <c r="B1568" s="20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</row>
    <row r="1569">
      <c r="B1569" s="20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</row>
    <row r="1570">
      <c r="B1570" s="20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</row>
    <row r="1571">
      <c r="B1571" s="20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</row>
    <row r="1572">
      <c r="B1572" s="20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</row>
    <row r="1573">
      <c r="B1573" s="20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</row>
    <row r="1574">
      <c r="B1574" s="20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</row>
    <row r="1575">
      <c r="B1575" s="20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</row>
    <row r="1576">
      <c r="B1576" s="20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</row>
    <row r="1577">
      <c r="B1577" s="20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</row>
    <row r="1578">
      <c r="B1578" s="20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</row>
    <row r="1579">
      <c r="B1579" s="20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</row>
    <row r="1580">
      <c r="B1580" s="20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</row>
    <row r="1581">
      <c r="B1581" s="20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</row>
    <row r="1582">
      <c r="B1582" s="20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</row>
    <row r="1583">
      <c r="B1583" s="20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</row>
    <row r="1584">
      <c r="B1584" s="20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</row>
    <row r="1585">
      <c r="B1585" s="20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</row>
    <row r="1586">
      <c r="B1586" s="20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</row>
    <row r="1587">
      <c r="B1587" s="20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</row>
    <row r="1588">
      <c r="B1588" s="20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</row>
    <row r="1589">
      <c r="B1589" s="20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</row>
    <row r="1590">
      <c r="B1590" s="20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</row>
    <row r="1591">
      <c r="B1591" s="20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</row>
    <row r="1592">
      <c r="B1592" s="20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</row>
    <row r="1593">
      <c r="B1593" s="20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</row>
    <row r="1594">
      <c r="B1594" s="20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</row>
    <row r="1595">
      <c r="B1595" s="20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</row>
    <row r="1596">
      <c r="B1596" s="20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</row>
    <row r="1597">
      <c r="B1597" s="20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</row>
    <row r="1598">
      <c r="B1598" s="20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</row>
    <row r="1599">
      <c r="B1599" s="20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</row>
    <row r="1600">
      <c r="B1600" s="20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</row>
    <row r="1601">
      <c r="B1601" s="20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</row>
    <row r="1602">
      <c r="B1602" s="20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</row>
    <row r="1603">
      <c r="B1603" s="20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</row>
    <row r="1604">
      <c r="B1604" s="20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</row>
    <row r="1605">
      <c r="B1605" s="20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</row>
    <row r="1606">
      <c r="B1606" s="20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</row>
    <row r="1607">
      <c r="B1607" s="20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</row>
    <row r="1608">
      <c r="B1608" s="20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</row>
    <row r="1609">
      <c r="B1609" s="20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</row>
    <row r="1610">
      <c r="B1610" s="20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</row>
    <row r="1611">
      <c r="B1611" s="20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</row>
    <row r="1612">
      <c r="B1612" s="20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</row>
    <row r="1613">
      <c r="B1613" s="20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</row>
    <row r="1614">
      <c r="B1614" s="20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</row>
    <row r="1615">
      <c r="B1615" s="20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</row>
    <row r="1616">
      <c r="B1616" s="20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</row>
    <row r="1617">
      <c r="B1617" s="20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</row>
    <row r="1618">
      <c r="B1618" s="20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</row>
    <row r="1619">
      <c r="B1619" s="20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</row>
    <row r="1620">
      <c r="B1620" s="20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</row>
    <row r="1621">
      <c r="B1621" s="20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</row>
    <row r="1622">
      <c r="B1622" s="20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</row>
    <row r="1623">
      <c r="B1623" s="20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</row>
    <row r="1624">
      <c r="B1624" s="20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</row>
    <row r="1625">
      <c r="B1625" s="20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</row>
    <row r="1626">
      <c r="B1626" s="20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</row>
    <row r="1627">
      <c r="B1627" s="20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</row>
    <row r="1628">
      <c r="B1628" s="20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</row>
    <row r="1629">
      <c r="B1629" s="20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</row>
    <row r="1630">
      <c r="B1630" s="20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</row>
    <row r="1631">
      <c r="B1631" s="20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</row>
    <row r="1632">
      <c r="B1632" s="20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</row>
    <row r="1633">
      <c r="B1633" s="20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</row>
    <row r="1634">
      <c r="B1634" s="20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</row>
    <row r="1635">
      <c r="B1635" s="20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</row>
    <row r="1636">
      <c r="B1636" s="20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</row>
    <row r="1637">
      <c r="B1637" s="20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</row>
    <row r="1638">
      <c r="B1638" s="20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</row>
    <row r="1639">
      <c r="B1639" s="20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</row>
    <row r="1640">
      <c r="B1640" s="20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</row>
    <row r="1641">
      <c r="B1641" s="20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</row>
    <row r="1642">
      <c r="B1642" s="20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</row>
    <row r="1643">
      <c r="B1643" s="20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</row>
    <row r="1644">
      <c r="B1644" s="20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</row>
    <row r="1645">
      <c r="B1645" s="20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</row>
    <row r="1646">
      <c r="B1646" s="20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</row>
    <row r="1647">
      <c r="B1647" s="20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</row>
    <row r="1648">
      <c r="B1648" s="20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</row>
    <row r="1649">
      <c r="B1649" s="20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</row>
    <row r="1650">
      <c r="B1650" s="20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</row>
    <row r="1651">
      <c r="B1651" s="20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</row>
    <row r="1652">
      <c r="B1652" s="20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</row>
    <row r="1653">
      <c r="B1653" s="20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</row>
    <row r="1654">
      <c r="B1654" s="20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</row>
    <row r="1655">
      <c r="B1655" s="20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</row>
    <row r="1656">
      <c r="B1656" s="20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</row>
    <row r="1657">
      <c r="B1657" s="20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</row>
    <row r="1658">
      <c r="B1658" s="20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1" t="s">
        <v>12</v>
      </c>
      <c r="C1" s="1" t="s">
        <v>8</v>
      </c>
      <c r="D1" s="1" t="s">
        <v>15</v>
      </c>
      <c r="E1" s="1" t="s">
        <v>19</v>
      </c>
      <c r="F1" s="1" t="s">
        <v>23</v>
      </c>
      <c r="G1" s="1" t="s">
        <v>13</v>
      </c>
      <c r="H1" s="1" t="s">
        <v>18</v>
      </c>
      <c r="I1" s="1" t="s">
        <v>11</v>
      </c>
      <c r="J1" s="1" t="s">
        <v>30</v>
      </c>
      <c r="K1" s="1" t="s">
        <v>58</v>
      </c>
      <c r="L1" s="1" t="s">
        <v>16</v>
      </c>
      <c r="M1" s="1" t="s">
        <v>14</v>
      </c>
      <c r="N1" s="1" t="s">
        <v>22</v>
      </c>
      <c r="O1" s="1" t="s">
        <v>24</v>
      </c>
    </row>
    <row r="2">
      <c r="B2" s="29">
        <v>46205.0</v>
      </c>
      <c r="C2" s="21">
        <v>0.0</v>
      </c>
      <c r="D2" s="21">
        <v>0.0</v>
      </c>
      <c r="E2" s="21">
        <v>0.0</v>
      </c>
      <c r="F2" s="21">
        <v>0.0</v>
      </c>
      <c r="G2" s="21">
        <v>0.0</v>
      </c>
      <c r="H2" s="21">
        <v>0.0</v>
      </c>
      <c r="I2" s="21">
        <v>0.0</v>
      </c>
      <c r="J2" s="21">
        <v>0.0</v>
      </c>
      <c r="K2" s="21">
        <v>0.0</v>
      </c>
      <c r="L2" s="21">
        <v>0.0</v>
      </c>
      <c r="M2" s="21">
        <v>0.0</v>
      </c>
      <c r="N2" s="21">
        <v>0.0</v>
      </c>
      <c r="O2" s="28">
        <f>15</f>
        <v>15</v>
      </c>
    </row>
    <row r="3">
      <c r="B3" s="29">
        <v>46205.0</v>
      </c>
      <c r="C3" s="21">
        <v>0.0</v>
      </c>
      <c r="D3" s="21">
        <v>0.0</v>
      </c>
      <c r="E3" s="21">
        <v>0.0</v>
      </c>
      <c r="F3" s="21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1">
        <v>0.0</v>
      </c>
      <c r="M3" s="21">
        <v>0.0</v>
      </c>
      <c r="N3" s="21">
        <v>0.0</v>
      </c>
      <c r="O3" s="28">
        <f>37</f>
        <v>37</v>
      </c>
    </row>
    <row r="4">
      <c r="B4" s="29">
        <v>46206.0</v>
      </c>
      <c r="C4" s="21">
        <v>0.0</v>
      </c>
      <c r="D4" s="21">
        <v>0.0</v>
      </c>
      <c r="E4" s="21">
        <v>0.0</v>
      </c>
      <c r="F4" s="21">
        <v>0.0</v>
      </c>
      <c r="G4" s="21">
        <v>0.0</v>
      </c>
      <c r="H4" s="21">
        <v>0.0</v>
      </c>
      <c r="I4" s="21">
        <v>0.0</v>
      </c>
      <c r="J4" s="21">
        <v>0.0</v>
      </c>
      <c r="K4" s="21">
        <v>0.0</v>
      </c>
      <c r="L4" s="21">
        <v>0.0</v>
      </c>
      <c r="M4" s="21">
        <v>0.0</v>
      </c>
      <c r="N4" s="21">
        <v>0.0</v>
      </c>
      <c r="O4" s="28">
        <f>17</f>
        <v>17</v>
      </c>
    </row>
    <row r="5">
      <c r="B5" s="29">
        <v>46206.0</v>
      </c>
      <c r="C5" s="28">
        <f t="shared" ref="C5:E5" si="1">0</f>
        <v>0</v>
      </c>
      <c r="D5" s="28">
        <f t="shared" si="1"/>
        <v>0</v>
      </c>
      <c r="E5" s="28">
        <f t="shared" si="1"/>
        <v>0</v>
      </c>
      <c r="F5" s="28">
        <f>2.8</f>
        <v>2.8</v>
      </c>
      <c r="G5" s="28">
        <f t="shared" ref="G5:M5" si="2">0</f>
        <v>0</v>
      </c>
      <c r="H5" s="28">
        <f t="shared" si="2"/>
        <v>0</v>
      </c>
      <c r="I5" s="28">
        <f t="shared" si="2"/>
        <v>0</v>
      </c>
      <c r="J5" s="28">
        <f t="shared" si="2"/>
        <v>0</v>
      </c>
      <c r="K5" s="28">
        <f t="shared" si="2"/>
        <v>0</v>
      </c>
      <c r="L5" s="28">
        <f t="shared" si="2"/>
        <v>0</v>
      </c>
      <c r="M5" s="28">
        <f t="shared" si="2"/>
        <v>0</v>
      </c>
      <c r="N5" s="28">
        <f>4.2</f>
        <v>4.2</v>
      </c>
      <c r="O5" s="28">
        <f>7</f>
        <v>7</v>
      </c>
    </row>
    <row r="6">
      <c r="B6" s="29">
        <v>46207.0</v>
      </c>
      <c r="C6" s="28">
        <f t="shared" ref="C6:C7" si="5">0</f>
        <v>0</v>
      </c>
      <c r="D6" s="28">
        <f>2.4</f>
        <v>2.4</v>
      </c>
      <c r="E6" s="28">
        <f t="shared" ref="E6:H6" si="3">0</f>
        <v>0</v>
      </c>
      <c r="F6" s="28">
        <f t="shared" si="3"/>
        <v>0</v>
      </c>
      <c r="G6" s="28">
        <f t="shared" si="3"/>
        <v>0</v>
      </c>
      <c r="H6" s="28">
        <f t="shared" si="3"/>
        <v>0</v>
      </c>
      <c r="I6" s="28">
        <f>2.4</f>
        <v>2.4</v>
      </c>
      <c r="J6" s="28">
        <f t="shared" ref="J6:M6" si="4">0</f>
        <v>0</v>
      </c>
      <c r="K6" s="28">
        <f t="shared" si="4"/>
        <v>0</v>
      </c>
      <c r="L6" s="28">
        <f t="shared" si="4"/>
        <v>0</v>
      </c>
      <c r="M6" s="28">
        <f t="shared" si="4"/>
        <v>0</v>
      </c>
      <c r="N6" s="28">
        <f>2.4</f>
        <v>2.4</v>
      </c>
      <c r="O6" s="28">
        <f>4.8</f>
        <v>4.8</v>
      </c>
    </row>
    <row r="7">
      <c r="B7" s="29">
        <v>46209.0</v>
      </c>
      <c r="C7" s="28">
        <f t="shared" si="5"/>
        <v>0</v>
      </c>
      <c r="D7" s="28">
        <f t="shared" ref="D7:M7" si="6">0</f>
        <v>0</v>
      </c>
      <c r="E7" s="28">
        <f t="shared" si="6"/>
        <v>0</v>
      </c>
      <c r="F7" s="28">
        <f t="shared" si="6"/>
        <v>0</v>
      </c>
      <c r="G7" s="28">
        <f t="shared" si="6"/>
        <v>0</v>
      </c>
      <c r="H7" s="28">
        <f t="shared" si="6"/>
        <v>0</v>
      </c>
      <c r="I7" s="28">
        <f t="shared" si="6"/>
        <v>0</v>
      </c>
      <c r="J7" s="28">
        <f t="shared" si="6"/>
        <v>0</v>
      </c>
      <c r="K7" s="28">
        <f t="shared" si="6"/>
        <v>0</v>
      </c>
      <c r="L7" s="28">
        <f t="shared" si="6"/>
        <v>0</v>
      </c>
      <c r="M7" s="28">
        <f t="shared" si="6"/>
        <v>0</v>
      </c>
      <c r="N7" s="28">
        <f t="shared" ref="N7:O7" si="7">12</f>
        <v>12</v>
      </c>
      <c r="O7" s="28">
        <f t="shared" si="7"/>
        <v>12</v>
      </c>
    </row>
    <row r="8">
      <c r="B8" s="29">
        <v>46210.0</v>
      </c>
      <c r="C8" s="28">
        <f>1</f>
        <v>1</v>
      </c>
      <c r="D8" s="28">
        <f t="shared" ref="D8:M8" si="8">0</f>
        <v>0</v>
      </c>
      <c r="E8" s="28">
        <f t="shared" si="8"/>
        <v>0</v>
      </c>
      <c r="F8" s="28">
        <f t="shared" si="8"/>
        <v>0</v>
      </c>
      <c r="G8" s="28">
        <f t="shared" si="8"/>
        <v>0</v>
      </c>
      <c r="H8" s="28">
        <f t="shared" si="8"/>
        <v>0</v>
      </c>
      <c r="I8" s="28">
        <f t="shared" si="8"/>
        <v>0</v>
      </c>
      <c r="J8" s="28">
        <f t="shared" si="8"/>
        <v>0</v>
      </c>
      <c r="K8" s="28">
        <f t="shared" si="8"/>
        <v>0</v>
      </c>
      <c r="L8" s="28">
        <f t="shared" si="8"/>
        <v>0</v>
      </c>
      <c r="M8" s="28">
        <f t="shared" si="8"/>
        <v>0</v>
      </c>
      <c r="N8" s="28">
        <f>1</f>
        <v>1</v>
      </c>
      <c r="O8" s="28">
        <f>8</f>
        <v>8</v>
      </c>
    </row>
    <row r="9">
      <c r="B9" s="29">
        <v>46210.0</v>
      </c>
      <c r="C9" s="21">
        <v>0.0</v>
      </c>
      <c r="D9" s="21">
        <v>0.0</v>
      </c>
      <c r="E9" s="21">
        <v>0.0</v>
      </c>
      <c r="F9" s="21">
        <v>0.0</v>
      </c>
      <c r="G9" s="21">
        <v>0.0</v>
      </c>
      <c r="H9" s="21">
        <v>0.0</v>
      </c>
      <c r="I9" s="21">
        <v>0.0</v>
      </c>
      <c r="J9" s="21">
        <v>0.0</v>
      </c>
      <c r="K9" s="21">
        <v>0.0</v>
      </c>
      <c r="L9" s="21">
        <v>0.0</v>
      </c>
      <c r="M9" s="21">
        <v>0.0</v>
      </c>
      <c r="N9" s="21">
        <v>0.0</v>
      </c>
      <c r="O9" s="28">
        <f>14</f>
        <v>14</v>
      </c>
    </row>
    <row r="10">
      <c r="B10" s="29">
        <v>46212.0</v>
      </c>
      <c r="C10" s="28">
        <f t="shared" ref="C10:E10" si="9">0</f>
        <v>0</v>
      </c>
      <c r="D10" s="28">
        <f t="shared" si="9"/>
        <v>0</v>
      </c>
      <c r="E10" s="28">
        <f t="shared" si="9"/>
        <v>0</v>
      </c>
      <c r="F10" s="28">
        <f>4</f>
        <v>4</v>
      </c>
      <c r="G10" s="28">
        <f t="shared" ref="G10:K10" si="10">0</f>
        <v>0</v>
      </c>
      <c r="H10" s="28">
        <f t="shared" si="10"/>
        <v>0</v>
      </c>
      <c r="I10" s="28">
        <f t="shared" si="10"/>
        <v>0</v>
      </c>
      <c r="J10" s="28">
        <f t="shared" si="10"/>
        <v>0</v>
      </c>
      <c r="K10" s="28">
        <f t="shared" si="10"/>
        <v>0</v>
      </c>
      <c r="L10" s="28">
        <f>4</f>
        <v>4</v>
      </c>
      <c r="M10" s="28">
        <f>0</f>
        <v>0</v>
      </c>
      <c r="N10" s="28">
        <f t="shared" ref="N10:O10" si="11">4</f>
        <v>4</v>
      </c>
      <c r="O10" s="28">
        <f t="shared" si="11"/>
        <v>4</v>
      </c>
    </row>
    <row r="11">
      <c r="B11" s="29">
        <v>46213.0</v>
      </c>
      <c r="C11" s="28">
        <f>2.1</f>
        <v>2.1</v>
      </c>
      <c r="D11" s="28">
        <f t="shared" ref="D11:M11" si="12">0</f>
        <v>0</v>
      </c>
      <c r="E11" s="28">
        <f t="shared" si="12"/>
        <v>0</v>
      </c>
      <c r="F11" s="28">
        <f t="shared" si="12"/>
        <v>0</v>
      </c>
      <c r="G11" s="28">
        <f t="shared" si="12"/>
        <v>0</v>
      </c>
      <c r="H11" s="28">
        <f t="shared" si="12"/>
        <v>0</v>
      </c>
      <c r="I11" s="28">
        <f t="shared" si="12"/>
        <v>0</v>
      </c>
      <c r="J11" s="28">
        <f t="shared" si="12"/>
        <v>0</v>
      </c>
      <c r="K11" s="28">
        <f t="shared" si="12"/>
        <v>0</v>
      </c>
      <c r="L11" s="28">
        <f t="shared" si="12"/>
        <v>0</v>
      </c>
      <c r="M11" s="28">
        <f t="shared" si="12"/>
        <v>0</v>
      </c>
      <c r="N11" s="28">
        <f>6.3</f>
        <v>6.3</v>
      </c>
      <c r="O11" s="28">
        <f>12.6</f>
        <v>12.6</v>
      </c>
    </row>
    <row r="12">
      <c r="B12" s="29">
        <v>46213.0</v>
      </c>
      <c r="C12" s="28">
        <f>5.1</f>
        <v>5.1</v>
      </c>
      <c r="D12" s="28">
        <f t="shared" ref="D12:M12" si="13">0</f>
        <v>0</v>
      </c>
      <c r="E12" s="28">
        <f t="shared" si="13"/>
        <v>0</v>
      </c>
      <c r="F12" s="28">
        <f t="shared" si="13"/>
        <v>0</v>
      </c>
      <c r="G12" s="28">
        <f t="shared" si="13"/>
        <v>0</v>
      </c>
      <c r="H12" s="28">
        <f t="shared" si="13"/>
        <v>0</v>
      </c>
      <c r="I12" s="28">
        <f t="shared" si="13"/>
        <v>0</v>
      </c>
      <c r="J12" s="28">
        <f t="shared" si="13"/>
        <v>0</v>
      </c>
      <c r="K12" s="28">
        <f t="shared" si="13"/>
        <v>0</v>
      </c>
      <c r="L12" s="28">
        <f t="shared" si="13"/>
        <v>0</v>
      </c>
      <c r="M12" s="28">
        <f t="shared" si="13"/>
        <v>0</v>
      </c>
      <c r="N12" s="28">
        <f>5.1</f>
        <v>5.1</v>
      </c>
      <c r="O12" s="28">
        <f>6.8</f>
        <v>6.8</v>
      </c>
    </row>
    <row r="13">
      <c r="B13" s="29">
        <v>46213.0</v>
      </c>
      <c r="C13" s="28">
        <f t="shared" ref="C13:K13" si="14">0</f>
        <v>0</v>
      </c>
      <c r="D13" s="28">
        <f t="shared" si="14"/>
        <v>0</v>
      </c>
      <c r="E13" s="28">
        <f t="shared" si="14"/>
        <v>0</v>
      </c>
      <c r="F13" s="28">
        <f t="shared" si="14"/>
        <v>0</v>
      </c>
      <c r="G13" s="28">
        <f t="shared" si="14"/>
        <v>0</v>
      </c>
      <c r="H13" s="28">
        <f t="shared" si="14"/>
        <v>0</v>
      </c>
      <c r="I13" s="28">
        <f t="shared" si="14"/>
        <v>0</v>
      </c>
      <c r="J13" s="28">
        <f t="shared" si="14"/>
        <v>0</v>
      </c>
      <c r="K13" s="28">
        <f t="shared" si="14"/>
        <v>0</v>
      </c>
      <c r="L13" s="28">
        <f>8.4</f>
        <v>8.4</v>
      </c>
      <c r="M13" s="28">
        <f>0</f>
        <v>0</v>
      </c>
      <c r="N13" s="28">
        <f>5.6</f>
        <v>5.6</v>
      </c>
      <c r="O13" s="28">
        <f>14</f>
        <v>14</v>
      </c>
    </row>
    <row r="14">
      <c r="B14" s="29">
        <v>46213.0</v>
      </c>
      <c r="C14" s="28">
        <f>3.2</f>
        <v>3.2</v>
      </c>
      <c r="D14" s="28">
        <f t="shared" ref="D14:M14" si="15">0</f>
        <v>0</v>
      </c>
      <c r="E14" s="28">
        <f t="shared" si="15"/>
        <v>0</v>
      </c>
      <c r="F14" s="28">
        <f t="shared" si="15"/>
        <v>0</v>
      </c>
      <c r="G14" s="28">
        <f t="shared" si="15"/>
        <v>0</v>
      </c>
      <c r="H14" s="28">
        <f t="shared" si="15"/>
        <v>0</v>
      </c>
      <c r="I14" s="28">
        <f t="shared" si="15"/>
        <v>0</v>
      </c>
      <c r="J14" s="28">
        <f t="shared" si="15"/>
        <v>0</v>
      </c>
      <c r="K14" s="28">
        <f t="shared" si="15"/>
        <v>0</v>
      </c>
      <c r="L14" s="28">
        <f t="shared" si="15"/>
        <v>0</v>
      </c>
      <c r="M14" s="28">
        <f t="shared" si="15"/>
        <v>0</v>
      </c>
      <c r="N14" s="28">
        <f>4.8</f>
        <v>4.8</v>
      </c>
      <c r="O14" s="28">
        <f>8</f>
        <v>8</v>
      </c>
    </row>
    <row r="15">
      <c r="B15" s="29">
        <v>46214.0</v>
      </c>
      <c r="C15" s="28">
        <f t="shared" ref="C15:E15" si="16">0</f>
        <v>0</v>
      </c>
      <c r="D15" s="28">
        <f t="shared" si="16"/>
        <v>0</v>
      </c>
      <c r="E15" s="28">
        <f t="shared" si="16"/>
        <v>0</v>
      </c>
      <c r="F15" s="28">
        <f>3.6</f>
        <v>3.6</v>
      </c>
      <c r="G15" s="28">
        <f>7.2</f>
        <v>7.2</v>
      </c>
      <c r="H15" s="28">
        <f t="shared" ref="H15:L15" si="17">0</f>
        <v>0</v>
      </c>
      <c r="I15" s="28">
        <f t="shared" si="17"/>
        <v>0</v>
      </c>
      <c r="J15" s="28">
        <f t="shared" si="17"/>
        <v>0</v>
      </c>
      <c r="K15" s="28">
        <f t="shared" si="17"/>
        <v>0</v>
      </c>
      <c r="L15" s="28">
        <f t="shared" si="17"/>
        <v>0</v>
      </c>
      <c r="M15" s="28">
        <f>3.6</f>
        <v>3.6</v>
      </c>
      <c r="N15" s="28">
        <f t="shared" ref="N15:N16" si="20">0</f>
        <v>0</v>
      </c>
      <c r="O15" s="28">
        <f>3.6</f>
        <v>3.6</v>
      </c>
    </row>
    <row r="16">
      <c r="B16" s="29">
        <v>46215.0</v>
      </c>
      <c r="C16" s="28">
        <f t="shared" ref="C16:F16" si="18">0</f>
        <v>0</v>
      </c>
      <c r="D16" s="28">
        <f t="shared" si="18"/>
        <v>0</v>
      </c>
      <c r="E16" s="28">
        <f t="shared" si="18"/>
        <v>0</v>
      </c>
      <c r="F16" s="28">
        <f t="shared" si="18"/>
        <v>0</v>
      </c>
      <c r="G16" s="28">
        <f>5.7</f>
        <v>5.7</v>
      </c>
      <c r="H16" s="28">
        <f t="shared" ref="H16:K16" si="19">0</f>
        <v>0</v>
      </c>
      <c r="I16" s="28">
        <f t="shared" si="19"/>
        <v>0</v>
      </c>
      <c r="J16" s="28">
        <f t="shared" si="19"/>
        <v>0</v>
      </c>
      <c r="K16" s="28">
        <f t="shared" si="19"/>
        <v>0</v>
      </c>
      <c r="L16" s="28">
        <f>3.8</f>
        <v>3.8</v>
      </c>
      <c r="M16" s="28">
        <f>1.9</f>
        <v>1.9</v>
      </c>
      <c r="N16" s="28">
        <f t="shared" si="20"/>
        <v>0</v>
      </c>
      <c r="O16" s="28">
        <f>7.6</f>
        <v>7.6</v>
      </c>
    </row>
    <row r="17">
      <c r="B17" s="29">
        <v>46218.0</v>
      </c>
      <c r="C17" s="28">
        <f t="shared" ref="C17:H17" si="21">0</f>
        <v>0</v>
      </c>
      <c r="D17" s="28">
        <f t="shared" si="21"/>
        <v>0</v>
      </c>
      <c r="E17" s="28">
        <f t="shared" si="21"/>
        <v>0</v>
      </c>
      <c r="F17" s="28">
        <f t="shared" si="21"/>
        <v>0</v>
      </c>
      <c r="G17" s="28">
        <f t="shared" si="21"/>
        <v>0</v>
      </c>
      <c r="H17" s="28">
        <f t="shared" si="21"/>
        <v>0</v>
      </c>
      <c r="I17" s="28">
        <f>4.2</f>
        <v>4.2</v>
      </c>
      <c r="J17" s="28">
        <f t="shared" ref="J17:M17" si="22">0</f>
        <v>0</v>
      </c>
      <c r="K17" s="28">
        <f t="shared" si="22"/>
        <v>0</v>
      </c>
      <c r="L17" s="28">
        <f t="shared" si="22"/>
        <v>0</v>
      </c>
      <c r="M17" s="28">
        <f t="shared" si="22"/>
        <v>0</v>
      </c>
      <c r="N17" s="28">
        <f t="shared" ref="N17:N18" si="24">4.2</f>
        <v>4.2</v>
      </c>
      <c r="O17" s="28">
        <f>5.6</f>
        <v>5.6</v>
      </c>
    </row>
    <row r="18">
      <c r="B18" s="29">
        <v>46218.0</v>
      </c>
      <c r="C18" s="28">
        <f>12.6</f>
        <v>12.6</v>
      </c>
      <c r="D18" s="28">
        <f t="shared" ref="D18:M18" si="23">0</f>
        <v>0</v>
      </c>
      <c r="E18" s="28">
        <f t="shared" si="23"/>
        <v>0</v>
      </c>
      <c r="F18" s="28">
        <f t="shared" si="23"/>
        <v>0</v>
      </c>
      <c r="G18" s="28">
        <f t="shared" si="23"/>
        <v>0</v>
      </c>
      <c r="H18" s="28">
        <f t="shared" si="23"/>
        <v>0</v>
      </c>
      <c r="I18" s="28">
        <f t="shared" si="23"/>
        <v>0</v>
      </c>
      <c r="J18" s="28">
        <f t="shared" si="23"/>
        <v>0</v>
      </c>
      <c r="K18" s="28">
        <f t="shared" si="23"/>
        <v>0</v>
      </c>
      <c r="L18" s="28">
        <f t="shared" si="23"/>
        <v>0</v>
      </c>
      <c r="M18" s="28">
        <f t="shared" si="23"/>
        <v>0</v>
      </c>
      <c r="N18" s="28">
        <f t="shared" si="24"/>
        <v>4.2</v>
      </c>
      <c r="O18" s="28">
        <f>4.2</f>
        <v>4.2</v>
      </c>
    </row>
    <row r="19">
      <c r="B19" s="29">
        <v>46218.0</v>
      </c>
      <c r="C19" s="28">
        <f>21.6</f>
        <v>21.6</v>
      </c>
      <c r="D19" s="28">
        <f t="shared" ref="D19:M19" si="25">0</f>
        <v>0</v>
      </c>
      <c r="E19" s="28">
        <f t="shared" si="25"/>
        <v>0</v>
      </c>
      <c r="F19" s="28">
        <f t="shared" si="25"/>
        <v>0</v>
      </c>
      <c r="G19" s="28">
        <f t="shared" si="25"/>
        <v>0</v>
      </c>
      <c r="H19" s="28">
        <f t="shared" si="25"/>
        <v>0</v>
      </c>
      <c r="I19" s="28">
        <f t="shared" si="25"/>
        <v>0</v>
      </c>
      <c r="J19" s="28">
        <f t="shared" si="25"/>
        <v>0</v>
      </c>
      <c r="K19" s="28">
        <f t="shared" si="25"/>
        <v>0</v>
      </c>
      <c r="L19" s="28">
        <f t="shared" si="25"/>
        <v>0</v>
      </c>
      <c r="M19" s="28">
        <f t="shared" si="25"/>
        <v>0</v>
      </c>
      <c r="N19" s="28">
        <f t="shared" ref="N19:O19" si="26">2.7</f>
        <v>2.7</v>
      </c>
      <c r="O19" s="28">
        <f t="shared" si="26"/>
        <v>2.7</v>
      </c>
    </row>
    <row r="20">
      <c r="B20" s="29">
        <v>46218.0</v>
      </c>
      <c r="C20" s="28">
        <f>8.8</f>
        <v>8.8</v>
      </c>
      <c r="D20" s="28">
        <f t="shared" ref="D20:M20" si="27">0</f>
        <v>0</v>
      </c>
      <c r="E20" s="28">
        <f t="shared" si="27"/>
        <v>0</v>
      </c>
      <c r="F20" s="28">
        <f t="shared" si="27"/>
        <v>0</v>
      </c>
      <c r="G20" s="28">
        <f t="shared" si="27"/>
        <v>0</v>
      </c>
      <c r="H20" s="28">
        <f t="shared" si="27"/>
        <v>0</v>
      </c>
      <c r="I20" s="28">
        <f t="shared" si="27"/>
        <v>0</v>
      </c>
      <c r="J20" s="28">
        <f t="shared" si="27"/>
        <v>0</v>
      </c>
      <c r="K20" s="28">
        <f t="shared" si="27"/>
        <v>0</v>
      </c>
      <c r="L20" s="28">
        <f t="shared" si="27"/>
        <v>0</v>
      </c>
      <c r="M20" s="28">
        <f t="shared" si="27"/>
        <v>0</v>
      </c>
      <c r="N20" s="28">
        <f>8.8</f>
        <v>8.8</v>
      </c>
      <c r="O20" s="28">
        <f>4.4</f>
        <v>4.4</v>
      </c>
    </row>
    <row r="21">
      <c r="B21" s="29">
        <v>46219.0</v>
      </c>
      <c r="C21" s="28">
        <f t="shared" ref="C21:E21" si="28">0</f>
        <v>0</v>
      </c>
      <c r="D21" s="28">
        <f t="shared" si="28"/>
        <v>0</v>
      </c>
      <c r="E21" s="28">
        <f t="shared" si="28"/>
        <v>0</v>
      </c>
      <c r="F21" s="28">
        <f>2.8</f>
        <v>2.8</v>
      </c>
      <c r="G21" s="28">
        <f t="shared" ref="G21:H21" si="29">0</f>
        <v>0</v>
      </c>
      <c r="H21" s="28">
        <f t="shared" si="29"/>
        <v>0</v>
      </c>
      <c r="I21" s="28">
        <f>5.6</f>
        <v>5.6</v>
      </c>
      <c r="J21" s="28">
        <f t="shared" ref="J21:L21" si="30">0</f>
        <v>0</v>
      </c>
      <c r="K21" s="28">
        <f t="shared" si="30"/>
        <v>0</v>
      </c>
      <c r="L21" s="28">
        <f t="shared" si="30"/>
        <v>0</v>
      </c>
      <c r="M21" s="28">
        <f>2.8</f>
        <v>2.8</v>
      </c>
      <c r="N21" s="28">
        <f>0</f>
        <v>0</v>
      </c>
      <c r="O21" s="28">
        <f>2.8</f>
        <v>2.8</v>
      </c>
    </row>
    <row r="22">
      <c r="B22" s="29">
        <v>46222.0</v>
      </c>
      <c r="C22" s="28">
        <f t="shared" ref="C22:F22" si="31">0</f>
        <v>0</v>
      </c>
      <c r="D22" s="28">
        <f t="shared" si="31"/>
        <v>0</v>
      </c>
      <c r="E22" s="28">
        <f t="shared" si="31"/>
        <v>0</v>
      </c>
      <c r="F22" s="28">
        <f t="shared" si="31"/>
        <v>0</v>
      </c>
      <c r="G22" s="28">
        <f>3</f>
        <v>3</v>
      </c>
      <c r="H22" s="28">
        <f t="shared" ref="H22:H23" si="34">0</f>
        <v>0</v>
      </c>
      <c r="I22" s="28">
        <f>1.2</f>
        <v>1.2</v>
      </c>
      <c r="J22" s="28">
        <f t="shared" ref="J22:L22" si="32">0</f>
        <v>0</v>
      </c>
      <c r="K22" s="28">
        <f t="shared" si="32"/>
        <v>0</v>
      </c>
      <c r="L22" s="28">
        <f t="shared" si="32"/>
        <v>0</v>
      </c>
      <c r="M22" s="28">
        <f>3</f>
        <v>3</v>
      </c>
      <c r="N22" s="28">
        <f>1.8</f>
        <v>1.8</v>
      </c>
      <c r="O22" s="28">
        <f>3</f>
        <v>3</v>
      </c>
    </row>
    <row r="23">
      <c r="B23" s="29">
        <v>46222.0</v>
      </c>
      <c r="C23" s="28">
        <f t="shared" ref="C23:F23" si="33">0</f>
        <v>0</v>
      </c>
      <c r="D23" s="28">
        <f t="shared" si="33"/>
        <v>0</v>
      </c>
      <c r="E23" s="28">
        <f t="shared" si="33"/>
        <v>0</v>
      </c>
      <c r="F23" s="28">
        <f t="shared" si="33"/>
        <v>0</v>
      </c>
      <c r="G23" s="28">
        <f>4.5</f>
        <v>4.5</v>
      </c>
      <c r="H23" s="28">
        <f t="shared" si="34"/>
        <v>0</v>
      </c>
      <c r="I23" s="28">
        <f t="shared" ref="I23:K23" si="35">0</f>
        <v>0</v>
      </c>
      <c r="J23" s="28">
        <f t="shared" si="35"/>
        <v>0</v>
      </c>
      <c r="K23" s="28">
        <f t="shared" si="35"/>
        <v>0</v>
      </c>
      <c r="L23" s="28">
        <f>4.5</f>
        <v>4.5</v>
      </c>
      <c r="M23" s="28">
        <f t="shared" ref="M23:N23" si="36">0</f>
        <v>0</v>
      </c>
      <c r="N23" s="28">
        <f t="shared" si="36"/>
        <v>0</v>
      </c>
      <c r="O23" s="28">
        <f>9</f>
        <v>9</v>
      </c>
    </row>
    <row r="24">
      <c r="B24" s="29">
        <v>46222.0</v>
      </c>
      <c r="C24" s="28">
        <f t="shared" ref="C24:E24" si="37">0</f>
        <v>0</v>
      </c>
      <c r="D24" s="28">
        <f t="shared" si="37"/>
        <v>0</v>
      </c>
      <c r="E24" s="28">
        <f t="shared" si="37"/>
        <v>0</v>
      </c>
      <c r="F24" s="28">
        <f>2.1</f>
        <v>2.1</v>
      </c>
      <c r="G24" s="28">
        <f t="shared" ref="G24:H24" si="38">0</f>
        <v>0</v>
      </c>
      <c r="H24" s="28">
        <f t="shared" si="38"/>
        <v>0</v>
      </c>
      <c r="I24" s="28">
        <f>3.15</f>
        <v>3.15</v>
      </c>
      <c r="J24" s="28">
        <f t="shared" ref="J24:K24" si="39">0</f>
        <v>0</v>
      </c>
      <c r="K24" s="28">
        <f t="shared" si="39"/>
        <v>0</v>
      </c>
      <c r="L24" s="28">
        <f>5.25</f>
        <v>5.25</v>
      </c>
      <c r="M24" s="28">
        <f t="shared" ref="M24:N24" si="40">0</f>
        <v>0</v>
      </c>
      <c r="N24" s="28">
        <f t="shared" si="40"/>
        <v>0</v>
      </c>
      <c r="O24" s="28">
        <f>10.5</f>
        <v>10.5</v>
      </c>
    </row>
    <row r="25">
      <c r="B25" s="29">
        <v>46224.0</v>
      </c>
      <c r="C25" s="28">
        <f>3.6</f>
        <v>3.6</v>
      </c>
      <c r="D25" s="28">
        <f t="shared" ref="D25:L25" si="41">0</f>
        <v>0</v>
      </c>
      <c r="E25" s="28">
        <f t="shared" si="41"/>
        <v>0</v>
      </c>
      <c r="F25" s="28">
        <f t="shared" si="41"/>
        <v>0</v>
      </c>
      <c r="G25" s="28">
        <f t="shared" si="41"/>
        <v>0</v>
      </c>
      <c r="H25" s="28">
        <f t="shared" si="41"/>
        <v>0</v>
      </c>
      <c r="I25" s="28">
        <f t="shared" si="41"/>
        <v>0</v>
      </c>
      <c r="J25" s="28">
        <f t="shared" si="41"/>
        <v>0</v>
      </c>
      <c r="K25" s="28">
        <f t="shared" si="41"/>
        <v>0</v>
      </c>
      <c r="L25" s="28">
        <f t="shared" si="41"/>
        <v>0</v>
      </c>
      <c r="M25" s="28">
        <f>3.6</f>
        <v>3.6</v>
      </c>
      <c r="N25" s="28">
        <f>0</f>
        <v>0</v>
      </c>
      <c r="O25" s="28">
        <f>4.8</f>
        <v>4.8</v>
      </c>
    </row>
    <row r="26">
      <c r="B26" s="29">
        <v>46225.0</v>
      </c>
      <c r="C26" s="28">
        <f>3.8</f>
        <v>3.8</v>
      </c>
      <c r="D26" s="28">
        <f t="shared" ref="D26:H26" si="42">0</f>
        <v>0</v>
      </c>
      <c r="E26" s="28">
        <f t="shared" si="42"/>
        <v>0</v>
      </c>
      <c r="F26" s="28">
        <f t="shared" si="42"/>
        <v>0</v>
      </c>
      <c r="G26" s="28">
        <f t="shared" si="42"/>
        <v>0</v>
      </c>
      <c r="H26" s="28">
        <f t="shared" si="42"/>
        <v>0</v>
      </c>
      <c r="I26" s="28">
        <f>1.9</f>
        <v>1.9</v>
      </c>
      <c r="J26" s="28">
        <f t="shared" ref="J26:M26" si="43">0</f>
        <v>0</v>
      </c>
      <c r="K26" s="28">
        <f t="shared" si="43"/>
        <v>0</v>
      </c>
      <c r="L26" s="28">
        <f t="shared" si="43"/>
        <v>0</v>
      </c>
      <c r="M26" s="28">
        <f t="shared" si="43"/>
        <v>0</v>
      </c>
      <c r="N26" s="28">
        <f>5.7</f>
        <v>5.7</v>
      </c>
      <c r="O26" s="28">
        <f>7.6</f>
        <v>7.6</v>
      </c>
    </row>
    <row r="27">
      <c r="B27" s="29">
        <v>46225.0</v>
      </c>
      <c r="C27" s="28">
        <f t="shared" ref="C27:H27" si="44">0</f>
        <v>0</v>
      </c>
      <c r="D27" s="28">
        <f t="shared" si="44"/>
        <v>0</v>
      </c>
      <c r="E27" s="28">
        <f t="shared" si="44"/>
        <v>0</v>
      </c>
      <c r="F27" s="28">
        <f t="shared" si="44"/>
        <v>0</v>
      </c>
      <c r="G27" s="28">
        <f t="shared" si="44"/>
        <v>0</v>
      </c>
      <c r="H27" s="28">
        <f t="shared" si="44"/>
        <v>0</v>
      </c>
      <c r="I27" s="28">
        <f>6.4</f>
        <v>6.4</v>
      </c>
      <c r="J27" s="28">
        <f t="shared" ref="J27:M27" si="45">0</f>
        <v>0</v>
      </c>
      <c r="K27" s="28">
        <f t="shared" si="45"/>
        <v>0</v>
      </c>
      <c r="L27" s="28">
        <f t="shared" si="45"/>
        <v>0</v>
      </c>
      <c r="M27" s="28">
        <f t="shared" si="45"/>
        <v>0</v>
      </c>
      <c r="N27" s="28">
        <f>6.4</f>
        <v>6.4</v>
      </c>
      <c r="O27" s="28">
        <f>3.2</f>
        <v>3.2</v>
      </c>
    </row>
    <row r="28">
      <c r="B28" s="29">
        <v>46225.0</v>
      </c>
      <c r="C28" s="28">
        <f>2.8</f>
        <v>2.8</v>
      </c>
      <c r="D28" s="28">
        <f t="shared" ref="D28:M28" si="46">0</f>
        <v>0</v>
      </c>
      <c r="E28" s="28">
        <f t="shared" si="46"/>
        <v>0</v>
      </c>
      <c r="F28" s="28">
        <f t="shared" si="46"/>
        <v>0</v>
      </c>
      <c r="G28" s="28">
        <f t="shared" si="46"/>
        <v>0</v>
      </c>
      <c r="H28" s="28">
        <f t="shared" si="46"/>
        <v>0</v>
      </c>
      <c r="I28" s="28">
        <f t="shared" si="46"/>
        <v>0</v>
      </c>
      <c r="J28" s="28">
        <f t="shared" si="46"/>
        <v>0</v>
      </c>
      <c r="K28" s="28">
        <f t="shared" si="46"/>
        <v>0</v>
      </c>
      <c r="L28" s="28">
        <f t="shared" si="46"/>
        <v>0</v>
      </c>
      <c r="M28" s="28">
        <f t="shared" si="46"/>
        <v>0</v>
      </c>
      <c r="N28" s="28">
        <f t="shared" ref="N28:O28" si="47">5.6</f>
        <v>5.6</v>
      </c>
      <c r="O28" s="28">
        <f t="shared" si="47"/>
        <v>5.6</v>
      </c>
    </row>
    <row r="29">
      <c r="B29" s="29">
        <v>46228.0</v>
      </c>
      <c r="C29" s="28">
        <f>1.9</f>
        <v>1.9</v>
      </c>
      <c r="D29" s="28">
        <f>3.8</f>
        <v>3.8</v>
      </c>
      <c r="E29" s="28">
        <f t="shared" ref="E29:H29" si="48">0</f>
        <v>0</v>
      </c>
      <c r="F29" s="28">
        <f t="shared" si="48"/>
        <v>0</v>
      </c>
      <c r="G29" s="28">
        <f t="shared" si="48"/>
        <v>0</v>
      </c>
      <c r="H29" s="28">
        <f t="shared" si="48"/>
        <v>0</v>
      </c>
      <c r="I29" s="28">
        <f>1.9</f>
        <v>1.9</v>
      </c>
      <c r="J29" s="28">
        <f t="shared" ref="J29:L29" si="49">0</f>
        <v>0</v>
      </c>
      <c r="K29" s="28">
        <f t="shared" si="49"/>
        <v>0</v>
      </c>
      <c r="L29" s="28">
        <f t="shared" si="49"/>
        <v>0</v>
      </c>
      <c r="M29" s="28">
        <f>5.7</f>
        <v>5.7</v>
      </c>
      <c r="N29" s="28">
        <f t="shared" ref="N29:N30" si="53">0</f>
        <v>0</v>
      </c>
      <c r="O29" s="28">
        <f>5.7</f>
        <v>5.7</v>
      </c>
    </row>
    <row r="30">
      <c r="B30" s="29">
        <v>46228.0</v>
      </c>
      <c r="C30" s="28">
        <f t="shared" ref="C30:C31" si="54">0</f>
        <v>0</v>
      </c>
      <c r="D30" s="28">
        <f>1.5</f>
        <v>1.5</v>
      </c>
      <c r="E30" s="28">
        <f t="shared" ref="E30:F30" si="50">0</f>
        <v>0</v>
      </c>
      <c r="F30" s="28">
        <f t="shared" si="50"/>
        <v>0</v>
      </c>
      <c r="G30" s="28">
        <f>2.25</f>
        <v>2.25</v>
      </c>
      <c r="H30" s="28">
        <f t="shared" ref="H30:K30" si="51">0</f>
        <v>0</v>
      </c>
      <c r="I30" s="28">
        <f t="shared" si="51"/>
        <v>0</v>
      </c>
      <c r="J30" s="28">
        <f t="shared" si="51"/>
        <v>0</v>
      </c>
      <c r="K30" s="28">
        <f t="shared" si="51"/>
        <v>0</v>
      </c>
      <c r="L30" s="28">
        <f t="shared" ref="L30:M30" si="52">3.75</f>
        <v>3.75</v>
      </c>
      <c r="M30" s="28">
        <f t="shared" si="52"/>
        <v>3.75</v>
      </c>
      <c r="N30" s="28">
        <f t="shared" si="53"/>
        <v>0</v>
      </c>
      <c r="O30" s="28">
        <f>3.75</f>
        <v>3.75</v>
      </c>
    </row>
    <row r="31">
      <c r="B31" s="29">
        <v>46228.0</v>
      </c>
      <c r="C31" s="28">
        <f t="shared" si="54"/>
        <v>0</v>
      </c>
      <c r="D31" s="28">
        <f t="shared" ref="D31:F31" si="55">0</f>
        <v>0</v>
      </c>
      <c r="E31" s="28">
        <f t="shared" si="55"/>
        <v>0</v>
      </c>
      <c r="F31" s="28">
        <f t="shared" si="55"/>
        <v>0</v>
      </c>
      <c r="G31" s="28">
        <f>7</f>
        <v>7</v>
      </c>
      <c r="H31" s="28">
        <f t="shared" ref="H31:K31" si="56">0</f>
        <v>0</v>
      </c>
      <c r="I31" s="28">
        <f t="shared" si="56"/>
        <v>0</v>
      </c>
      <c r="J31" s="28">
        <f t="shared" si="56"/>
        <v>0</v>
      </c>
      <c r="K31" s="28">
        <f t="shared" si="56"/>
        <v>0</v>
      </c>
      <c r="L31" s="28">
        <f>7</f>
        <v>7</v>
      </c>
      <c r="M31" s="28">
        <f t="shared" ref="M31:N31" si="57">0</f>
        <v>0</v>
      </c>
      <c r="N31" s="28">
        <f t="shared" si="57"/>
        <v>0</v>
      </c>
      <c r="O31" s="28">
        <f>14</f>
        <v>14</v>
      </c>
    </row>
    <row r="32">
      <c r="B32" s="29">
        <v>46231.0</v>
      </c>
      <c r="C32" s="21">
        <v>0.0</v>
      </c>
      <c r="D32" s="21">
        <v>0.0</v>
      </c>
      <c r="E32" s="21">
        <v>0.0</v>
      </c>
      <c r="F32" s="21">
        <v>0.0</v>
      </c>
      <c r="G32" s="21">
        <v>0.0</v>
      </c>
      <c r="H32" s="21">
        <v>0.0</v>
      </c>
      <c r="I32" s="21">
        <v>0.0</v>
      </c>
      <c r="J32" s="21">
        <v>0.0</v>
      </c>
      <c r="K32" s="21">
        <v>0.0</v>
      </c>
      <c r="L32" s="21">
        <v>0.0</v>
      </c>
      <c r="M32" s="21">
        <v>0.0</v>
      </c>
      <c r="N32" s="21">
        <v>0.0</v>
      </c>
      <c r="O32" s="28">
        <f>9</f>
        <v>9</v>
      </c>
    </row>
    <row r="33">
      <c r="B33" s="29">
        <v>46231.0</v>
      </c>
      <c r="C33" s="21">
        <v>0.0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8">
        <f>15</f>
        <v>15</v>
      </c>
    </row>
    <row r="34">
      <c r="B34" s="29">
        <v>46231.0</v>
      </c>
      <c r="C34" s="28">
        <f>13.2</f>
        <v>13.2</v>
      </c>
      <c r="D34" s="28">
        <f t="shared" ref="D34:N34" si="58">0</f>
        <v>0</v>
      </c>
      <c r="E34" s="28">
        <f t="shared" si="58"/>
        <v>0</v>
      </c>
      <c r="F34" s="28">
        <f t="shared" si="58"/>
        <v>0</v>
      </c>
      <c r="G34" s="28">
        <f t="shared" si="58"/>
        <v>0</v>
      </c>
      <c r="H34" s="28">
        <f t="shared" si="58"/>
        <v>0</v>
      </c>
      <c r="I34" s="28">
        <f t="shared" si="58"/>
        <v>0</v>
      </c>
      <c r="J34" s="28">
        <f t="shared" si="58"/>
        <v>0</v>
      </c>
      <c r="K34" s="28">
        <f t="shared" si="58"/>
        <v>0</v>
      </c>
      <c r="L34" s="28">
        <f t="shared" si="58"/>
        <v>0</v>
      </c>
      <c r="M34" s="28">
        <f t="shared" si="58"/>
        <v>0</v>
      </c>
      <c r="N34" s="28">
        <f t="shared" si="58"/>
        <v>0</v>
      </c>
      <c r="O34" s="28">
        <f>8.8</f>
        <v>8.8</v>
      </c>
    </row>
    <row r="35">
      <c r="B35" s="29">
        <v>46231.0</v>
      </c>
      <c r="C35" s="28">
        <f>9.6</f>
        <v>9.6</v>
      </c>
      <c r="D35" s="28">
        <f t="shared" ref="D35:M35" si="59">0</f>
        <v>0</v>
      </c>
      <c r="E35" s="28">
        <f t="shared" si="59"/>
        <v>0</v>
      </c>
      <c r="F35" s="28">
        <f t="shared" si="59"/>
        <v>0</v>
      </c>
      <c r="G35" s="28">
        <f t="shared" si="59"/>
        <v>0</v>
      </c>
      <c r="H35" s="28">
        <f t="shared" si="59"/>
        <v>0</v>
      </c>
      <c r="I35" s="28">
        <f t="shared" si="59"/>
        <v>0</v>
      </c>
      <c r="J35" s="28">
        <f t="shared" si="59"/>
        <v>0</v>
      </c>
      <c r="K35" s="28">
        <f t="shared" si="59"/>
        <v>0</v>
      </c>
      <c r="L35" s="28">
        <f t="shared" si="59"/>
        <v>0</v>
      </c>
      <c r="M35" s="28">
        <f t="shared" si="59"/>
        <v>0</v>
      </c>
      <c r="N35" s="28">
        <f>2.4</f>
        <v>2.4</v>
      </c>
      <c r="O35" s="28">
        <f>0</f>
        <v>0</v>
      </c>
    </row>
    <row r="36">
      <c r="B36" s="29">
        <v>46231.0</v>
      </c>
      <c r="C36" s="28">
        <f>5.4</f>
        <v>5.4</v>
      </c>
      <c r="D36" s="28">
        <f t="shared" ref="D36:N36" si="60">0</f>
        <v>0</v>
      </c>
      <c r="E36" s="28">
        <f t="shared" si="60"/>
        <v>0</v>
      </c>
      <c r="F36" s="28">
        <f t="shared" si="60"/>
        <v>0</v>
      </c>
      <c r="G36" s="28">
        <f t="shared" si="60"/>
        <v>0</v>
      </c>
      <c r="H36" s="28">
        <f t="shared" si="60"/>
        <v>0</v>
      </c>
      <c r="I36" s="28">
        <f t="shared" si="60"/>
        <v>0</v>
      </c>
      <c r="J36" s="28">
        <f t="shared" si="60"/>
        <v>0</v>
      </c>
      <c r="K36" s="28">
        <f t="shared" si="60"/>
        <v>0</v>
      </c>
      <c r="L36" s="28">
        <f t="shared" si="60"/>
        <v>0</v>
      </c>
      <c r="M36" s="28">
        <f t="shared" si="60"/>
        <v>0</v>
      </c>
      <c r="N36" s="28">
        <f t="shared" si="60"/>
        <v>0</v>
      </c>
      <c r="O36" s="28">
        <f>12.6</f>
        <v>12.6</v>
      </c>
    </row>
    <row r="37">
      <c r="B37" s="29">
        <v>46233.0</v>
      </c>
      <c r="C37" s="21">
        <v>0.0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8">
        <f>22</f>
        <v>22</v>
      </c>
    </row>
    <row r="38">
      <c r="B38" s="29">
        <v>46233.0</v>
      </c>
      <c r="C38" s="28">
        <f t="shared" ref="C38:M38" si="61">0</f>
        <v>0</v>
      </c>
      <c r="D38" s="28">
        <f t="shared" si="61"/>
        <v>0</v>
      </c>
      <c r="E38" s="28">
        <f t="shared" si="61"/>
        <v>0</v>
      </c>
      <c r="F38" s="28">
        <f t="shared" si="61"/>
        <v>0</v>
      </c>
      <c r="G38" s="28">
        <f t="shared" si="61"/>
        <v>0</v>
      </c>
      <c r="H38" s="28">
        <f t="shared" si="61"/>
        <v>0</v>
      </c>
      <c r="I38" s="28">
        <f t="shared" si="61"/>
        <v>0</v>
      </c>
      <c r="J38" s="28">
        <f t="shared" si="61"/>
        <v>0</v>
      </c>
      <c r="K38" s="28">
        <f t="shared" si="61"/>
        <v>0</v>
      </c>
      <c r="L38" s="28">
        <f t="shared" si="61"/>
        <v>0</v>
      </c>
      <c r="M38" s="28">
        <f t="shared" si="61"/>
        <v>0</v>
      </c>
      <c r="N38" s="28">
        <f>7.2</f>
        <v>7.2</v>
      </c>
      <c r="O38" s="28">
        <f>10.8</f>
        <v>10.8</v>
      </c>
    </row>
    <row r="39">
      <c r="B39" s="29">
        <v>46234.0</v>
      </c>
      <c r="C39" s="28">
        <f t="shared" ref="C39:L39" si="62">0</f>
        <v>0</v>
      </c>
      <c r="D39" s="28">
        <f t="shared" si="62"/>
        <v>0</v>
      </c>
      <c r="E39" s="28">
        <f t="shared" si="62"/>
        <v>0</v>
      </c>
      <c r="F39" s="28">
        <f t="shared" si="62"/>
        <v>0</v>
      </c>
      <c r="G39" s="28">
        <f t="shared" si="62"/>
        <v>0</v>
      </c>
      <c r="H39" s="28">
        <f t="shared" si="62"/>
        <v>0</v>
      </c>
      <c r="I39" s="28">
        <f t="shared" si="62"/>
        <v>0</v>
      </c>
      <c r="J39" s="28">
        <f t="shared" si="62"/>
        <v>0</v>
      </c>
      <c r="K39" s="28">
        <f t="shared" si="62"/>
        <v>0</v>
      </c>
      <c r="L39" s="28">
        <f t="shared" si="62"/>
        <v>0</v>
      </c>
      <c r="M39" s="28">
        <f>8.4</f>
        <v>8.4</v>
      </c>
      <c r="N39" s="28">
        <f>0</f>
        <v>0</v>
      </c>
      <c r="O39" s="28">
        <f>5.6</f>
        <v>5.6</v>
      </c>
    </row>
    <row r="40">
      <c r="B40" s="29">
        <v>46237.0</v>
      </c>
      <c r="C40" s="21">
        <v>0.0</v>
      </c>
      <c r="D40" s="21">
        <v>0.0</v>
      </c>
      <c r="E40" s="21">
        <v>0.0</v>
      </c>
      <c r="F40" s="21">
        <v>0.0</v>
      </c>
      <c r="G40" s="21">
        <v>0.0</v>
      </c>
      <c r="H40" s="21">
        <v>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21">
        <v>0.0</v>
      </c>
      <c r="O40" s="28">
        <f>16</f>
        <v>16</v>
      </c>
    </row>
    <row r="41">
      <c r="B41" s="29">
        <v>46237.0</v>
      </c>
      <c r="C41" s="21">
        <v>0.0</v>
      </c>
      <c r="D41" s="21">
        <v>0.0</v>
      </c>
      <c r="E41" s="21">
        <v>0.0</v>
      </c>
      <c r="F41" s="21">
        <v>0.0</v>
      </c>
      <c r="G41" s="21">
        <v>0.0</v>
      </c>
      <c r="H41" s="21">
        <v>0.0</v>
      </c>
      <c r="I41" s="21">
        <v>0.0</v>
      </c>
      <c r="J41" s="21">
        <v>0.0</v>
      </c>
      <c r="K41" s="21">
        <v>0.0</v>
      </c>
      <c r="L41" s="21">
        <v>0.0</v>
      </c>
      <c r="M41" s="21">
        <v>0.0</v>
      </c>
      <c r="N41" s="21">
        <v>0.0</v>
      </c>
      <c r="O41" s="28">
        <f>18</f>
        <v>18</v>
      </c>
    </row>
    <row r="42">
      <c r="B42" s="29">
        <v>46237.0</v>
      </c>
      <c r="C42" s="21">
        <v>0.0</v>
      </c>
      <c r="D42" s="21">
        <v>0.0</v>
      </c>
      <c r="E42" s="21">
        <v>0.0</v>
      </c>
      <c r="F42" s="21">
        <v>0.0</v>
      </c>
      <c r="G42" s="21">
        <v>0.0</v>
      </c>
      <c r="H42" s="21">
        <v>0.0</v>
      </c>
      <c r="I42" s="21">
        <v>0.0</v>
      </c>
      <c r="J42" s="21">
        <v>0.0</v>
      </c>
      <c r="K42" s="21">
        <v>0.0</v>
      </c>
      <c r="L42" s="21">
        <v>0.0</v>
      </c>
      <c r="M42" s="21">
        <v>0.0</v>
      </c>
      <c r="N42" s="21">
        <v>0.0</v>
      </c>
      <c r="O42" s="28">
        <f>12</f>
        <v>12</v>
      </c>
    </row>
    <row r="43">
      <c r="B43" s="29">
        <v>46237.0</v>
      </c>
      <c r="C43" s="28">
        <f t="shared" ref="C43:L43" si="63">0</f>
        <v>0</v>
      </c>
      <c r="D43" s="28">
        <f t="shared" si="63"/>
        <v>0</v>
      </c>
      <c r="E43" s="28">
        <f t="shared" si="63"/>
        <v>0</v>
      </c>
      <c r="F43" s="28">
        <f t="shared" si="63"/>
        <v>0</v>
      </c>
      <c r="G43" s="28">
        <f t="shared" si="63"/>
        <v>0</v>
      </c>
      <c r="H43" s="28">
        <f t="shared" si="63"/>
        <v>0</v>
      </c>
      <c r="I43" s="28">
        <f t="shared" si="63"/>
        <v>0</v>
      </c>
      <c r="J43" s="28">
        <f t="shared" si="63"/>
        <v>0</v>
      </c>
      <c r="K43" s="28">
        <f t="shared" si="63"/>
        <v>0</v>
      </c>
      <c r="L43" s="28">
        <f t="shared" si="63"/>
        <v>0</v>
      </c>
      <c r="M43" s="28">
        <f>6</f>
        <v>6</v>
      </c>
      <c r="N43" s="28">
        <f t="shared" ref="N43:O43" si="64">0</f>
        <v>0</v>
      </c>
      <c r="O43" s="28">
        <f t="shared" si="64"/>
        <v>0</v>
      </c>
    </row>
    <row r="44">
      <c r="B44" s="29">
        <v>46237.0</v>
      </c>
      <c r="C44" s="21">
        <v>0.0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0.0</v>
      </c>
      <c r="J44" s="21">
        <v>0.0</v>
      </c>
      <c r="K44" s="21">
        <v>0.0</v>
      </c>
      <c r="L44" s="21">
        <v>0.0</v>
      </c>
      <c r="M44" s="21">
        <v>0.0</v>
      </c>
      <c r="N44" s="21">
        <v>0.0</v>
      </c>
      <c r="O44" s="28">
        <f>10</f>
        <v>10</v>
      </c>
    </row>
    <row r="45">
      <c r="B45" s="29">
        <v>46238.0</v>
      </c>
      <c r="C45" s="21">
        <v>0.0</v>
      </c>
      <c r="D45" s="21">
        <v>0.0</v>
      </c>
      <c r="E45" s="21">
        <v>0.0</v>
      </c>
      <c r="F45" s="21">
        <v>0.0</v>
      </c>
      <c r="G45" s="21">
        <v>0.0</v>
      </c>
      <c r="H45" s="21">
        <v>0.0</v>
      </c>
      <c r="I45" s="21">
        <v>0.0</v>
      </c>
      <c r="J45" s="21">
        <v>0.0</v>
      </c>
      <c r="K45" s="21">
        <v>0.0</v>
      </c>
      <c r="L45" s="21">
        <v>0.0</v>
      </c>
      <c r="M45" s="21">
        <v>0.0</v>
      </c>
      <c r="N45" s="21">
        <v>0.0</v>
      </c>
      <c r="O45" s="28">
        <f>15</f>
        <v>15</v>
      </c>
    </row>
    <row r="46">
      <c r="B46" s="29">
        <v>46238.0</v>
      </c>
      <c r="C46" s="21">
        <v>0.0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0.0</v>
      </c>
      <c r="J46" s="21">
        <v>0.0</v>
      </c>
      <c r="K46" s="21">
        <v>0.0</v>
      </c>
      <c r="L46" s="21">
        <v>0.0</v>
      </c>
      <c r="M46" s="21">
        <v>0.0</v>
      </c>
      <c r="N46" s="21">
        <v>0.0</v>
      </c>
      <c r="O46" s="28">
        <f>7</f>
        <v>7</v>
      </c>
    </row>
    <row r="47">
      <c r="B47" s="29">
        <v>46239.0</v>
      </c>
      <c r="C47" s="28">
        <f>3</f>
        <v>3</v>
      </c>
      <c r="D47" s="28">
        <f t="shared" ref="D47:F47" si="65">0</f>
        <v>0</v>
      </c>
      <c r="E47" s="28">
        <f t="shared" si="65"/>
        <v>0</v>
      </c>
      <c r="F47" s="28">
        <f t="shared" si="65"/>
        <v>0</v>
      </c>
      <c r="G47" s="28">
        <f>2</f>
        <v>2</v>
      </c>
      <c r="H47" s="28">
        <f t="shared" ref="H47:L47" si="66">0</f>
        <v>0</v>
      </c>
      <c r="I47" s="28">
        <f t="shared" si="66"/>
        <v>0</v>
      </c>
      <c r="J47" s="28">
        <f t="shared" si="66"/>
        <v>0</v>
      </c>
      <c r="K47" s="28">
        <f t="shared" si="66"/>
        <v>0</v>
      </c>
      <c r="L47" s="28">
        <f t="shared" si="66"/>
        <v>0</v>
      </c>
      <c r="M47" s="28">
        <f>3</f>
        <v>3</v>
      </c>
      <c r="N47" s="28">
        <f>0</f>
        <v>0</v>
      </c>
      <c r="O47" s="28">
        <f>2</f>
        <v>2</v>
      </c>
    </row>
    <row r="48">
      <c r="B48" s="29">
        <v>46239.0</v>
      </c>
      <c r="C48" s="28">
        <f t="shared" ref="C48:K48" si="67">0</f>
        <v>0</v>
      </c>
      <c r="D48" s="28">
        <f t="shared" si="67"/>
        <v>0</v>
      </c>
      <c r="E48" s="28">
        <f t="shared" si="67"/>
        <v>0</v>
      </c>
      <c r="F48" s="28">
        <f t="shared" si="67"/>
        <v>0</v>
      </c>
      <c r="G48" s="28">
        <f t="shared" si="67"/>
        <v>0</v>
      </c>
      <c r="H48" s="28">
        <f t="shared" si="67"/>
        <v>0</v>
      </c>
      <c r="I48" s="28">
        <f t="shared" si="67"/>
        <v>0</v>
      </c>
      <c r="J48" s="28">
        <f t="shared" si="67"/>
        <v>0</v>
      </c>
      <c r="K48" s="28">
        <f t="shared" si="67"/>
        <v>0</v>
      </c>
      <c r="L48" s="28">
        <f t="shared" ref="L48:M48" si="68">2.4</f>
        <v>2.4</v>
      </c>
      <c r="M48" s="28">
        <f t="shared" si="68"/>
        <v>2.4</v>
      </c>
      <c r="N48" s="28">
        <f>7.2</f>
        <v>7.2</v>
      </c>
      <c r="O48" s="28">
        <f t="shared" ref="O48:O49" si="70">0</f>
        <v>0</v>
      </c>
    </row>
    <row r="49">
      <c r="B49" s="29">
        <v>46239.0</v>
      </c>
      <c r="C49" s="28">
        <f t="shared" ref="C49:K49" si="69">0</f>
        <v>0</v>
      </c>
      <c r="D49" s="28">
        <f t="shared" si="69"/>
        <v>0</v>
      </c>
      <c r="E49" s="28">
        <f t="shared" si="69"/>
        <v>0</v>
      </c>
      <c r="F49" s="28">
        <f t="shared" si="69"/>
        <v>0</v>
      </c>
      <c r="G49" s="28">
        <f t="shared" si="69"/>
        <v>0</v>
      </c>
      <c r="H49" s="28">
        <f t="shared" si="69"/>
        <v>0</v>
      </c>
      <c r="I49" s="28">
        <f t="shared" si="69"/>
        <v>0</v>
      </c>
      <c r="J49" s="28">
        <f t="shared" si="69"/>
        <v>0</v>
      </c>
      <c r="K49" s="28">
        <f t="shared" si="69"/>
        <v>0</v>
      </c>
      <c r="L49" s="28">
        <f>12.8</f>
        <v>12.8</v>
      </c>
      <c r="M49" s="28">
        <f t="shared" ref="M49:M50" si="73">0</f>
        <v>0</v>
      </c>
      <c r="N49" s="28">
        <f>3.2</f>
        <v>3.2</v>
      </c>
      <c r="O49" s="28">
        <f t="shared" si="70"/>
        <v>0</v>
      </c>
    </row>
    <row r="50">
      <c r="B50" s="29">
        <v>46239.0</v>
      </c>
      <c r="C50" s="28">
        <f t="shared" ref="C50:F50" si="71">0</f>
        <v>0</v>
      </c>
      <c r="D50" s="28">
        <f t="shared" si="71"/>
        <v>0</v>
      </c>
      <c r="E50" s="28">
        <f t="shared" si="71"/>
        <v>0</v>
      </c>
      <c r="F50" s="28">
        <f t="shared" si="71"/>
        <v>0</v>
      </c>
      <c r="G50" s="28">
        <f>3</f>
        <v>3</v>
      </c>
      <c r="H50" s="28">
        <f t="shared" ref="H50:K50" si="72">0</f>
        <v>0</v>
      </c>
      <c r="I50" s="28">
        <f t="shared" si="72"/>
        <v>0</v>
      </c>
      <c r="J50" s="28">
        <f t="shared" si="72"/>
        <v>0</v>
      </c>
      <c r="K50" s="28">
        <f t="shared" si="72"/>
        <v>0</v>
      </c>
      <c r="L50" s="28">
        <f>3</f>
        <v>3</v>
      </c>
      <c r="M50" s="28">
        <f t="shared" si="73"/>
        <v>0</v>
      </c>
      <c r="N50" s="28">
        <f t="shared" ref="N50:N51" si="75">0</f>
        <v>0</v>
      </c>
      <c r="O50" s="28">
        <f>9</f>
        <v>9</v>
      </c>
    </row>
    <row r="51">
      <c r="B51" s="29">
        <v>46241.0</v>
      </c>
      <c r="C51" s="28">
        <f>2.8</f>
        <v>2.8</v>
      </c>
      <c r="D51" s="28">
        <f t="shared" ref="D51:L51" si="74">0</f>
        <v>0</v>
      </c>
      <c r="E51" s="28">
        <f t="shared" si="74"/>
        <v>0</v>
      </c>
      <c r="F51" s="28">
        <f t="shared" si="74"/>
        <v>0</v>
      </c>
      <c r="G51" s="28">
        <f t="shared" si="74"/>
        <v>0</v>
      </c>
      <c r="H51" s="28">
        <f t="shared" si="74"/>
        <v>0</v>
      </c>
      <c r="I51" s="28">
        <f t="shared" si="74"/>
        <v>0</v>
      </c>
      <c r="J51" s="28">
        <f t="shared" si="74"/>
        <v>0</v>
      </c>
      <c r="K51" s="28">
        <f t="shared" si="74"/>
        <v>0</v>
      </c>
      <c r="L51" s="28">
        <f t="shared" si="74"/>
        <v>0</v>
      </c>
      <c r="M51" s="28">
        <f>2.8</f>
        <v>2.8</v>
      </c>
      <c r="N51" s="28">
        <f t="shared" si="75"/>
        <v>0</v>
      </c>
      <c r="O51" s="28">
        <f>8.4</f>
        <v>8.4</v>
      </c>
    </row>
    <row r="52">
      <c r="B52" s="29">
        <v>46246.0</v>
      </c>
      <c r="C52" s="28">
        <f>6</f>
        <v>6</v>
      </c>
      <c r="D52" s="28">
        <f t="shared" ref="D52:H52" si="76">0</f>
        <v>0</v>
      </c>
      <c r="E52" s="28">
        <f t="shared" si="76"/>
        <v>0</v>
      </c>
      <c r="F52" s="28">
        <f t="shared" si="76"/>
        <v>0</v>
      </c>
      <c r="G52" s="28">
        <f t="shared" si="76"/>
        <v>0</v>
      </c>
      <c r="H52" s="28">
        <f t="shared" si="76"/>
        <v>0</v>
      </c>
      <c r="I52" s="28">
        <f>2</f>
        <v>2</v>
      </c>
      <c r="J52" s="28">
        <f t="shared" ref="J52:L52" si="77">0</f>
        <v>0</v>
      </c>
      <c r="K52" s="28">
        <f t="shared" si="77"/>
        <v>0</v>
      </c>
      <c r="L52" s="28">
        <f t="shared" si="77"/>
        <v>0</v>
      </c>
      <c r="M52" s="28">
        <f>4</f>
        <v>4</v>
      </c>
      <c r="N52" s="28">
        <f>2</f>
        <v>2</v>
      </c>
      <c r="O52" s="28">
        <f>6</f>
        <v>6</v>
      </c>
    </row>
    <row r="53">
      <c r="B53" s="29">
        <v>46246.0</v>
      </c>
      <c r="C53" s="28">
        <f t="shared" ref="C53:K53" si="78">0</f>
        <v>0</v>
      </c>
      <c r="D53" s="28">
        <f t="shared" si="78"/>
        <v>0</v>
      </c>
      <c r="E53" s="28">
        <f t="shared" si="78"/>
        <v>0</v>
      </c>
      <c r="F53" s="28">
        <f t="shared" si="78"/>
        <v>0</v>
      </c>
      <c r="G53" s="28">
        <f t="shared" si="78"/>
        <v>0</v>
      </c>
      <c r="H53" s="28">
        <f t="shared" si="78"/>
        <v>0</v>
      </c>
      <c r="I53" s="28">
        <f t="shared" si="78"/>
        <v>0</v>
      </c>
      <c r="J53" s="28">
        <f t="shared" si="78"/>
        <v>0</v>
      </c>
      <c r="K53" s="28">
        <f t="shared" si="78"/>
        <v>0</v>
      </c>
      <c r="L53" s="28">
        <f>22</f>
        <v>22</v>
      </c>
      <c r="M53" s="28">
        <f t="shared" ref="M53:O53" si="79">0</f>
        <v>0</v>
      </c>
      <c r="N53" s="28">
        <f t="shared" si="79"/>
        <v>0</v>
      </c>
      <c r="O53" s="28">
        <f t="shared" si="79"/>
        <v>0</v>
      </c>
    </row>
    <row r="54">
      <c r="B54" s="29">
        <v>46246.0</v>
      </c>
      <c r="C54" s="28">
        <f>1.75</f>
        <v>1.75</v>
      </c>
      <c r="D54" s="28">
        <f t="shared" ref="D54:L54" si="80">0</f>
        <v>0</v>
      </c>
      <c r="E54" s="28">
        <f t="shared" si="80"/>
        <v>0</v>
      </c>
      <c r="F54" s="28">
        <f t="shared" si="80"/>
        <v>0</v>
      </c>
      <c r="G54" s="28">
        <f t="shared" si="80"/>
        <v>0</v>
      </c>
      <c r="H54" s="28">
        <f t="shared" si="80"/>
        <v>0</v>
      </c>
      <c r="I54" s="28">
        <f t="shared" si="80"/>
        <v>0</v>
      </c>
      <c r="J54" s="28">
        <f t="shared" si="80"/>
        <v>0</v>
      </c>
      <c r="K54" s="28">
        <f t="shared" si="80"/>
        <v>0</v>
      </c>
      <c r="L54" s="28">
        <f t="shared" si="80"/>
        <v>0</v>
      </c>
      <c r="M54" s="28">
        <f>1.75</f>
        <v>1.75</v>
      </c>
      <c r="N54" s="28">
        <f>0</f>
        <v>0</v>
      </c>
      <c r="O54" s="28">
        <f>3.5</f>
        <v>3.5</v>
      </c>
    </row>
    <row r="55">
      <c r="B55" s="29">
        <v>46248.0</v>
      </c>
      <c r="C55" s="21">
        <v>0.0</v>
      </c>
      <c r="D55" s="21">
        <v>0.0</v>
      </c>
      <c r="E55" s="21">
        <v>0.0</v>
      </c>
      <c r="F55" s="21">
        <v>0.0</v>
      </c>
      <c r="G55" s="21">
        <v>0.0</v>
      </c>
      <c r="H55" s="21">
        <v>0.0</v>
      </c>
      <c r="I55" s="21">
        <v>0.0</v>
      </c>
      <c r="J55" s="21">
        <v>0.0</v>
      </c>
      <c r="K55" s="21">
        <v>0.0</v>
      </c>
      <c r="L55" s="21">
        <v>0.0</v>
      </c>
      <c r="M55" s="21">
        <v>0.0</v>
      </c>
      <c r="N55" s="21">
        <v>0.0</v>
      </c>
      <c r="O55" s="28">
        <f>16</f>
        <v>16</v>
      </c>
    </row>
    <row r="56">
      <c r="B56" s="29">
        <v>46250.0</v>
      </c>
      <c r="C56" s="28">
        <f t="shared" ref="C56:C57" si="83">0</f>
        <v>0</v>
      </c>
      <c r="D56" s="28">
        <f>3</f>
        <v>3</v>
      </c>
      <c r="E56" s="28">
        <f>0</f>
        <v>0</v>
      </c>
      <c r="F56" s="28">
        <f t="shared" ref="F56:G56" si="81">3</f>
        <v>3</v>
      </c>
      <c r="G56" s="28">
        <f t="shared" si="81"/>
        <v>3</v>
      </c>
      <c r="H56" s="28">
        <f t="shared" ref="H56:N56" si="82">0</f>
        <v>0</v>
      </c>
      <c r="I56" s="28">
        <f t="shared" si="82"/>
        <v>0</v>
      </c>
      <c r="J56" s="28">
        <f t="shared" si="82"/>
        <v>0</v>
      </c>
      <c r="K56" s="28">
        <f t="shared" si="82"/>
        <v>0</v>
      </c>
      <c r="L56" s="28">
        <f t="shared" si="82"/>
        <v>0</v>
      </c>
      <c r="M56" s="28">
        <f t="shared" si="82"/>
        <v>0</v>
      </c>
      <c r="N56" s="28">
        <f t="shared" si="82"/>
        <v>0</v>
      </c>
      <c r="O56" s="28">
        <f>3</f>
        <v>3</v>
      </c>
    </row>
    <row r="57">
      <c r="B57" s="29">
        <v>46250.0</v>
      </c>
      <c r="C57" s="28">
        <f t="shared" si="83"/>
        <v>0</v>
      </c>
      <c r="D57" s="28">
        <f t="shared" ref="D57:E57" si="84">0</f>
        <v>0</v>
      </c>
      <c r="E57" s="28">
        <f t="shared" si="84"/>
        <v>0</v>
      </c>
      <c r="F57" s="28">
        <f>1.4</f>
        <v>1.4</v>
      </c>
      <c r="G57" s="28">
        <f t="shared" ref="G57:K57" si="85">0</f>
        <v>0</v>
      </c>
      <c r="H57" s="28">
        <f t="shared" si="85"/>
        <v>0</v>
      </c>
      <c r="I57" s="28">
        <f t="shared" si="85"/>
        <v>0</v>
      </c>
      <c r="J57" s="28">
        <f t="shared" si="85"/>
        <v>0</v>
      </c>
      <c r="K57" s="28">
        <f t="shared" si="85"/>
        <v>0</v>
      </c>
      <c r="L57" s="28">
        <f>1.4</f>
        <v>1.4</v>
      </c>
      <c r="M57" s="28">
        <f>2.8</f>
        <v>2.8</v>
      </c>
      <c r="N57" s="28">
        <f>5.6</f>
        <v>5.6</v>
      </c>
      <c r="O57" s="28">
        <f>2.8</f>
        <v>2.8</v>
      </c>
    </row>
    <row r="58">
      <c r="B58" s="29">
        <v>46251.0</v>
      </c>
      <c r="C58" s="21">
        <v>0.0</v>
      </c>
      <c r="D58" s="21">
        <v>0.0</v>
      </c>
      <c r="E58" s="21">
        <v>0.0</v>
      </c>
      <c r="F58" s="21">
        <v>0.0</v>
      </c>
      <c r="G58" s="21">
        <v>0.0</v>
      </c>
      <c r="H58" s="21">
        <v>0.0</v>
      </c>
      <c r="I58" s="21">
        <v>0.0</v>
      </c>
      <c r="J58" s="21">
        <v>0.0</v>
      </c>
      <c r="K58" s="21">
        <v>0.0</v>
      </c>
      <c r="L58" s="21">
        <v>0.0</v>
      </c>
      <c r="M58" s="21">
        <v>0.0</v>
      </c>
      <c r="N58" s="21">
        <v>0.0</v>
      </c>
      <c r="O58" s="28">
        <f>15</f>
        <v>15</v>
      </c>
    </row>
    <row r="59">
      <c r="B59" s="29">
        <v>46255.0</v>
      </c>
      <c r="C59" s="28">
        <f t="shared" ref="C59:K59" si="86">0</f>
        <v>0</v>
      </c>
      <c r="D59" s="28">
        <f t="shared" si="86"/>
        <v>0</v>
      </c>
      <c r="E59" s="28">
        <f t="shared" si="86"/>
        <v>0</v>
      </c>
      <c r="F59" s="28">
        <f t="shared" si="86"/>
        <v>0</v>
      </c>
      <c r="G59" s="28">
        <f t="shared" si="86"/>
        <v>0</v>
      </c>
      <c r="H59" s="28">
        <f t="shared" si="86"/>
        <v>0</v>
      </c>
      <c r="I59" s="28">
        <f t="shared" si="86"/>
        <v>0</v>
      </c>
      <c r="J59" s="28">
        <f t="shared" si="86"/>
        <v>0</v>
      </c>
      <c r="K59" s="28">
        <f t="shared" si="86"/>
        <v>0</v>
      </c>
      <c r="L59" s="28">
        <f>5.5</f>
        <v>5.5</v>
      </c>
      <c r="M59" s="28">
        <f t="shared" ref="M59:N59" si="87">2.2</f>
        <v>2.2</v>
      </c>
      <c r="N59" s="28">
        <f t="shared" si="87"/>
        <v>2.2</v>
      </c>
      <c r="O59" s="28">
        <f>1.1</f>
        <v>1.1</v>
      </c>
    </row>
    <row r="60">
      <c r="B60" s="29">
        <v>46257.0</v>
      </c>
      <c r="C60" s="28">
        <f t="shared" ref="C60:C61" si="91">0</f>
        <v>0</v>
      </c>
      <c r="D60" s="28">
        <f>1.5</f>
        <v>1.5</v>
      </c>
      <c r="E60" s="28">
        <f t="shared" ref="E60:E61" si="92">0</f>
        <v>0</v>
      </c>
      <c r="F60" s="28">
        <f t="shared" ref="F60:G60" si="88">1.5</f>
        <v>1.5</v>
      </c>
      <c r="G60" s="28">
        <f t="shared" si="88"/>
        <v>1.5</v>
      </c>
      <c r="H60" s="28">
        <f t="shared" ref="H60:K60" si="89">0</f>
        <v>0</v>
      </c>
      <c r="I60" s="28">
        <f t="shared" si="89"/>
        <v>0</v>
      </c>
      <c r="J60" s="28">
        <f t="shared" si="89"/>
        <v>0</v>
      </c>
      <c r="K60" s="28">
        <f t="shared" si="89"/>
        <v>0</v>
      </c>
      <c r="L60" s="28">
        <f t="shared" ref="L60:M60" si="90">3</f>
        <v>3</v>
      </c>
      <c r="M60" s="28">
        <f t="shared" si="90"/>
        <v>3</v>
      </c>
      <c r="N60" s="28">
        <f>4.5</f>
        <v>4.5</v>
      </c>
      <c r="O60" s="28">
        <f>0</f>
        <v>0</v>
      </c>
    </row>
    <row r="61">
      <c r="B61" s="29">
        <v>46257.0</v>
      </c>
      <c r="C61" s="28">
        <f t="shared" si="91"/>
        <v>0</v>
      </c>
      <c r="D61" s="28">
        <f>1.4</f>
        <v>1.4</v>
      </c>
      <c r="E61" s="28">
        <f t="shared" si="92"/>
        <v>0</v>
      </c>
      <c r="F61" s="28">
        <f t="shared" ref="F61:K61" si="93">0</f>
        <v>0</v>
      </c>
      <c r="G61" s="28">
        <f t="shared" si="93"/>
        <v>0</v>
      </c>
      <c r="H61" s="28">
        <f t="shared" si="93"/>
        <v>0</v>
      </c>
      <c r="I61" s="28">
        <f t="shared" si="93"/>
        <v>0</v>
      </c>
      <c r="J61" s="28">
        <f t="shared" si="93"/>
        <v>0</v>
      </c>
      <c r="K61" s="28">
        <f t="shared" si="93"/>
        <v>0</v>
      </c>
      <c r="L61" s="28">
        <f>2.8</f>
        <v>2.8</v>
      </c>
      <c r="M61" s="28">
        <f>0</f>
        <v>0</v>
      </c>
      <c r="N61" s="28">
        <f>5.6</f>
        <v>5.6</v>
      </c>
      <c r="O61" s="28">
        <f>4.2</f>
        <v>4.2</v>
      </c>
    </row>
    <row r="62">
      <c r="B62" s="29">
        <v>46260.0</v>
      </c>
      <c r="C62" s="21">
        <v>0.0</v>
      </c>
      <c r="D62" s="21">
        <v>0.0</v>
      </c>
      <c r="E62" s="21">
        <v>0.0</v>
      </c>
      <c r="F62" s="21">
        <v>0.0</v>
      </c>
      <c r="G62" s="21">
        <v>0.0</v>
      </c>
      <c r="H62" s="21">
        <v>0.0</v>
      </c>
      <c r="I62" s="21">
        <v>0.0</v>
      </c>
      <c r="J62" s="21">
        <v>0.0</v>
      </c>
      <c r="K62" s="21">
        <v>0.0</v>
      </c>
      <c r="L62" s="21">
        <v>0.0</v>
      </c>
      <c r="M62" s="21">
        <v>0.0</v>
      </c>
      <c r="N62" s="21">
        <v>0.0</v>
      </c>
      <c r="O62" s="28">
        <f>18</f>
        <v>18</v>
      </c>
    </row>
    <row r="63">
      <c r="B63" s="29">
        <v>46261.0</v>
      </c>
      <c r="C63" s="21">
        <v>0.0</v>
      </c>
      <c r="D63" s="21">
        <v>0.0</v>
      </c>
      <c r="E63" s="21">
        <v>0.0</v>
      </c>
      <c r="F63" s="21">
        <v>0.0</v>
      </c>
      <c r="G63" s="21">
        <v>0.0</v>
      </c>
      <c r="H63" s="21">
        <v>0.0</v>
      </c>
      <c r="I63" s="21">
        <v>0.0</v>
      </c>
      <c r="J63" s="21">
        <v>0.0</v>
      </c>
      <c r="K63" s="21">
        <v>0.0</v>
      </c>
      <c r="L63" s="21">
        <v>0.0</v>
      </c>
      <c r="M63" s="21">
        <v>0.0</v>
      </c>
      <c r="N63" s="21">
        <v>0.0</v>
      </c>
      <c r="O63" s="28">
        <f>22</f>
        <v>22</v>
      </c>
    </row>
    <row r="64">
      <c r="B64" s="29">
        <v>46262.0</v>
      </c>
      <c r="C64" s="21">
        <v>0.0</v>
      </c>
      <c r="D64" s="21">
        <v>0.0</v>
      </c>
      <c r="E64" s="21">
        <v>0.0</v>
      </c>
      <c r="F64" s="21">
        <v>0.0</v>
      </c>
      <c r="G64" s="21">
        <v>0.0</v>
      </c>
      <c r="H64" s="21">
        <v>0.0</v>
      </c>
      <c r="I64" s="21">
        <v>0.0</v>
      </c>
      <c r="J64" s="21">
        <v>0.0</v>
      </c>
      <c r="K64" s="21">
        <v>0.0</v>
      </c>
      <c r="L64" s="21">
        <v>0.0</v>
      </c>
      <c r="M64" s="21">
        <v>0.0</v>
      </c>
      <c r="N64" s="21">
        <v>0.0</v>
      </c>
      <c r="O64" s="28">
        <f>25</f>
        <v>25</v>
      </c>
    </row>
    <row r="65">
      <c r="B65" s="29">
        <v>46262.0</v>
      </c>
      <c r="C65" s="28">
        <f t="shared" ref="C65:F65" si="94">0</f>
        <v>0</v>
      </c>
      <c r="D65" s="28">
        <f t="shared" si="94"/>
        <v>0</v>
      </c>
      <c r="E65" s="28">
        <f t="shared" si="94"/>
        <v>0</v>
      </c>
      <c r="F65" s="28">
        <f t="shared" si="94"/>
        <v>0</v>
      </c>
      <c r="G65" s="28">
        <f>5.4</f>
        <v>5.4</v>
      </c>
      <c r="H65" s="28">
        <f t="shared" ref="H65:K65" si="95">0</f>
        <v>0</v>
      </c>
      <c r="I65" s="28">
        <f t="shared" si="95"/>
        <v>0</v>
      </c>
      <c r="J65" s="28">
        <f t="shared" si="95"/>
        <v>0</v>
      </c>
      <c r="K65" s="28">
        <f t="shared" si="95"/>
        <v>0</v>
      </c>
      <c r="L65" s="28">
        <f>12.6</f>
        <v>12.6</v>
      </c>
      <c r="M65" s="28">
        <f t="shared" ref="M65:O65" si="96">0</f>
        <v>0</v>
      </c>
      <c r="N65" s="28">
        <f t="shared" si="96"/>
        <v>0</v>
      </c>
      <c r="O65" s="28">
        <f t="shared" si="96"/>
        <v>0</v>
      </c>
    </row>
    <row r="66">
      <c r="B66" s="29">
        <v>46262.0</v>
      </c>
      <c r="C66" s="21">
        <v>0.0</v>
      </c>
      <c r="D66" s="21">
        <v>0.0</v>
      </c>
      <c r="E66" s="21">
        <v>0.0</v>
      </c>
      <c r="F66" s="21">
        <v>0.0</v>
      </c>
      <c r="G66" s="21">
        <v>0.0</v>
      </c>
      <c r="H66" s="21">
        <v>0.0</v>
      </c>
      <c r="I66" s="21">
        <v>0.0</v>
      </c>
      <c r="J66" s="21">
        <v>0.0</v>
      </c>
      <c r="K66" s="21">
        <v>0.0</v>
      </c>
      <c r="L66" s="21">
        <v>0.0</v>
      </c>
      <c r="M66" s="21">
        <v>0.0</v>
      </c>
      <c r="N66" s="21">
        <v>0.0</v>
      </c>
      <c r="O66" s="28">
        <f>7</f>
        <v>7</v>
      </c>
    </row>
    <row r="67">
      <c r="B67" s="29">
        <v>46262.0</v>
      </c>
      <c r="C67" s="28">
        <f t="shared" ref="C67:F67" si="97">0</f>
        <v>0</v>
      </c>
      <c r="D67" s="28">
        <f t="shared" si="97"/>
        <v>0</v>
      </c>
      <c r="E67" s="28">
        <f t="shared" si="97"/>
        <v>0</v>
      </c>
      <c r="F67" s="28">
        <f t="shared" si="97"/>
        <v>0</v>
      </c>
      <c r="G67" s="28">
        <f>2.4</f>
        <v>2.4</v>
      </c>
      <c r="H67" s="28">
        <f t="shared" ref="H67:N67" si="98">0</f>
        <v>0</v>
      </c>
      <c r="I67" s="28">
        <f t="shared" si="98"/>
        <v>0</v>
      </c>
      <c r="J67" s="28">
        <f t="shared" si="98"/>
        <v>0</v>
      </c>
      <c r="K67" s="28">
        <f t="shared" si="98"/>
        <v>0</v>
      </c>
      <c r="L67" s="28">
        <f t="shared" si="98"/>
        <v>0</v>
      </c>
      <c r="M67" s="28">
        <f t="shared" si="98"/>
        <v>0</v>
      </c>
      <c r="N67" s="28">
        <f t="shared" si="98"/>
        <v>0</v>
      </c>
      <c r="O67" s="28">
        <f>5.6</f>
        <v>5.6</v>
      </c>
    </row>
    <row r="68">
      <c r="B68" s="29">
        <v>46262.0</v>
      </c>
      <c r="C68" s="28">
        <f>3</f>
        <v>3</v>
      </c>
      <c r="D68" s="28">
        <f t="shared" ref="D68:F68" si="99">0</f>
        <v>0</v>
      </c>
      <c r="E68" s="28">
        <f t="shared" si="99"/>
        <v>0</v>
      </c>
      <c r="F68" s="28">
        <f t="shared" si="99"/>
        <v>0</v>
      </c>
      <c r="G68" s="28">
        <f>3</f>
        <v>3</v>
      </c>
      <c r="H68" s="28">
        <f t="shared" ref="H68:L68" si="100">0</f>
        <v>0</v>
      </c>
      <c r="I68" s="28">
        <f t="shared" si="100"/>
        <v>0</v>
      </c>
      <c r="J68" s="28">
        <f t="shared" si="100"/>
        <v>0</v>
      </c>
      <c r="K68" s="28">
        <f t="shared" si="100"/>
        <v>0</v>
      </c>
      <c r="L68" s="28">
        <f t="shared" si="100"/>
        <v>0</v>
      </c>
      <c r="M68" s="28">
        <f>3</f>
        <v>3</v>
      </c>
      <c r="N68" s="28">
        <f>0</f>
        <v>0</v>
      </c>
      <c r="O68" s="28">
        <f>6</f>
        <v>6</v>
      </c>
    </row>
    <row r="69">
      <c r="B69" s="29">
        <v>46263.0</v>
      </c>
      <c r="C69" s="21">
        <v>0.0</v>
      </c>
      <c r="D69" s="21">
        <v>0.0</v>
      </c>
      <c r="E69" s="21">
        <v>0.0</v>
      </c>
      <c r="F69" s="21">
        <v>0.0</v>
      </c>
      <c r="G69" s="21">
        <v>0.0</v>
      </c>
      <c r="H69" s="21">
        <v>0.0</v>
      </c>
      <c r="I69" s="21">
        <v>0.0</v>
      </c>
      <c r="J69" s="21">
        <v>0.0</v>
      </c>
      <c r="K69" s="21">
        <v>0.0</v>
      </c>
      <c r="L69" s="21">
        <v>0.0</v>
      </c>
      <c r="M69" s="21">
        <v>0.0</v>
      </c>
      <c r="N69" s="21">
        <v>0.0</v>
      </c>
      <c r="O69" s="28">
        <f>12</f>
        <v>12</v>
      </c>
    </row>
    <row r="70">
      <c r="B70" s="29">
        <v>46266.0</v>
      </c>
      <c r="C70" s="21">
        <v>0.0</v>
      </c>
      <c r="D70" s="21">
        <v>0.0</v>
      </c>
      <c r="E70" s="21">
        <v>0.0</v>
      </c>
      <c r="F70" s="21">
        <v>0.0</v>
      </c>
      <c r="G70" s="21">
        <v>0.0</v>
      </c>
      <c r="H70" s="21">
        <v>0.0</v>
      </c>
      <c r="I70" s="21">
        <v>0.0</v>
      </c>
      <c r="J70" s="21">
        <v>0.0</v>
      </c>
      <c r="K70" s="21">
        <v>0.0</v>
      </c>
      <c r="L70" s="21">
        <v>0.0</v>
      </c>
      <c r="M70" s="21">
        <v>0.0</v>
      </c>
      <c r="N70" s="21">
        <v>0.0</v>
      </c>
      <c r="O70" s="28">
        <f>18</f>
        <v>18</v>
      </c>
    </row>
    <row r="71">
      <c r="B71" s="29">
        <v>46266.0</v>
      </c>
      <c r="C71" s="21">
        <v>0.0</v>
      </c>
      <c r="D71" s="21">
        <v>0.0</v>
      </c>
      <c r="E71" s="21">
        <v>0.0</v>
      </c>
      <c r="F71" s="21">
        <v>0.0</v>
      </c>
      <c r="G71" s="21">
        <v>0.0</v>
      </c>
      <c r="H71" s="21">
        <v>0.0</v>
      </c>
      <c r="I71" s="21">
        <v>0.0</v>
      </c>
      <c r="J71" s="21">
        <v>0.0</v>
      </c>
      <c r="K71" s="21">
        <v>0.0</v>
      </c>
      <c r="L71" s="21">
        <v>0.0</v>
      </c>
      <c r="M71" s="21">
        <v>0.0</v>
      </c>
      <c r="N71" s="21">
        <v>0.0</v>
      </c>
      <c r="O71" s="28">
        <f>17</f>
        <v>17</v>
      </c>
    </row>
    <row r="72">
      <c r="B72" s="29">
        <v>46266.0</v>
      </c>
      <c r="C72" s="28">
        <f>15</f>
        <v>15</v>
      </c>
      <c r="D72" s="28">
        <f t="shared" ref="D72:O72" si="101">0</f>
        <v>0</v>
      </c>
      <c r="E72" s="28">
        <f t="shared" si="101"/>
        <v>0</v>
      </c>
      <c r="F72" s="28">
        <f t="shared" si="101"/>
        <v>0</v>
      </c>
      <c r="G72" s="28">
        <f t="shared" si="101"/>
        <v>0</v>
      </c>
      <c r="H72" s="28">
        <f t="shared" si="101"/>
        <v>0</v>
      </c>
      <c r="I72" s="28">
        <f t="shared" si="101"/>
        <v>0</v>
      </c>
      <c r="J72" s="28">
        <f t="shared" si="101"/>
        <v>0</v>
      </c>
      <c r="K72" s="28">
        <f t="shared" si="101"/>
        <v>0</v>
      </c>
      <c r="L72" s="28">
        <f t="shared" si="101"/>
        <v>0</v>
      </c>
      <c r="M72" s="28">
        <f t="shared" si="101"/>
        <v>0</v>
      </c>
      <c r="N72" s="28">
        <f t="shared" si="101"/>
        <v>0</v>
      </c>
      <c r="O72" s="28">
        <f t="shared" si="101"/>
        <v>0</v>
      </c>
    </row>
    <row r="73">
      <c r="B73" s="29">
        <v>46266.0</v>
      </c>
      <c r="C73" s="21">
        <v>0.0</v>
      </c>
      <c r="D73" s="21">
        <v>0.0</v>
      </c>
      <c r="E73" s="21">
        <v>0.0</v>
      </c>
      <c r="F73" s="21">
        <v>0.0</v>
      </c>
      <c r="G73" s="21">
        <v>0.0</v>
      </c>
      <c r="H73" s="21">
        <v>0.0</v>
      </c>
      <c r="I73" s="21">
        <v>0.0</v>
      </c>
      <c r="J73" s="21">
        <v>0.0</v>
      </c>
      <c r="K73" s="21">
        <v>0.0</v>
      </c>
      <c r="L73" s="21">
        <v>0.0</v>
      </c>
      <c r="M73" s="21">
        <v>0.0</v>
      </c>
      <c r="N73" s="21">
        <v>0.0</v>
      </c>
      <c r="O73" s="28">
        <f>25</f>
        <v>25</v>
      </c>
    </row>
    <row r="74">
      <c r="B74" s="29">
        <v>46277.0</v>
      </c>
      <c r="C74" s="21">
        <v>0.0</v>
      </c>
      <c r="D74" s="21">
        <v>0.0</v>
      </c>
      <c r="E74" s="21">
        <v>0.0</v>
      </c>
      <c r="F74" s="21">
        <v>0.0</v>
      </c>
      <c r="G74" s="21">
        <v>0.0</v>
      </c>
      <c r="H74" s="21">
        <v>0.0</v>
      </c>
      <c r="I74" s="21">
        <v>0.0</v>
      </c>
      <c r="J74" s="21">
        <v>0.0</v>
      </c>
      <c r="K74" s="21">
        <v>0.0</v>
      </c>
      <c r="L74" s="21">
        <v>0.0</v>
      </c>
      <c r="M74" s="21">
        <v>0.0</v>
      </c>
      <c r="N74" s="21">
        <v>0.0</v>
      </c>
      <c r="O74" s="28">
        <f>15</f>
        <v>15</v>
      </c>
    </row>
    <row r="75">
      <c r="B75" s="29">
        <v>46279.0</v>
      </c>
      <c r="C75" s="21">
        <v>0.0</v>
      </c>
      <c r="D75" s="21">
        <v>0.0</v>
      </c>
      <c r="E75" s="21">
        <v>0.0</v>
      </c>
      <c r="F75" s="21">
        <v>0.0</v>
      </c>
      <c r="G75" s="21">
        <v>0.0</v>
      </c>
      <c r="H75" s="21">
        <v>0.0</v>
      </c>
      <c r="I75" s="21">
        <v>0.0</v>
      </c>
      <c r="J75" s="21">
        <v>0.0</v>
      </c>
      <c r="K75" s="21">
        <v>0.0</v>
      </c>
      <c r="L75" s="21">
        <v>0.0</v>
      </c>
      <c r="M75" s="21">
        <v>0.0</v>
      </c>
      <c r="N75" s="21">
        <v>0.0</v>
      </c>
      <c r="O75" s="28">
        <f>25</f>
        <v>25</v>
      </c>
    </row>
    <row r="76">
      <c r="B76" s="29">
        <v>46279.0</v>
      </c>
      <c r="C76" s="21">
        <v>0.0</v>
      </c>
      <c r="D76" s="21">
        <v>0.0</v>
      </c>
      <c r="E76" s="21">
        <v>0.0</v>
      </c>
      <c r="F76" s="21">
        <v>0.0</v>
      </c>
      <c r="G76" s="21">
        <v>0.0</v>
      </c>
      <c r="H76" s="21">
        <v>0.0</v>
      </c>
      <c r="I76" s="21">
        <v>0.0</v>
      </c>
      <c r="J76" s="21">
        <v>0.0</v>
      </c>
      <c r="K76" s="21">
        <v>0.0</v>
      </c>
      <c r="L76" s="21">
        <v>0.0</v>
      </c>
      <c r="M76" s="21">
        <v>0.0</v>
      </c>
      <c r="N76" s="21">
        <v>0.0</v>
      </c>
      <c r="O76" s="28">
        <f>10</f>
        <v>10</v>
      </c>
    </row>
    <row r="77">
      <c r="B77" s="29">
        <v>46279.0</v>
      </c>
      <c r="C77" s="21">
        <v>0.0</v>
      </c>
      <c r="D77" s="21">
        <v>0.0</v>
      </c>
      <c r="E77" s="21">
        <v>0.0</v>
      </c>
      <c r="F77" s="21">
        <v>0.0</v>
      </c>
      <c r="G77" s="21">
        <v>0.0</v>
      </c>
      <c r="H77" s="21">
        <v>0.0</v>
      </c>
      <c r="I77" s="21">
        <v>0.0</v>
      </c>
      <c r="J77" s="21">
        <v>0.0</v>
      </c>
      <c r="K77" s="21">
        <v>0.0</v>
      </c>
      <c r="L77" s="21">
        <v>0.0</v>
      </c>
      <c r="M77" s="21">
        <v>0.0</v>
      </c>
      <c r="N77" s="21">
        <v>0.0</v>
      </c>
      <c r="O77" s="28">
        <f>17</f>
        <v>17</v>
      </c>
    </row>
    <row r="78">
      <c r="B78" s="29">
        <v>46279.0</v>
      </c>
      <c r="C78" s="21">
        <v>0.0</v>
      </c>
      <c r="D78" s="21">
        <v>0.0</v>
      </c>
      <c r="E78" s="21">
        <v>0.0</v>
      </c>
      <c r="F78" s="21">
        <v>0.0</v>
      </c>
      <c r="G78" s="21">
        <v>0.0</v>
      </c>
      <c r="H78" s="21">
        <v>0.0</v>
      </c>
      <c r="I78" s="21">
        <v>0.0</v>
      </c>
      <c r="J78" s="21">
        <v>0.0</v>
      </c>
      <c r="K78" s="21">
        <v>0.0</v>
      </c>
      <c r="L78" s="21">
        <v>0.0</v>
      </c>
      <c r="M78" s="21">
        <v>0.0</v>
      </c>
      <c r="N78" s="21">
        <v>0.0</v>
      </c>
      <c r="O78" s="28">
        <f>13</f>
        <v>13</v>
      </c>
    </row>
    <row r="79">
      <c r="B79" s="29">
        <v>46279.0</v>
      </c>
      <c r="C79" s="21">
        <v>0.0</v>
      </c>
      <c r="D79" s="21">
        <v>0.0</v>
      </c>
      <c r="E79" s="21">
        <v>0.0</v>
      </c>
      <c r="F79" s="21">
        <v>0.0</v>
      </c>
      <c r="G79" s="21">
        <v>0.0</v>
      </c>
      <c r="H79" s="21">
        <v>0.0</v>
      </c>
      <c r="I79" s="21">
        <v>0.0</v>
      </c>
      <c r="J79" s="21">
        <v>0.0</v>
      </c>
      <c r="K79" s="21">
        <v>0.0</v>
      </c>
      <c r="L79" s="21">
        <v>0.0</v>
      </c>
      <c r="M79" s="21">
        <v>0.0</v>
      </c>
      <c r="N79" s="21">
        <v>0.0</v>
      </c>
      <c r="O79" s="28">
        <f t="shared" ref="O79:O80" si="102">15</f>
        <v>15</v>
      </c>
    </row>
    <row r="80">
      <c r="B80" s="29">
        <v>46279.0</v>
      </c>
      <c r="C80" s="21">
        <v>0.0</v>
      </c>
      <c r="D80" s="21">
        <v>0.0</v>
      </c>
      <c r="E80" s="21">
        <v>0.0</v>
      </c>
      <c r="F80" s="21">
        <v>0.0</v>
      </c>
      <c r="G80" s="21">
        <v>0.0</v>
      </c>
      <c r="H80" s="21">
        <v>0.0</v>
      </c>
      <c r="I80" s="21">
        <v>0.0</v>
      </c>
      <c r="J80" s="21">
        <v>0.0</v>
      </c>
      <c r="K80" s="21">
        <v>0.0</v>
      </c>
      <c r="L80" s="21">
        <v>0.0</v>
      </c>
      <c r="M80" s="21">
        <v>0.0</v>
      </c>
      <c r="N80" s="21">
        <v>0.0</v>
      </c>
      <c r="O80" s="28">
        <f t="shared" si="102"/>
        <v>15</v>
      </c>
    </row>
    <row r="81">
      <c r="B81" s="29">
        <v>46279.0</v>
      </c>
      <c r="C81" s="21">
        <v>0.0</v>
      </c>
      <c r="D81" s="21">
        <v>0.0</v>
      </c>
      <c r="E81" s="21">
        <v>0.0</v>
      </c>
      <c r="F81" s="21">
        <v>0.0</v>
      </c>
      <c r="G81" s="21">
        <v>0.0</v>
      </c>
      <c r="H81" s="21">
        <v>0.0</v>
      </c>
      <c r="I81" s="21">
        <v>0.0</v>
      </c>
      <c r="J81" s="21">
        <v>0.0</v>
      </c>
      <c r="K81" s="21">
        <v>0.0</v>
      </c>
      <c r="L81" s="21">
        <v>0.0</v>
      </c>
      <c r="M81" s="21">
        <v>0.0</v>
      </c>
      <c r="N81" s="21">
        <v>0.0</v>
      </c>
      <c r="O81" s="28">
        <f>18</f>
        <v>18</v>
      </c>
    </row>
    <row r="82">
      <c r="B82" s="29">
        <v>46280.0</v>
      </c>
      <c r="C82" s="21">
        <v>0.0</v>
      </c>
      <c r="D82" s="21">
        <v>0.0</v>
      </c>
      <c r="E82" s="21">
        <v>0.0</v>
      </c>
      <c r="F82" s="21">
        <v>0.0</v>
      </c>
      <c r="G82" s="21">
        <v>0.0</v>
      </c>
      <c r="H82" s="21">
        <v>0.0</v>
      </c>
      <c r="I82" s="21">
        <v>0.0</v>
      </c>
      <c r="J82" s="21">
        <v>0.0</v>
      </c>
      <c r="K82" s="21">
        <v>0.0</v>
      </c>
      <c r="L82" s="21">
        <v>0.0</v>
      </c>
      <c r="M82" s="21">
        <v>0.0</v>
      </c>
      <c r="N82" s="21">
        <v>0.0</v>
      </c>
      <c r="O82" s="28">
        <f>20</f>
        <v>20</v>
      </c>
    </row>
    <row r="83">
      <c r="B83" s="29">
        <v>46287.0</v>
      </c>
      <c r="C83" s="21">
        <v>0.0</v>
      </c>
      <c r="D83" s="21">
        <v>0.0</v>
      </c>
      <c r="E83" s="21">
        <v>0.0</v>
      </c>
      <c r="F83" s="21">
        <v>0.0</v>
      </c>
      <c r="G83" s="21">
        <v>0.0</v>
      </c>
      <c r="H83" s="21">
        <v>0.0</v>
      </c>
      <c r="I83" s="21">
        <v>0.0</v>
      </c>
      <c r="J83" s="21">
        <v>0.0</v>
      </c>
      <c r="K83" s="21">
        <v>0.0</v>
      </c>
      <c r="L83" s="21">
        <v>0.0</v>
      </c>
      <c r="M83" s="21">
        <v>0.0</v>
      </c>
      <c r="N83" s="21">
        <v>0.0</v>
      </c>
      <c r="O83" s="28">
        <f>19</f>
        <v>19</v>
      </c>
    </row>
    <row r="84">
      <c r="B84" s="29">
        <v>46287.0</v>
      </c>
      <c r="C84" s="21">
        <v>0.0</v>
      </c>
      <c r="D84" s="21">
        <v>0.0</v>
      </c>
      <c r="E84" s="21">
        <v>0.0</v>
      </c>
      <c r="F84" s="21">
        <v>0.0</v>
      </c>
      <c r="G84" s="21">
        <v>0.0</v>
      </c>
      <c r="H84" s="21">
        <v>0.0</v>
      </c>
      <c r="I84" s="21">
        <v>0.0</v>
      </c>
      <c r="J84" s="21">
        <v>0.0</v>
      </c>
      <c r="K84" s="21">
        <v>0.0</v>
      </c>
      <c r="L84" s="21">
        <v>0.0</v>
      </c>
      <c r="M84" s="21">
        <v>0.0</v>
      </c>
      <c r="N84" s="21">
        <v>0.0</v>
      </c>
      <c r="O84" s="28">
        <f>7</f>
        <v>7</v>
      </c>
    </row>
    <row r="85">
      <c r="B85" s="29">
        <v>46287.0</v>
      </c>
      <c r="C85" s="21">
        <v>0.0</v>
      </c>
      <c r="D85" s="21">
        <v>0.0</v>
      </c>
      <c r="E85" s="21">
        <v>0.0</v>
      </c>
      <c r="F85" s="21">
        <v>0.0</v>
      </c>
      <c r="G85" s="21">
        <v>0.0</v>
      </c>
      <c r="H85" s="21">
        <v>0.0</v>
      </c>
      <c r="I85" s="21">
        <v>0.0</v>
      </c>
      <c r="J85" s="21">
        <v>0.0</v>
      </c>
      <c r="K85" s="21">
        <v>0.0</v>
      </c>
      <c r="L85" s="21">
        <v>0.0</v>
      </c>
      <c r="M85" s="21">
        <v>0.0</v>
      </c>
      <c r="N85" s="21">
        <v>0.0</v>
      </c>
      <c r="O85" s="28">
        <f>15</f>
        <v>15</v>
      </c>
    </row>
    <row r="86">
      <c r="B86" s="29">
        <v>46287.0</v>
      </c>
      <c r="C86" s="21">
        <v>0.0</v>
      </c>
      <c r="D86" s="21">
        <v>0.0</v>
      </c>
      <c r="E86" s="21">
        <v>0.0</v>
      </c>
      <c r="F86" s="21">
        <v>0.0</v>
      </c>
      <c r="G86" s="21">
        <v>0.0</v>
      </c>
      <c r="H86" s="21">
        <v>0.0</v>
      </c>
      <c r="I86" s="21">
        <v>0.0</v>
      </c>
      <c r="J86" s="21">
        <v>0.0</v>
      </c>
      <c r="K86" s="21">
        <v>0.0</v>
      </c>
      <c r="L86" s="21">
        <v>0.0</v>
      </c>
      <c r="M86" s="21">
        <v>0.0</v>
      </c>
      <c r="N86" s="21">
        <v>0.0</v>
      </c>
      <c r="O86" s="28">
        <f>12</f>
        <v>12</v>
      </c>
    </row>
    <row r="87">
      <c r="B87" s="29">
        <v>46288.0</v>
      </c>
      <c r="C87" s="21">
        <v>0.0</v>
      </c>
      <c r="D87" s="21">
        <v>0.0</v>
      </c>
      <c r="E87" s="21">
        <v>0.0</v>
      </c>
      <c r="F87" s="21">
        <v>0.0</v>
      </c>
      <c r="G87" s="21">
        <v>0.0</v>
      </c>
      <c r="H87" s="21">
        <v>0.0</v>
      </c>
      <c r="I87" s="21">
        <v>0.0</v>
      </c>
      <c r="J87" s="21">
        <v>0.0</v>
      </c>
      <c r="K87" s="21">
        <v>0.0</v>
      </c>
      <c r="L87" s="21">
        <v>0.0</v>
      </c>
      <c r="M87" s="21">
        <v>0.0</v>
      </c>
      <c r="N87" s="21">
        <v>0.0</v>
      </c>
      <c r="O87" s="28">
        <f>16</f>
        <v>16</v>
      </c>
    </row>
    <row r="88">
      <c r="B88" s="29">
        <v>46290.0</v>
      </c>
      <c r="C88" s="21">
        <v>0.0</v>
      </c>
      <c r="D88" s="21">
        <v>0.0</v>
      </c>
      <c r="E88" s="21">
        <v>0.0</v>
      </c>
      <c r="F88" s="21">
        <v>0.0</v>
      </c>
      <c r="G88" s="21">
        <v>0.0</v>
      </c>
      <c r="H88" s="21">
        <v>0.0</v>
      </c>
      <c r="I88" s="21">
        <v>0.0</v>
      </c>
      <c r="J88" s="21">
        <v>0.0</v>
      </c>
      <c r="K88" s="21">
        <v>0.0</v>
      </c>
      <c r="L88" s="21">
        <v>0.0</v>
      </c>
      <c r="M88" s="21">
        <v>0.0</v>
      </c>
      <c r="N88" s="21">
        <v>0.0</v>
      </c>
      <c r="O88" s="28">
        <f>13</f>
        <v>13</v>
      </c>
    </row>
    <row r="89">
      <c r="B89" s="29">
        <v>46290.0</v>
      </c>
      <c r="C89" s="21">
        <v>0.0</v>
      </c>
      <c r="D89" s="21">
        <v>0.0</v>
      </c>
      <c r="E89" s="21">
        <v>0.0</v>
      </c>
      <c r="F89" s="21">
        <v>0.0</v>
      </c>
      <c r="G89" s="21">
        <v>0.0</v>
      </c>
      <c r="H89" s="21">
        <v>0.0</v>
      </c>
      <c r="I89" s="21">
        <v>0.0</v>
      </c>
      <c r="J89" s="21">
        <v>0.0</v>
      </c>
      <c r="K89" s="21">
        <v>0.0</v>
      </c>
      <c r="L89" s="21">
        <v>0.0</v>
      </c>
      <c r="M89" s="21">
        <v>0.0</v>
      </c>
      <c r="N89" s="21">
        <v>0.0</v>
      </c>
      <c r="O89" s="28">
        <f>17</f>
        <v>17</v>
      </c>
    </row>
    <row r="90">
      <c r="B90" s="29">
        <v>46290.0</v>
      </c>
      <c r="C90" s="28">
        <f t="shared" ref="C90:K90" si="103">0</f>
        <v>0</v>
      </c>
      <c r="D90" s="28">
        <f t="shared" si="103"/>
        <v>0</v>
      </c>
      <c r="E90" s="28">
        <f t="shared" si="103"/>
        <v>0</v>
      </c>
      <c r="F90" s="28">
        <f t="shared" si="103"/>
        <v>0</v>
      </c>
      <c r="G90" s="28">
        <f t="shared" si="103"/>
        <v>0</v>
      </c>
      <c r="H90" s="28">
        <f t="shared" si="103"/>
        <v>0</v>
      </c>
      <c r="I90" s="28">
        <f t="shared" si="103"/>
        <v>0</v>
      </c>
      <c r="J90" s="28">
        <f t="shared" si="103"/>
        <v>0</v>
      </c>
      <c r="K90" s="28">
        <f t="shared" si="103"/>
        <v>0</v>
      </c>
      <c r="L90" s="28">
        <f>22</f>
        <v>22</v>
      </c>
      <c r="M90" s="28">
        <f t="shared" ref="M90:O90" si="104">0</f>
        <v>0</v>
      </c>
      <c r="N90" s="28">
        <f t="shared" si="104"/>
        <v>0</v>
      </c>
      <c r="O90" s="28">
        <f t="shared" si="104"/>
        <v>0</v>
      </c>
    </row>
    <row r="91">
      <c r="B91" s="29">
        <v>46290.0</v>
      </c>
      <c r="C91" s="21">
        <v>0.0</v>
      </c>
      <c r="D91" s="21">
        <v>0.0</v>
      </c>
      <c r="E91" s="21">
        <v>0.0</v>
      </c>
      <c r="F91" s="21">
        <v>0.0</v>
      </c>
      <c r="G91" s="21">
        <v>0.0</v>
      </c>
      <c r="H91" s="21">
        <v>0.0</v>
      </c>
      <c r="I91" s="21">
        <v>0.0</v>
      </c>
      <c r="J91" s="21">
        <v>0.0</v>
      </c>
      <c r="K91" s="21">
        <v>0.0</v>
      </c>
      <c r="L91" s="21">
        <v>0.0</v>
      </c>
      <c r="M91" s="21">
        <v>0.0</v>
      </c>
      <c r="N91" s="21">
        <v>0.0</v>
      </c>
      <c r="O91" s="28">
        <f>12</f>
        <v>12</v>
      </c>
    </row>
    <row r="92">
      <c r="B92" s="29">
        <v>46290.0</v>
      </c>
      <c r="C92" s="28">
        <f t="shared" ref="C92:H92" si="105">0</f>
        <v>0</v>
      </c>
      <c r="D92" s="28">
        <f t="shared" si="105"/>
        <v>0</v>
      </c>
      <c r="E92" s="28">
        <f t="shared" si="105"/>
        <v>0</v>
      </c>
      <c r="F92" s="28">
        <f t="shared" si="105"/>
        <v>0</v>
      </c>
      <c r="G92" s="28">
        <f t="shared" si="105"/>
        <v>0</v>
      </c>
      <c r="H92" s="28">
        <f t="shared" si="105"/>
        <v>0</v>
      </c>
      <c r="I92" s="28">
        <f>8</f>
        <v>8</v>
      </c>
      <c r="J92" s="28">
        <f t="shared" ref="J92:O92" si="106">0</f>
        <v>0</v>
      </c>
      <c r="K92" s="28">
        <f t="shared" si="106"/>
        <v>0</v>
      </c>
      <c r="L92" s="28">
        <f t="shared" si="106"/>
        <v>0</v>
      </c>
      <c r="M92" s="28">
        <f t="shared" si="106"/>
        <v>0</v>
      </c>
      <c r="N92" s="28">
        <f t="shared" si="106"/>
        <v>0</v>
      </c>
      <c r="O92" s="28">
        <f t="shared" si="106"/>
        <v>0</v>
      </c>
    </row>
    <row r="93">
      <c r="B93" s="29">
        <v>46290.0</v>
      </c>
      <c r="C93" s="21">
        <v>0.0</v>
      </c>
      <c r="D93" s="21">
        <v>0.0</v>
      </c>
      <c r="E93" s="21">
        <v>0.0</v>
      </c>
      <c r="F93" s="21">
        <v>0.0</v>
      </c>
      <c r="G93" s="21">
        <v>0.0</v>
      </c>
      <c r="H93" s="21">
        <v>0.0</v>
      </c>
      <c r="I93" s="21">
        <v>0.0</v>
      </c>
      <c r="J93" s="21">
        <v>0.0</v>
      </c>
      <c r="K93" s="21">
        <v>0.0</v>
      </c>
      <c r="L93" s="21">
        <v>0.0</v>
      </c>
      <c r="M93" s="21">
        <v>0.0</v>
      </c>
      <c r="N93" s="21">
        <v>0.0</v>
      </c>
      <c r="O93" s="28">
        <f>38</f>
        <v>38</v>
      </c>
    </row>
    <row r="94">
      <c r="B94" s="29">
        <v>46291.0</v>
      </c>
      <c r="C94" s="21">
        <v>0.0</v>
      </c>
      <c r="D94" s="21">
        <v>0.0</v>
      </c>
      <c r="E94" s="21">
        <v>0.0</v>
      </c>
      <c r="F94" s="21">
        <v>0.0</v>
      </c>
      <c r="G94" s="21">
        <v>0.0</v>
      </c>
      <c r="H94" s="21">
        <v>0.0</v>
      </c>
      <c r="I94" s="21">
        <v>0.0</v>
      </c>
      <c r="J94" s="21">
        <v>0.0</v>
      </c>
      <c r="K94" s="21">
        <v>0.0</v>
      </c>
      <c r="L94" s="21">
        <v>0.0</v>
      </c>
      <c r="M94" s="21">
        <v>0.0</v>
      </c>
      <c r="N94" s="21">
        <v>0.0</v>
      </c>
      <c r="O94" s="28">
        <f>18</f>
        <v>18</v>
      </c>
    </row>
    <row r="95">
      <c r="B95" s="29">
        <v>46292.0</v>
      </c>
      <c r="C95" s="21">
        <v>0.0</v>
      </c>
      <c r="D95" s="21">
        <v>0.0</v>
      </c>
      <c r="E95" s="21">
        <v>0.0</v>
      </c>
      <c r="F95" s="21">
        <v>0.0</v>
      </c>
      <c r="G95" s="21">
        <v>0.0</v>
      </c>
      <c r="H95" s="21">
        <v>0.0</v>
      </c>
      <c r="I95" s="21">
        <v>0.0</v>
      </c>
      <c r="J95" s="21">
        <v>0.0</v>
      </c>
      <c r="K95" s="21">
        <v>0.0</v>
      </c>
      <c r="L95" s="21">
        <v>0.0</v>
      </c>
      <c r="M95" s="21">
        <v>0.0</v>
      </c>
      <c r="N95" s="21">
        <v>0.0</v>
      </c>
      <c r="O95" s="28">
        <f>17</f>
        <v>17</v>
      </c>
    </row>
    <row r="96">
      <c r="B96" s="29">
        <v>46292.0</v>
      </c>
      <c r="C96" s="28">
        <f>0</f>
        <v>0</v>
      </c>
      <c r="D96" s="28">
        <f>1.6</f>
        <v>1.6</v>
      </c>
      <c r="E96" s="28">
        <f>0</f>
        <v>0</v>
      </c>
      <c r="F96" s="28">
        <f>4.8</f>
        <v>4.8</v>
      </c>
      <c r="G96" s="28">
        <f t="shared" ref="G96:K96" si="107">0</f>
        <v>0</v>
      </c>
      <c r="H96" s="28">
        <f t="shared" si="107"/>
        <v>0</v>
      </c>
      <c r="I96" s="28">
        <f t="shared" si="107"/>
        <v>0</v>
      </c>
      <c r="J96" s="28">
        <f t="shared" si="107"/>
        <v>0</v>
      </c>
      <c r="K96" s="28">
        <f t="shared" si="107"/>
        <v>0</v>
      </c>
      <c r="L96" s="28">
        <f>1.6</f>
        <v>1.6</v>
      </c>
      <c r="M96" s="28">
        <f>0</f>
        <v>0</v>
      </c>
      <c r="N96" s="28">
        <f>8</f>
        <v>8</v>
      </c>
      <c r="O96" s="28">
        <f>0</f>
        <v>0</v>
      </c>
    </row>
    <row r="97">
      <c r="B97" s="29">
        <v>46293.0</v>
      </c>
      <c r="C97" s="21">
        <v>0.0</v>
      </c>
      <c r="D97" s="21">
        <v>0.0</v>
      </c>
      <c r="E97" s="21">
        <v>0.0</v>
      </c>
      <c r="F97" s="21">
        <v>0.0</v>
      </c>
      <c r="G97" s="21">
        <v>0.0</v>
      </c>
      <c r="H97" s="21">
        <v>0.0</v>
      </c>
      <c r="I97" s="21">
        <v>0.0</v>
      </c>
      <c r="J97" s="21">
        <v>0.0</v>
      </c>
      <c r="K97" s="21">
        <v>0.0</v>
      </c>
      <c r="L97" s="21">
        <v>0.0</v>
      </c>
      <c r="M97" s="21">
        <v>0.0</v>
      </c>
      <c r="N97" s="21">
        <v>0.0</v>
      </c>
      <c r="O97" s="28">
        <f>20</f>
        <v>20</v>
      </c>
    </row>
    <row r="98">
      <c r="B98" s="29">
        <v>46294.0</v>
      </c>
      <c r="C98" s="28">
        <f>2.9</f>
        <v>2.9</v>
      </c>
      <c r="D98" s="28">
        <f>1.45</f>
        <v>1.45</v>
      </c>
      <c r="E98" s="28">
        <f t="shared" ref="E98:F98" si="108">0</f>
        <v>0</v>
      </c>
      <c r="F98" s="28">
        <f t="shared" si="108"/>
        <v>0</v>
      </c>
      <c r="G98" s="28">
        <f>5.8</f>
        <v>5.8</v>
      </c>
      <c r="H98" s="28">
        <f>0</f>
        <v>0</v>
      </c>
      <c r="I98" s="28">
        <f>1.45</f>
        <v>1.45</v>
      </c>
      <c r="J98" s="28">
        <f>2.9</f>
        <v>2.9</v>
      </c>
      <c r="K98" s="28">
        <f t="shared" ref="K98:O98" si="109">0</f>
        <v>0</v>
      </c>
      <c r="L98" s="28">
        <f t="shared" si="109"/>
        <v>0</v>
      </c>
      <c r="M98" s="28">
        <f t="shared" si="109"/>
        <v>0</v>
      </c>
      <c r="N98" s="28">
        <f t="shared" si="109"/>
        <v>0</v>
      </c>
      <c r="O98" s="28">
        <f t="shared" si="109"/>
        <v>0</v>
      </c>
    </row>
    <row r="99">
      <c r="B99" s="29">
        <v>46294.0</v>
      </c>
      <c r="C99" s="21">
        <v>0.0</v>
      </c>
      <c r="D99" s="21">
        <v>0.0</v>
      </c>
      <c r="E99" s="21">
        <v>0.0</v>
      </c>
      <c r="F99" s="21">
        <v>0.0</v>
      </c>
      <c r="G99" s="21">
        <v>0.0</v>
      </c>
      <c r="H99" s="21">
        <v>0.0</v>
      </c>
      <c r="I99" s="21">
        <v>0.0</v>
      </c>
      <c r="J99" s="21">
        <v>0.0</v>
      </c>
      <c r="K99" s="21">
        <v>0.0</v>
      </c>
      <c r="L99" s="21">
        <v>0.0</v>
      </c>
      <c r="M99" s="21">
        <v>0.0</v>
      </c>
      <c r="N99" s="21">
        <v>0.0</v>
      </c>
      <c r="O99" s="28">
        <f>15</f>
        <v>15</v>
      </c>
    </row>
    <row r="100">
      <c r="B100" s="29">
        <v>46296.0</v>
      </c>
      <c r="C100" s="28">
        <f t="shared" ref="C100:K100" si="110">0</f>
        <v>0</v>
      </c>
      <c r="D100" s="28">
        <f t="shared" si="110"/>
        <v>0</v>
      </c>
      <c r="E100" s="28">
        <f t="shared" si="110"/>
        <v>0</v>
      </c>
      <c r="F100" s="28">
        <f t="shared" si="110"/>
        <v>0</v>
      </c>
      <c r="G100" s="28">
        <f t="shared" si="110"/>
        <v>0</v>
      </c>
      <c r="H100" s="28">
        <f t="shared" si="110"/>
        <v>0</v>
      </c>
      <c r="I100" s="28">
        <f t="shared" si="110"/>
        <v>0</v>
      </c>
      <c r="J100" s="28">
        <f t="shared" si="110"/>
        <v>0</v>
      </c>
      <c r="K100" s="28">
        <f t="shared" si="110"/>
        <v>0</v>
      </c>
      <c r="L100" s="28">
        <f>149</f>
        <v>149</v>
      </c>
      <c r="M100" s="28">
        <f t="shared" ref="M100:O100" si="111">0</f>
        <v>0</v>
      </c>
      <c r="N100" s="28">
        <f t="shared" si="111"/>
        <v>0</v>
      </c>
      <c r="O100" s="28">
        <f t="shared" si="111"/>
        <v>0</v>
      </c>
    </row>
    <row r="101">
      <c r="B101" s="29">
        <v>46296.0</v>
      </c>
      <c r="C101" s="28">
        <f t="shared" ref="C101:M101" si="112">0</f>
        <v>0</v>
      </c>
      <c r="D101" s="28">
        <f t="shared" si="112"/>
        <v>0</v>
      </c>
      <c r="E101" s="28">
        <f t="shared" si="112"/>
        <v>0</v>
      </c>
      <c r="F101" s="28">
        <f t="shared" si="112"/>
        <v>0</v>
      </c>
      <c r="G101" s="28">
        <f t="shared" si="112"/>
        <v>0</v>
      </c>
      <c r="H101" s="28">
        <f t="shared" si="112"/>
        <v>0</v>
      </c>
      <c r="I101" s="28">
        <f t="shared" si="112"/>
        <v>0</v>
      </c>
      <c r="J101" s="28">
        <f t="shared" si="112"/>
        <v>0</v>
      </c>
      <c r="K101" s="28">
        <f t="shared" si="112"/>
        <v>0</v>
      </c>
      <c r="L101" s="28">
        <f t="shared" si="112"/>
        <v>0</v>
      </c>
      <c r="M101" s="28">
        <f t="shared" si="112"/>
        <v>0</v>
      </c>
      <c r="N101" s="28">
        <f>19</f>
        <v>19</v>
      </c>
      <c r="O101" s="28">
        <f>0</f>
        <v>0</v>
      </c>
    </row>
    <row r="102">
      <c r="B102" s="29">
        <v>46298.0</v>
      </c>
      <c r="C102" s="21">
        <v>0.0</v>
      </c>
      <c r="D102" s="21">
        <v>0.0</v>
      </c>
      <c r="E102" s="21">
        <v>0.0</v>
      </c>
      <c r="F102" s="21">
        <v>0.0</v>
      </c>
      <c r="G102" s="21">
        <v>0.0</v>
      </c>
      <c r="H102" s="21">
        <v>0.0</v>
      </c>
      <c r="I102" s="21">
        <v>0.0</v>
      </c>
      <c r="J102" s="21">
        <v>0.0</v>
      </c>
      <c r="K102" s="21">
        <v>0.0</v>
      </c>
      <c r="L102" s="21">
        <v>0.0</v>
      </c>
      <c r="M102" s="21">
        <v>0.0</v>
      </c>
      <c r="N102" s="21">
        <v>0.0</v>
      </c>
      <c r="O102" s="28">
        <f>20</f>
        <v>20</v>
      </c>
    </row>
    <row r="103">
      <c r="B103" s="29">
        <v>46298.0</v>
      </c>
      <c r="C103" s="28">
        <f t="shared" ref="C103:C105" si="116">0</f>
        <v>0</v>
      </c>
      <c r="D103" s="28">
        <f t="shared" ref="D103:E103" si="113">1.2</f>
        <v>1.2</v>
      </c>
      <c r="E103" s="28">
        <f t="shared" si="113"/>
        <v>1.2</v>
      </c>
      <c r="F103" s="28">
        <f>2.4</f>
        <v>2.4</v>
      </c>
      <c r="G103" s="28">
        <f t="shared" ref="G103:K103" si="114">0</f>
        <v>0</v>
      </c>
      <c r="H103" s="28">
        <f t="shared" si="114"/>
        <v>0</v>
      </c>
      <c r="I103" s="28">
        <f t="shared" si="114"/>
        <v>0</v>
      </c>
      <c r="J103" s="28">
        <f t="shared" si="114"/>
        <v>0</v>
      </c>
      <c r="K103" s="28">
        <f t="shared" si="114"/>
        <v>0</v>
      </c>
      <c r="L103" s="28">
        <f t="shared" ref="L103:N103" si="115">2.4</f>
        <v>2.4</v>
      </c>
      <c r="M103" s="28">
        <f t="shared" si="115"/>
        <v>2.4</v>
      </c>
      <c r="N103" s="28">
        <f t="shared" si="115"/>
        <v>2.4</v>
      </c>
      <c r="O103" s="28">
        <f>0</f>
        <v>0</v>
      </c>
    </row>
    <row r="104">
      <c r="B104" s="29">
        <v>46302.0</v>
      </c>
      <c r="C104" s="28">
        <f t="shared" si="116"/>
        <v>0</v>
      </c>
      <c r="D104" s="28">
        <f t="shared" ref="D104:K104" si="117">0</f>
        <v>0</v>
      </c>
      <c r="E104" s="28">
        <f t="shared" si="117"/>
        <v>0</v>
      </c>
      <c r="F104" s="28">
        <f t="shared" si="117"/>
        <v>0</v>
      </c>
      <c r="G104" s="28">
        <f t="shared" si="117"/>
        <v>0</v>
      </c>
      <c r="H104" s="28">
        <f t="shared" si="117"/>
        <v>0</v>
      </c>
      <c r="I104" s="28">
        <f t="shared" si="117"/>
        <v>0</v>
      </c>
      <c r="J104" s="28">
        <f t="shared" si="117"/>
        <v>0</v>
      </c>
      <c r="K104" s="28">
        <f t="shared" si="117"/>
        <v>0</v>
      </c>
      <c r="L104" s="28">
        <f>116</f>
        <v>116</v>
      </c>
      <c r="M104" s="28">
        <f t="shared" ref="M104:O104" si="118">0</f>
        <v>0</v>
      </c>
      <c r="N104" s="28">
        <f t="shared" si="118"/>
        <v>0</v>
      </c>
      <c r="O104" s="28">
        <f t="shared" si="118"/>
        <v>0</v>
      </c>
    </row>
    <row r="105">
      <c r="B105" s="29">
        <v>46302.0</v>
      </c>
      <c r="C105" s="28">
        <f t="shared" si="116"/>
        <v>0</v>
      </c>
      <c r="D105" s="28">
        <f t="shared" ref="D105:K105" si="119">0</f>
        <v>0</v>
      </c>
      <c r="E105" s="28">
        <f t="shared" si="119"/>
        <v>0</v>
      </c>
      <c r="F105" s="28">
        <f t="shared" si="119"/>
        <v>0</v>
      </c>
      <c r="G105" s="28">
        <f t="shared" si="119"/>
        <v>0</v>
      </c>
      <c r="H105" s="28">
        <f t="shared" si="119"/>
        <v>0</v>
      </c>
      <c r="I105" s="28">
        <f t="shared" si="119"/>
        <v>0</v>
      </c>
      <c r="J105" s="28">
        <f t="shared" si="119"/>
        <v>0</v>
      </c>
      <c r="K105" s="28">
        <f t="shared" si="119"/>
        <v>0</v>
      </c>
      <c r="L105" s="28">
        <f>21</f>
        <v>21</v>
      </c>
      <c r="M105" s="28">
        <f t="shared" ref="M105:O105" si="120">0</f>
        <v>0</v>
      </c>
      <c r="N105" s="28">
        <f t="shared" si="120"/>
        <v>0</v>
      </c>
      <c r="O105" s="28">
        <f t="shared" si="120"/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B1" s="30" t="s">
        <v>12</v>
      </c>
      <c r="C1" s="30" t="s">
        <v>8</v>
      </c>
      <c r="D1" s="30" t="s">
        <v>15</v>
      </c>
      <c r="E1" s="30" t="s">
        <v>19</v>
      </c>
      <c r="F1" s="30" t="s">
        <v>23</v>
      </c>
      <c r="G1" s="30" t="s">
        <v>13</v>
      </c>
      <c r="H1" s="30" t="s">
        <v>18</v>
      </c>
      <c r="I1" s="30" t="s">
        <v>11</v>
      </c>
      <c r="J1" s="30" t="s">
        <v>30</v>
      </c>
      <c r="K1" s="30" t="s">
        <v>59</v>
      </c>
      <c r="L1" s="30" t="s">
        <v>16</v>
      </c>
      <c r="M1" s="30" t="s">
        <v>14</v>
      </c>
      <c r="N1" s="30" t="s">
        <v>22</v>
      </c>
      <c r="O1" s="30" t="s">
        <v>24</v>
      </c>
    </row>
    <row r="2">
      <c r="B2" s="29">
        <v>46205.0</v>
      </c>
      <c r="C2" s="28">
        <f>100</f>
        <v>100</v>
      </c>
      <c r="D2" s="28">
        <f t="shared" ref="D2:O2" si="1">0</f>
        <v>0</v>
      </c>
      <c r="E2" s="28">
        <f t="shared" si="1"/>
        <v>0</v>
      </c>
      <c r="F2" s="28">
        <f t="shared" si="1"/>
        <v>0</v>
      </c>
      <c r="G2" s="28">
        <f t="shared" si="1"/>
        <v>0</v>
      </c>
      <c r="H2" s="28">
        <f t="shared" si="1"/>
        <v>0</v>
      </c>
      <c r="I2" s="28">
        <f t="shared" si="1"/>
        <v>0</v>
      </c>
      <c r="J2" s="28">
        <f t="shared" si="1"/>
        <v>0</v>
      </c>
      <c r="K2" s="28">
        <f t="shared" si="1"/>
        <v>0</v>
      </c>
      <c r="L2" s="28">
        <f t="shared" si="1"/>
        <v>0</v>
      </c>
      <c r="M2" s="28">
        <f t="shared" si="1"/>
        <v>0</v>
      </c>
      <c r="N2" s="28">
        <f t="shared" si="1"/>
        <v>0</v>
      </c>
      <c r="O2" s="28">
        <f t="shared" si="1"/>
        <v>0</v>
      </c>
    </row>
    <row r="3">
      <c r="B3" s="29">
        <v>46205.0</v>
      </c>
      <c r="C3" s="28">
        <f>400</f>
        <v>400</v>
      </c>
      <c r="D3" s="28">
        <f t="shared" ref="D3:O3" si="2">0</f>
        <v>0</v>
      </c>
      <c r="E3" s="28">
        <f t="shared" si="2"/>
        <v>0</v>
      </c>
      <c r="F3" s="28">
        <f t="shared" si="2"/>
        <v>0</v>
      </c>
      <c r="G3" s="28">
        <f t="shared" si="2"/>
        <v>0</v>
      </c>
      <c r="H3" s="28">
        <f t="shared" si="2"/>
        <v>0</v>
      </c>
      <c r="I3" s="28">
        <f t="shared" si="2"/>
        <v>0</v>
      </c>
      <c r="J3" s="28">
        <f t="shared" si="2"/>
        <v>0</v>
      </c>
      <c r="K3" s="28">
        <f t="shared" si="2"/>
        <v>0</v>
      </c>
      <c r="L3" s="28">
        <f t="shared" si="2"/>
        <v>0</v>
      </c>
      <c r="M3" s="28">
        <f t="shared" si="2"/>
        <v>0</v>
      </c>
      <c r="N3" s="28">
        <f t="shared" si="2"/>
        <v>0</v>
      </c>
      <c r="O3" s="28">
        <f t="shared" si="2"/>
        <v>0</v>
      </c>
    </row>
    <row r="4">
      <c r="B4" s="29">
        <v>46209.0</v>
      </c>
      <c r="C4" s="28">
        <f t="shared" ref="C4:F4" si="3">0</f>
        <v>0</v>
      </c>
      <c r="D4" s="28">
        <f t="shared" si="3"/>
        <v>0</v>
      </c>
      <c r="E4" s="28">
        <f t="shared" si="3"/>
        <v>0</v>
      </c>
      <c r="F4" s="28">
        <f t="shared" si="3"/>
        <v>0</v>
      </c>
      <c r="G4" s="28">
        <f>63</f>
        <v>63</v>
      </c>
      <c r="H4" s="28">
        <f>0</f>
        <v>0</v>
      </c>
      <c r="I4" s="28">
        <f>7</f>
        <v>7</v>
      </c>
      <c r="J4" s="28">
        <f t="shared" ref="J4:O4" si="4">0</f>
        <v>0</v>
      </c>
      <c r="K4" s="28">
        <f t="shared" si="4"/>
        <v>0</v>
      </c>
      <c r="L4" s="28">
        <f t="shared" si="4"/>
        <v>0</v>
      </c>
      <c r="M4" s="28">
        <f t="shared" si="4"/>
        <v>0</v>
      </c>
      <c r="N4" s="28">
        <f t="shared" si="4"/>
        <v>0</v>
      </c>
      <c r="O4" s="28">
        <f t="shared" si="4"/>
        <v>0</v>
      </c>
    </row>
    <row r="5">
      <c r="B5" s="29">
        <v>46209.0</v>
      </c>
      <c r="C5" s="28">
        <f t="shared" ref="C5:H5" si="5">0</f>
        <v>0</v>
      </c>
      <c r="D5" s="28">
        <f t="shared" si="5"/>
        <v>0</v>
      </c>
      <c r="E5" s="28">
        <f t="shared" si="5"/>
        <v>0</v>
      </c>
      <c r="F5" s="28">
        <f t="shared" si="5"/>
        <v>0</v>
      </c>
      <c r="G5" s="28">
        <f t="shared" si="5"/>
        <v>0</v>
      </c>
      <c r="H5" s="28">
        <f t="shared" si="5"/>
        <v>0</v>
      </c>
      <c r="I5" s="28">
        <f>90</f>
        <v>90</v>
      </c>
      <c r="J5" s="28">
        <f t="shared" ref="J5:L5" si="6">0</f>
        <v>0</v>
      </c>
      <c r="K5" s="28">
        <f t="shared" si="6"/>
        <v>0</v>
      </c>
      <c r="L5" s="28">
        <f t="shared" si="6"/>
        <v>0</v>
      </c>
      <c r="M5" s="28">
        <f>10</f>
        <v>10</v>
      </c>
      <c r="N5" s="28">
        <f t="shared" ref="N5:O5" si="7">0</f>
        <v>0</v>
      </c>
      <c r="O5" s="28">
        <f t="shared" si="7"/>
        <v>0</v>
      </c>
    </row>
    <row r="6">
      <c r="B6" s="29">
        <v>46209.0</v>
      </c>
      <c r="C6" s="21">
        <v>0.0</v>
      </c>
      <c r="D6" s="21">
        <v>0.0</v>
      </c>
      <c r="E6" s="21">
        <v>0.0</v>
      </c>
      <c r="F6" s="21">
        <v>0.0</v>
      </c>
      <c r="G6" s="21">
        <v>0.0</v>
      </c>
      <c r="H6" s="21">
        <v>0.0</v>
      </c>
      <c r="I6" s="28">
        <f>40</f>
        <v>40</v>
      </c>
      <c r="J6" s="21">
        <v>0.0</v>
      </c>
      <c r="K6" s="21">
        <v>0.0</v>
      </c>
      <c r="L6" s="21">
        <v>0.0</v>
      </c>
      <c r="M6" s="21">
        <v>0.0</v>
      </c>
      <c r="N6" s="21">
        <v>0.0</v>
      </c>
      <c r="O6" s="21">
        <v>0.0</v>
      </c>
    </row>
    <row r="7">
      <c r="B7" s="29">
        <v>46216.0</v>
      </c>
      <c r="C7" s="28">
        <f t="shared" ref="C7:L7" si="8">0</f>
        <v>0</v>
      </c>
      <c r="D7" s="28">
        <f t="shared" si="8"/>
        <v>0</v>
      </c>
      <c r="E7" s="28">
        <f t="shared" si="8"/>
        <v>0</v>
      </c>
      <c r="F7" s="28">
        <f t="shared" si="8"/>
        <v>0</v>
      </c>
      <c r="G7" s="28">
        <f t="shared" si="8"/>
        <v>0</v>
      </c>
      <c r="H7" s="28">
        <f t="shared" si="8"/>
        <v>0</v>
      </c>
      <c r="I7" s="28">
        <f t="shared" si="8"/>
        <v>0</v>
      </c>
      <c r="J7" s="28">
        <f t="shared" si="8"/>
        <v>0</v>
      </c>
      <c r="K7" s="28">
        <f t="shared" si="8"/>
        <v>0</v>
      </c>
      <c r="L7" s="28">
        <f t="shared" si="8"/>
        <v>0</v>
      </c>
      <c r="M7" s="28">
        <f>100</f>
        <v>100</v>
      </c>
      <c r="N7" s="28">
        <f t="shared" ref="N7:O7" si="9">0</f>
        <v>0</v>
      </c>
      <c r="O7" s="28">
        <f t="shared" si="9"/>
        <v>0</v>
      </c>
    </row>
    <row r="8">
      <c r="B8" s="29">
        <v>46216.0</v>
      </c>
      <c r="C8" s="28">
        <f>100</f>
        <v>100</v>
      </c>
      <c r="D8" s="28">
        <f t="shared" ref="D8:O8" si="10">0</f>
        <v>0</v>
      </c>
      <c r="E8" s="28">
        <f t="shared" si="10"/>
        <v>0</v>
      </c>
      <c r="F8" s="28">
        <f t="shared" si="10"/>
        <v>0</v>
      </c>
      <c r="G8" s="28">
        <f t="shared" si="10"/>
        <v>0</v>
      </c>
      <c r="H8" s="28">
        <f t="shared" si="10"/>
        <v>0</v>
      </c>
      <c r="I8" s="28">
        <f t="shared" si="10"/>
        <v>0</v>
      </c>
      <c r="J8" s="28">
        <f t="shared" si="10"/>
        <v>0</v>
      </c>
      <c r="K8" s="28">
        <f t="shared" si="10"/>
        <v>0</v>
      </c>
      <c r="L8" s="28">
        <f t="shared" si="10"/>
        <v>0</v>
      </c>
      <c r="M8" s="28">
        <f t="shared" si="10"/>
        <v>0</v>
      </c>
      <c r="N8" s="28">
        <f t="shared" si="10"/>
        <v>0</v>
      </c>
      <c r="O8" s="28">
        <f t="shared" si="10"/>
        <v>0</v>
      </c>
    </row>
    <row r="9">
      <c r="B9" s="29">
        <v>46216.0</v>
      </c>
      <c r="C9" s="28">
        <f t="shared" ref="C9:G9" si="11">0</f>
        <v>0</v>
      </c>
      <c r="D9" s="28">
        <f t="shared" si="11"/>
        <v>0</v>
      </c>
      <c r="E9" s="28">
        <f t="shared" si="11"/>
        <v>0</v>
      </c>
      <c r="F9" s="28">
        <f t="shared" si="11"/>
        <v>0</v>
      </c>
      <c r="G9" s="28">
        <f t="shared" si="11"/>
        <v>0</v>
      </c>
      <c r="H9" s="28">
        <f>40</f>
        <v>40</v>
      </c>
      <c r="I9" s="28">
        <f t="shared" ref="I9:O9" si="12">0</f>
        <v>0</v>
      </c>
      <c r="J9" s="28">
        <f t="shared" si="12"/>
        <v>0</v>
      </c>
      <c r="K9" s="28">
        <f t="shared" si="12"/>
        <v>0</v>
      </c>
      <c r="L9" s="28">
        <f t="shared" si="12"/>
        <v>0</v>
      </c>
      <c r="M9" s="28">
        <f t="shared" si="12"/>
        <v>0</v>
      </c>
      <c r="N9" s="28">
        <f t="shared" si="12"/>
        <v>0</v>
      </c>
      <c r="O9" s="28">
        <f t="shared" si="12"/>
        <v>0</v>
      </c>
    </row>
    <row r="10">
      <c r="B10" s="29">
        <v>46223.0</v>
      </c>
      <c r="C10" s="28">
        <f t="shared" ref="C10:L10" si="13">0</f>
        <v>0</v>
      </c>
      <c r="D10" s="28">
        <f t="shared" si="13"/>
        <v>0</v>
      </c>
      <c r="E10" s="28">
        <f t="shared" si="13"/>
        <v>0</v>
      </c>
      <c r="F10" s="28">
        <f t="shared" si="13"/>
        <v>0</v>
      </c>
      <c r="G10" s="28">
        <f t="shared" si="13"/>
        <v>0</v>
      </c>
      <c r="H10" s="28">
        <f t="shared" si="13"/>
        <v>0</v>
      </c>
      <c r="I10" s="28">
        <f t="shared" si="13"/>
        <v>0</v>
      </c>
      <c r="J10" s="28">
        <f t="shared" si="13"/>
        <v>0</v>
      </c>
      <c r="K10" s="28">
        <f t="shared" si="13"/>
        <v>0</v>
      </c>
      <c r="L10" s="28">
        <f t="shared" si="13"/>
        <v>0</v>
      </c>
      <c r="M10" s="28">
        <f>60</f>
        <v>60</v>
      </c>
      <c r="N10" s="28">
        <f t="shared" ref="N10:O10" si="14">0</f>
        <v>0</v>
      </c>
      <c r="O10" s="28">
        <f t="shared" si="14"/>
        <v>0</v>
      </c>
    </row>
    <row r="11">
      <c r="B11" s="29">
        <v>46223.0</v>
      </c>
      <c r="C11" s="21">
        <v>0.0</v>
      </c>
      <c r="D11" s="21">
        <v>0.0</v>
      </c>
      <c r="E11" s="21">
        <v>0.0</v>
      </c>
      <c r="F11" s="21">
        <v>0.0</v>
      </c>
      <c r="G11" s="21">
        <v>0.0</v>
      </c>
      <c r="H11" s="21">
        <v>0.0</v>
      </c>
      <c r="I11" s="28">
        <f>50</f>
        <v>50</v>
      </c>
      <c r="J11" s="21">
        <v>0.0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</row>
    <row r="12">
      <c r="B12" s="29">
        <v>46226.0</v>
      </c>
      <c r="C12" s="28">
        <f>150</f>
        <v>150</v>
      </c>
      <c r="D12" s="28">
        <f t="shared" ref="D12:O12" si="15">0</f>
        <v>0</v>
      </c>
      <c r="E12" s="28">
        <f t="shared" si="15"/>
        <v>0</v>
      </c>
      <c r="F12" s="28">
        <f t="shared" si="15"/>
        <v>0</v>
      </c>
      <c r="G12" s="28">
        <f t="shared" si="15"/>
        <v>0</v>
      </c>
      <c r="H12" s="28">
        <f t="shared" si="15"/>
        <v>0</v>
      </c>
      <c r="I12" s="28">
        <f t="shared" si="15"/>
        <v>0</v>
      </c>
      <c r="J12" s="28">
        <f t="shared" si="15"/>
        <v>0</v>
      </c>
      <c r="K12" s="28">
        <f t="shared" si="15"/>
        <v>0</v>
      </c>
      <c r="L12" s="28">
        <f t="shared" si="15"/>
        <v>0</v>
      </c>
      <c r="M12" s="28">
        <f t="shared" si="15"/>
        <v>0</v>
      </c>
      <c r="N12" s="28">
        <f t="shared" si="15"/>
        <v>0</v>
      </c>
      <c r="O12" s="28">
        <f t="shared" si="15"/>
        <v>0</v>
      </c>
    </row>
    <row r="13">
      <c r="B13" s="29">
        <v>46226.0</v>
      </c>
      <c r="C13" s="28">
        <f>60</f>
        <v>60</v>
      </c>
      <c r="D13" s="28">
        <f t="shared" ref="D13:H13" si="16">0</f>
        <v>0</v>
      </c>
      <c r="E13" s="28">
        <f t="shared" si="16"/>
        <v>0</v>
      </c>
      <c r="F13" s="28">
        <f t="shared" si="16"/>
        <v>0</v>
      </c>
      <c r="G13" s="28">
        <f t="shared" si="16"/>
        <v>0</v>
      </c>
      <c r="H13" s="28">
        <f t="shared" si="16"/>
        <v>0</v>
      </c>
      <c r="I13" s="28">
        <f>240</f>
        <v>240</v>
      </c>
      <c r="J13" s="28">
        <f t="shared" ref="J13:O13" si="17">0</f>
        <v>0</v>
      </c>
      <c r="K13" s="28">
        <f t="shared" si="17"/>
        <v>0</v>
      </c>
      <c r="L13" s="28">
        <f t="shared" si="17"/>
        <v>0</v>
      </c>
      <c r="M13" s="28">
        <f t="shared" si="17"/>
        <v>0</v>
      </c>
      <c r="N13" s="28">
        <f t="shared" si="17"/>
        <v>0</v>
      </c>
      <c r="O13" s="28">
        <f t="shared" si="17"/>
        <v>0</v>
      </c>
    </row>
    <row r="14">
      <c r="B14" s="29">
        <v>46233.0</v>
      </c>
      <c r="C14" s="28">
        <f>800</f>
        <v>800</v>
      </c>
      <c r="D14" s="28">
        <f t="shared" ref="D14:O14" si="18">0</f>
        <v>0</v>
      </c>
      <c r="E14" s="28">
        <f t="shared" si="18"/>
        <v>0</v>
      </c>
      <c r="F14" s="28">
        <f t="shared" si="18"/>
        <v>0</v>
      </c>
      <c r="G14" s="28">
        <f t="shared" si="18"/>
        <v>0</v>
      </c>
      <c r="H14" s="28">
        <f t="shared" si="18"/>
        <v>0</v>
      </c>
      <c r="I14" s="28">
        <f t="shared" si="18"/>
        <v>0</v>
      </c>
      <c r="J14" s="28">
        <f t="shared" si="18"/>
        <v>0</v>
      </c>
      <c r="K14" s="28">
        <f t="shared" si="18"/>
        <v>0</v>
      </c>
      <c r="L14" s="28">
        <f t="shared" si="18"/>
        <v>0</v>
      </c>
      <c r="M14" s="28">
        <f t="shared" si="18"/>
        <v>0</v>
      </c>
      <c r="N14" s="28">
        <f t="shared" si="18"/>
        <v>0</v>
      </c>
      <c r="O14" s="28">
        <f t="shared" si="18"/>
        <v>0</v>
      </c>
    </row>
    <row r="15">
      <c r="B15" s="29">
        <v>46233.0</v>
      </c>
      <c r="C15" s="21">
        <v>0.0</v>
      </c>
      <c r="D15" s="21">
        <v>0.0</v>
      </c>
      <c r="E15" s="21">
        <v>0.0</v>
      </c>
      <c r="F15" s="21">
        <v>0.0</v>
      </c>
      <c r="G15" s="21">
        <v>0.0</v>
      </c>
      <c r="H15" s="21">
        <v>0.0</v>
      </c>
      <c r="I15" s="28">
        <f>200</f>
        <v>200</v>
      </c>
      <c r="J15" s="21">
        <v>0.0</v>
      </c>
      <c r="K15" s="21">
        <v>0.0</v>
      </c>
      <c r="L15" s="21">
        <v>0.0</v>
      </c>
      <c r="M15" s="21">
        <v>0.0</v>
      </c>
      <c r="N15" s="21">
        <v>0.0</v>
      </c>
      <c r="O15" s="21">
        <v>0.0</v>
      </c>
    </row>
    <row r="16">
      <c r="B16" s="29">
        <v>46237.0</v>
      </c>
      <c r="C16" s="28">
        <f>180</f>
        <v>180</v>
      </c>
      <c r="D16" s="28">
        <f t="shared" ref="D16:O16" si="19">0</f>
        <v>0</v>
      </c>
      <c r="E16" s="28">
        <f t="shared" si="19"/>
        <v>0</v>
      </c>
      <c r="F16" s="28">
        <f t="shared" si="19"/>
        <v>0</v>
      </c>
      <c r="G16" s="28">
        <f t="shared" si="19"/>
        <v>0</v>
      </c>
      <c r="H16" s="28">
        <f t="shared" si="19"/>
        <v>0</v>
      </c>
      <c r="I16" s="28">
        <f t="shared" si="19"/>
        <v>0</v>
      </c>
      <c r="J16" s="28">
        <f t="shared" si="19"/>
        <v>0</v>
      </c>
      <c r="K16" s="28">
        <f t="shared" si="19"/>
        <v>0</v>
      </c>
      <c r="L16" s="28">
        <f t="shared" si="19"/>
        <v>0</v>
      </c>
      <c r="M16" s="28">
        <f t="shared" si="19"/>
        <v>0</v>
      </c>
      <c r="N16" s="28">
        <f t="shared" si="19"/>
        <v>0</v>
      </c>
      <c r="O16" s="28">
        <f t="shared" si="19"/>
        <v>0</v>
      </c>
    </row>
    <row r="17">
      <c r="B17" s="29">
        <v>46237.0</v>
      </c>
      <c r="C17" s="28">
        <f t="shared" ref="C17:N17" si="20">0</f>
        <v>0</v>
      </c>
      <c r="D17" s="28">
        <f t="shared" si="20"/>
        <v>0</v>
      </c>
      <c r="E17" s="28">
        <f t="shared" si="20"/>
        <v>0</v>
      </c>
      <c r="F17" s="28">
        <f t="shared" si="20"/>
        <v>0</v>
      </c>
      <c r="G17" s="28">
        <f t="shared" si="20"/>
        <v>0</v>
      </c>
      <c r="H17" s="28">
        <f t="shared" si="20"/>
        <v>0</v>
      </c>
      <c r="I17" s="28">
        <f t="shared" si="20"/>
        <v>0</v>
      </c>
      <c r="J17" s="28">
        <f t="shared" si="20"/>
        <v>0</v>
      </c>
      <c r="K17" s="28">
        <f t="shared" si="20"/>
        <v>0</v>
      </c>
      <c r="L17" s="28">
        <f t="shared" si="20"/>
        <v>0</v>
      </c>
      <c r="M17" s="28">
        <f t="shared" si="20"/>
        <v>0</v>
      </c>
      <c r="N17" s="28">
        <f t="shared" si="20"/>
        <v>0</v>
      </c>
      <c r="O17" s="28">
        <f>650</f>
        <v>650</v>
      </c>
    </row>
    <row r="18">
      <c r="B18" s="29">
        <v>46239.0</v>
      </c>
      <c r="C18" s="28">
        <f>135</f>
        <v>135</v>
      </c>
      <c r="D18" s="28">
        <f t="shared" ref="D18:L18" si="21">0</f>
        <v>0</v>
      </c>
      <c r="E18" s="28">
        <f t="shared" si="21"/>
        <v>0</v>
      </c>
      <c r="F18" s="28">
        <f t="shared" si="21"/>
        <v>0</v>
      </c>
      <c r="G18" s="28">
        <f t="shared" si="21"/>
        <v>0</v>
      </c>
      <c r="H18" s="28">
        <f t="shared" si="21"/>
        <v>0</v>
      </c>
      <c r="I18" s="28">
        <f t="shared" si="21"/>
        <v>0</v>
      </c>
      <c r="J18" s="28">
        <f t="shared" si="21"/>
        <v>0</v>
      </c>
      <c r="K18" s="28">
        <f t="shared" si="21"/>
        <v>0</v>
      </c>
      <c r="L18" s="28">
        <f t="shared" si="21"/>
        <v>0</v>
      </c>
      <c r="M18" s="28">
        <f>15</f>
        <v>15</v>
      </c>
      <c r="N18" s="28">
        <f t="shared" ref="N18:O18" si="22">0</f>
        <v>0</v>
      </c>
      <c r="O18" s="28">
        <f t="shared" si="22"/>
        <v>0</v>
      </c>
    </row>
    <row r="19">
      <c r="B19" s="29">
        <v>46244.0</v>
      </c>
      <c r="C19" s="28">
        <f>50</f>
        <v>50</v>
      </c>
      <c r="D19" s="28">
        <f t="shared" ref="D19:O19" si="23">0</f>
        <v>0</v>
      </c>
      <c r="E19" s="28">
        <f t="shared" si="23"/>
        <v>0</v>
      </c>
      <c r="F19" s="28">
        <f t="shared" si="23"/>
        <v>0</v>
      </c>
      <c r="G19" s="28">
        <f t="shared" si="23"/>
        <v>0</v>
      </c>
      <c r="H19" s="28">
        <f t="shared" si="23"/>
        <v>0</v>
      </c>
      <c r="I19" s="28">
        <f t="shared" si="23"/>
        <v>0</v>
      </c>
      <c r="J19" s="28">
        <f t="shared" si="23"/>
        <v>0</v>
      </c>
      <c r="K19" s="28">
        <f t="shared" si="23"/>
        <v>0</v>
      </c>
      <c r="L19" s="28">
        <f t="shared" si="23"/>
        <v>0</v>
      </c>
      <c r="M19" s="28">
        <f t="shared" si="23"/>
        <v>0</v>
      </c>
      <c r="N19" s="28">
        <f t="shared" si="23"/>
        <v>0</v>
      </c>
      <c r="O19" s="28">
        <f t="shared" si="23"/>
        <v>0</v>
      </c>
    </row>
    <row r="20">
      <c r="B20" s="29">
        <v>46251.0</v>
      </c>
      <c r="C20" s="28">
        <f>9</f>
        <v>9</v>
      </c>
      <c r="D20" s="28">
        <f t="shared" ref="D20:F20" si="24">0</f>
        <v>0</v>
      </c>
      <c r="E20" s="28">
        <f t="shared" si="24"/>
        <v>0</v>
      </c>
      <c r="F20" s="28">
        <f t="shared" si="24"/>
        <v>0</v>
      </c>
      <c r="G20" s="28">
        <f>18</f>
        <v>18</v>
      </c>
      <c r="H20" s="28">
        <f t="shared" ref="H20:N20" si="25">0</f>
        <v>0</v>
      </c>
      <c r="I20" s="28">
        <f t="shared" si="25"/>
        <v>0</v>
      </c>
      <c r="J20" s="28">
        <f t="shared" si="25"/>
        <v>0</v>
      </c>
      <c r="K20" s="28">
        <f t="shared" si="25"/>
        <v>0</v>
      </c>
      <c r="L20" s="28">
        <f t="shared" si="25"/>
        <v>0</v>
      </c>
      <c r="M20" s="28">
        <f t="shared" si="25"/>
        <v>0</v>
      </c>
      <c r="N20" s="28">
        <f t="shared" si="25"/>
        <v>0</v>
      </c>
      <c r="O20" s="28">
        <f>3</f>
        <v>3</v>
      </c>
    </row>
    <row r="21">
      <c r="B21" s="29">
        <v>46251.0</v>
      </c>
      <c r="C21" s="28">
        <f t="shared" ref="C21:H21" si="26">0</f>
        <v>0</v>
      </c>
      <c r="D21" s="28">
        <f t="shared" si="26"/>
        <v>0</v>
      </c>
      <c r="E21" s="28">
        <f t="shared" si="26"/>
        <v>0</v>
      </c>
      <c r="F21" s="28">
        <f t="shared" si="26"/>
        <v>0</v>
      </c>
      <c r="G21" s="28">
        <f t="shared" si="26"/>
        <v>0</v>
      </c>
      <c r="H21" s="28">
        <f t="shared" si="26"/>
        <v>0</v>
      </c>
      <c r="I21" s="28">
        <f>30</f>
        <v>30</v>
      </c>
      <c r="J21" s="28">
        <f>0</f>
        <v>0</v>
      </c>
      <c r="K21" s="28">
        <f>10</f>
        <v>10</v>
      </c>
      <c r="L21" s="28">
        <f t="shared" ref="L21:M21" si="27">0</f>
        <v>0</v>
      </c>
      <c r="M21" s="28">
        <f t="shared" si="27"/>
        <v>0</v>
      </c>
      <c r="N21" s="28">
        <f>60</f>
        <v>60</v>
      </c>
      <c r="O21" s="28">
        <f>0</f>
        <v>0</v>
      </c>
    </row>
    <row r="22">
      <c r="B22" s="29">
        <v>46251.0</v>
      </c>
      <c r="C22" s="28">
        <f t="shared" ref="C22:G22" si="28">0</f>
        <v>0</v>
      </c>
      <c r="D22" s="28">
        <f t="shared" si="28"/>
        <v>0</v>
      </c>
      <c r="E22" s="28">
        <f t="shared" si="28"/>
        <v>0</v>
      </c>
      <c r="F22" s="28">
        <f t="shared" si="28"/>
        <v>0</v>
      </c>
      <c r="G22" s="28">
        <f t="shared" si="28"/>
        <v>0</v>
      </c>
      <c r="H22" s="28">
        <f>80</f>
        <v>80</v>
      </c>
      <c r="I22" s="28">
        <f t="shared" ref="I22:O22" si="29">0</f>
        <v>0</v>
      </c>
      <c r="J22" s="28">
        <f t="shared" si="29"/>
        <v>0</v>
      </c>
      <c r="K22" s="28">
        <f t="shared" si="29"/>
        <v>0</v>
      </c>
      <c r="L22" s="28">
        <f t="shared" si="29"/>
        <v>0</v>
      </c>
      <c r="M22" s="28">
        <f t="shared" si="29"/>
        <v>0</v>
      </c>
      <c r="N22" s="28">
        <f t="shared" si="29"/>
        <v>0</v>
      </c>
      <c r="O22" s="28">
        <f t="shared" si="29"/>
        <v>0</v>
      </c>
    </row>
    <row r="23">
      <c r="B23" s="29">
        <v>46254.0</v>
      </c>
      <c r="C23" s="28">
        <f t="shared" ref="C23:G23" si="30">0</f>
        <v>0</v>
      </c>
      <c r="D23" s="28">
        <f t="shared" si="30"/>
        <v>0</v>
      </c>
      <c r="E23" s="28">
        <f t="shared" si="30"/>
        <v>0</v>
      </c>
      <c r="F23" s="28">
        <f t="shared" si="30"/>
        <v>0</v>
      </c>
      <c r="G23" s="28">
        <f t="shared" si="30"/>
        <v>0</v>
      </c>
      <c r="H23" s="28">
        <f>200</f>
        <v>200</v>
      </c>
      <c r="I23" s="28">
        <f t="shared" ref="I23:O23" si="31">0</f>
        <v>0</v>
      </c>
      <c r="J23" s="28">
        <f t="shared" si="31"/>
        <v>0</v>
      </c>
      <c r="K23" s="28">
        <f t="shared" si="31"/>
        <v>0</v>
      </c>
      <c r="L23" s="28">
        <f t="shared" si="31"/>
        <v>0</v>
      </c>
      <c r="M23" s="28">
        <f t="shared" si="31"/>
        <v>0</v>
      </c>
      <c r="N23" s="28">
        <f t="shared" si="31"/>
        <v>0</v>
      </c>
      <c r="O23" s="28">
        <f t="shared" si="31"/>
        <v>0</v>
      </c>
    </row>
    <row r="24">
      <c r="B24" s="29">
        <v>46254.0</v>
      </c>
      <c r="C24" s="28">
        <f>100</f>
        <v>100</v>
      </c>
      <c r="D24" s="28">
        <f t="shared" ref="D24:O24" si="32">0</f>
        <v>0</v>
      </c>
      <c r="E24" s="28">
        <f t="shared" si="32"/>
        <v>0</v>
      </c>
      <c r="F24" s="28">
        <f t="shared" si="32"/>
        <v>0</v>
      </c>
      <c r="G24" s="28">
        <f t="shared" si="32"/>
        <v>0</v>
      </c>
      <c r="H24" s="28">
        <f t="shared" si="32"/>
        <v>0</v>
      </c>
      <c r="I24" s="28">
        <f t="shared" si="32"/>
        <v>0</v>
      </c>
      <c r="J24" s="28">
        <f t="shared" si="32"/>
        <v>0</v>
      </c>
      <c r="K24" s="28">
        <f t="shared" si="32"/>
        <v>0</v>
      </c>
      <c r="L24" s="28">
        <f t="shared" si="32"/>
        <v>0</v>
      </c>
      <c r="M24" s="28">
        <f t="shared" si="32"/>
        <v>0</v>
      </c>
      <c r="N24" s="28">
        <f t="shared" si="32"/>
        <v>0</v>
      </c>
      <c r="O24" s="28">
        <f t="shared" si="32"/>
        <v>0</v>
      </c>
    </row>
    <row r="25">
      <c r="B25" s="29">
        <v>46265.0</v>
      </c>
      <c r="C25" s="28">
        <f>126</f>
        <v>126</v>
      </c>
      <c r="D25" s="28">
        <f t="shared" ref="D25:D27" si="34">0</f>
        <v>0</v>
      </c>
      <c r="E25" s="28">
        <f>14</f>
        <v>14</v>
      </c>
      <c r="F25" s="28">
        <f t="shared" ref="F25:O25" si="33">0</f>
        <v>0</v>
      </c>
      <c r="G25" s="28">
        <f t="shared" si="33"/>
        <v>0</v>
      </c>
      <c r="H25" s="28">
        <f t="shared" si="33"/>
        <v>0</v>
      </c>
      <c r="I25" s="28">
        <f t="shared" si="33"/>
        <v>0</v>
      </c>
      <c r="J25" s="28">
        <f t="shared" si="33"/>
        <v>0</v>
      </c>
      <c r="K25" s="28">
        <f t="shared" si="33"/>
        <v>0</v>
      </c>
      <c r="L25" s="28">
        <f t="shared" si="33"/>
        <v>0</v>
      </c>
      <c r="M25" s="28">
        <f t="shared" si="33"/>
        <v>0</v>
      </c>
      <c r="N25" s="28">
        <f t="shared" si="33"/>
        <v>0</v>
      </c>
      <c r="O25" s="28">
        <f t="shared" si="33"/>
        <v>0</v>
      </c>
    </row>
    <row r="26">
      <c r="B26" s="29">
        <v>46265.0</v>
      </c>
      <c r="C26" s="28">
        <f>12</f>
        <v>12</v>
      </c>
      <c r="D26" s="28">
        <f t="shared" si="34"/>
        <v>0</v>
      </c>
      <c r="E26" s="28">
        <f t="shared" ref="E26:F26" si="35">0</f>
        <v>0</v>
      </c>
      <c r="F26" s="28">
        <f t="shared" si="35"/>
        <v>0</v>
      </c>
      <c r="G26" s="28">
        <f>12</f>
        <v>12</v>
      </c>
      <c r="H26" s="28">
        <f>0</f>
        <v>0</v>
      </c>
      <c r="I26" s="28">
        <f>84</f>
        <v>84</v>
      </c>
      <c r="J26" s="28">
        <f t="shared" ref="J26:N26" si="36">0</f>
        <v>0</v>
      </c>
      <c r="K26" s="28">
        <f t="shared" si="36"/>
        <v>0</v>
      </c>
      <c r="L26" s="28">
        <f t="shared" si="36"/>
        <v>0</v>
      </c>
      <c r="M26" s="28">
        <f t="shared" si="36"/>
        <v>0</v>
      </c>
      <c r="N26" s="28">
        <f t="shared" si="36"/>
        <v>0</v>
      </c>
      <c r="O26" s="28">
        <f>12</f>
        <v>12</v>
      </c>
    </row>
    <row r="27">
      <c r="B27" s="29">
        <v>46265.0</v>
      </c>
      <c r="C27" s="28">
        <f>15</f>
        <v>15</v>
      </c>
      <c r="D27" s="28">
        <f t="shared" si="34"/>
        <v>0</v>
      </c>
      <c r="E27" s="28">
        <f t="shared" ref="E27:H27" si="37">0</f>
        <v>0</v>
      </c>
      <c r="F27" s="28">
        <f t="shared" si="37"/>
        <v>0</v>
      </c>
      <c r="G27" s="28">
        <f t="shared" si="37"/>
        <v>0</v>
      </c>
      <c r="H27" s="28">
        <f t="shared" si="37"/>
        <v>0</v>
      </c>
      <c r="I27" s="28">
        <f>15</f>
        <v>15</v>
      </c>
      <c r="J27" s="28">
        <f t="shared" ref="J27:O27" si="38">0</f>
        <v>0</v>
      </c>
      <c r="K27" s="28">
        <f t="shared" si="38"/>
        <v>0</v>
      </c>
      <c r="L27" s="28">
        <f t="shared" si="38"/>
        <v>0</v>
      </c>
      <c r="M27" s="28">
        <f t="shared" si="38"/>
        <v>0</v>
      </c>
      <c r="N27" s="28">
        <f t="shared" si="38"/>
        <v>0</v>
      </c>
      <c r="O27" s="28">
        <f t="shared" si="38"/>
        <v>0</v>
      </c>
    </row>
    <row r="28">
      <c r="B28" s="29">
        <v>46265.0</v>
      </c>
      <c r="C28" s="28">
        <f>0</f>
        <v>0</v>
      </c>
      <c r="D28" s="28">
        <f>30</f>
        <v>30</v>
      </c>
      <c r="E28" s="28">
        <f t="shared" ref="E28:M28" si="39">0</f>
        <v>0</v>
      </c>
      <c r="F28" s="28">
        <f t="shared" si="39"/>
        <v>0</v>
      </c>
      <c r="G28" s="28">
        <f t="shared" si="39"/>
        <v>0</v>
      </c>
      <c r="H28" s="28">
        <f t="shared" si="39"/>
        <v>0</v>
      </c>
      <c r="I28" s="28">
        <f t="shared" si="39"/>
        <v>0</v>
      </c>
      <c r="J28" s="28">
        <f t="shared" si="39"/>
        <v>0</v>
      </c>
      <c r="K28" s="28">
        <f t="shared" si="39"/>
        <v>0</v>
      </c>
      <c r="L28" s="28">
        <f t="shared" si="39"/>
        <v>0</v>
      </c>
      <c r="M28" s="28">
        <f t="shared" si="39"/>
        <v>0</v>
      </c>
      <c r="N28" s="28">
        <f>270</f>
        <v>270</v>
      </c>
      <c r="O28" s="28">
        <f>0</f>
        <v>0</v>
      </c>
    </row>
    <row r="29">
      <c r="B29" s="29">
        <v>46265.0</v>
      </c>
      <c r="C29" s="28">
        <f>40</f>
        <v>40</v>
      </c>
      <c r="D29" s="28">
        <f t="shared" ref="D29:O29" si="40">0</f>
        <v>0</v>
      </c>
      <c r="E29" s="28">
        <f t="shared" si="40"/>
        <v>0</v>
      </c>
      <c r="F29" s="28">
        <f t="shared" si="40"/>
        <v>0</v>
      </c>
      <c r="G29" s="28">
        <f t="shared" si="40"/>
        <v>0</v>
      </c>
      <c r="H29" s="28">
        <f t="shared" si="40"/>
        <v>0</v>
      </c>
      <c r="I29" s="28">
        <f t="shared" si="40"/>
        <v>0</v>
      </c>
      <c r="J29" s="28">
        <f t="shared" si="40"/>
        <v>0</v>
      </c>
      <c r="K29" s="28">
        <f t="shared" si="40"/>
        <v>0</v>
      </c>
      <c r="L29" s="28">
        <f t="shared" si="40"/>
        <v>0</v>
      </c>
      <c r="M29" s="28">
        <f t="shared" si="40"/>
        <v>0</v>
      </c>
      <c r="N29" s="28">
        <f t="shared" si="40"/>
        <v>0</v>
      </c>
      <c r="O29" s="28">
        <f t="shared" si="40"/>
        <v>0</v>
      </c>
    </row>
    <row r="30">
      <c r="B30" s="29">
        <v>46272.0</v>
      </c>
      <c r="C30" s="28">
        <f>120</f>
        <v>120</v>
      </c>
      <c r="D30" s="28">
        <f t="shared" ref="D30:F30" si="41">0</f>
        <v>0</v>
      </c>
      <c r="E30" s="28">
        <f t="shared" si="41"/>
        <v>0</v>
      </c>
      <c r="F30" s="28">
        <f t="shared" si="41"/>
        <v>0</v>
      </c>
      <c r="G30" s="28">
        <f>80</f>
        <v>80</v>
      </c>
      <c r="H30" s="28">
        <f>0</f>
        <v>0</v>
      </c>
      <c r="I30" s="28">
        <f>80</f>
        <v>80</v>
      </c>
      <c r="J30" s="28">
        <f t="shared" ref="J30:L30" si="42">0</f>
        <v>0</v>
      </c>
      <c r="K30" s="28">
        <f t="shared" si="42"/>
        <v>0</v>
      </c>
      <c r="L30" s="28">
        <f t="shared" si="42"/>
        <v>0</v>
      </c>
      <c r="M30" s="28">
        <f>80</f>
        <v>80</v>
      </c>
      <c r="N30" s="28">
        <f>0</f>
        <v>0</v>
      </c>
      <c r="O30" s="28">
        <f>40</f>
        <v>40</v>
      </c>
    </row>
    <row r="31">
      <c r="B31" s="29">
        <v>46272.0</v>
      </c>
      <c r="C31" s="28">
        <f>320</f>
        <v>320</v>
      </c>
      <c r="D31" s="28">
        <f t="shared" ref="D31:H31" si="43">0</f>
        <v>0</v>
      </c>
      <c r="E31" s="28">
        <f t="shared" si="43"/>
        <v>0</v>
      </c>
      <c r="F31" s="28">
        <f t="shared" si="43"/>
        <v>0</v>
      </c>
      <c r="G31" s="28">
        <f t="shared" si="43"/>
        <v>0</v>
      </c>
      <c r="H31" s="28">
        <f t="shared" si="43"/>
        <v>0</v>
      </c>
      <c r="I31" s="28">
        <f>480</f>
        <v>480</v>
      </c>
      <c r="J31" s="28">
        <f t="shared" ref="J31:O31" si="44">0</f>
        <v>0</v>
      </c>
      <c r="K31" s="28">
        <f t="shared" si="44"/>
        <v>0</v>
      </c>
      <c r="L31" s="28">
        <f t="shared" si="44"/>
        <v>0</v>
      </c>
      <c r="M31" s="28">
        <f t="shared" si="44"/>
        <v>0</v>
      </c>
      <c r="N31" s="28">
        <f t="shared" si="44"/>
        <v>0</v>
      </c>
      <c r="O31" s="28">
        <f t="shared" si="44"/>
        <v>0</v>
      </c>
    </row>
    <row r="32">
      <c r="B32" s="29">
        <v>46275.0</v>
      </c>
      <c r="C32" s="28">
        <f>180</f>
        <v>180</v>
      </c>
      <c r="D32" s="28">
        <f t="shared" ref="D32:E32" si="45">0</f>
        <v>0</v>
      </c>
      <c r="E32" s="28">
        <f t="shared" si="45"/>
        <v>0</v>
      </c>
      <c r="F32" s="28">
        <f>60</f>
        <v>60</v>
      </c>
      <c r="G32" s="28">
        <f t="shared" ref="G32:H32" si="46">0</f>
        <v>0</v>
      </c>
      <c r="H32" s="28">
        <f t="shared" si="46"/>
        <v>0</v>
      </c>
      <c r="I32" s="28">
        <f>120</f>
        <v>120</v>
      </c>
      <c r="J32" s="28">
        <f t="shared" ref="J32:M32" si="47">0</f>
        <v>0</v>
      </c>
      <c r="K32" s="28">
        <f t="shared" si="47"/>
        <v>0</v>
      </c>
      <c r="L32" s="28">
        <f t="shared" si="47"/>
        <v>0</v>
      </c>
      <c r="M32" s="28">
        <f t="shared" si="47"/>
        <v>0</v>
      </c>
      <c r="N32" s="28">
        <f>180</f>
        <v>180</v>
      </c>
      <c r="O32" s="28">
        <f>60</f>
        <v>60</v>
      </c>
    </row>
    <row r="33">
      <c r="B33" s="29">
        <v>46275.0</v>
      </c>
      <c r="C33" s="28">
        <f>140</f>
        <v>140</v>
      </c>
      <c r="D33" s="28">
        <f>20</f>
        <v>20</v>
      </c>
      <c r="E33" s="28">
        <f>40</f>
        <v>40</v>
      </c>
      <c r="F33" s="28">
        <f t="shared" ref="F33:O33" si="48">0</f>
        <v>0</v>
      </c>
      <c r="G33" s="28">
        <f t="shared" si="48"/>
        <v>0</v>
      </c>
      <c r="H33" s="28">
        <f t="shared" si="48"/>
        <v>0</v>
      </c>
      <c r="I33" s="28">
        <f t="shared" si="48"/>
        <v>0</v>
      </c>
      <c r="J33" s="28">
        <f t="shared" si="48"/>
        <v>0</v>
      </c>
      <c r="K33" s="28">
        <f t="shared" si="48"/>
        <v>0</v>
      </c>
      <c r="L33" s="28">
        <f t="shared" si="48"/>
        <v>0</v>
      </c>
      <c r="M33" s="28">
        <f t="shared" si="48"/>
        <v>0</v>
      </c>
      <c r="N33" s="28">
        <f t="shared" si="48"/>
        <v>0</v>
      </c>
      <c r="O33" s="28">
        <f t="shared" si="48"/>
        <v>0</v>
      </c>
    </row>
    <row r="34">
      <c r="B34" s="29">
        <v>46279.0</v>
      </c>
      <c r="C34" s="28">
        <f>240</f>
        <v>240</v>
      </c>
      <c r="D34" s="28">
        <f t="shared" ref="D34:H34" si="49">0</f>
        <v>0</v>
      </c>
      <c r="E34" s="28">
        <f t="shared" si="49"/>
        <v>0</v>
      </c>
      <c r="F34" s="28">
        <f t="shared" si="49"/>
        <v>0</v>
      </c>
      <c r="G34" s="28">
        <f t="shared" si="49"/>
        <v>0</v>
      </c>
      <c r="H34" s="28">
        <f t="shared" si="49"/>
        <v>0</v>
      </c>
      <c r="I34" s="28">
        <f>360</f>
        <v>360</v>
      </c>
      <c r="J34" s="28">
        <f t="shared" ref="J34:O34" si="50">0</f>
        <v>0</v>
      </c>
      <c r="K34" s="28">
        <f t="shared" si="50"/>
        <v>0</v>
      </c>
      <c r="L34" s="28">
        <f t="shared" si="50"/>
        <v>0</v>
      </c>
      <c r="M34" s="28">
        <f t="shared" si="50"/>
        <v>0</v>
      </c>
      <c r="N34" s="28">
        <f t="shared" si="50"/>
        <v>0</v>
      </c>
      <c r="O34" s="28">
        <f t="shared" si="50"/>
        <v>0</v>
      </c>
    </row>
    <row r="35">
      <c r="B35" s="29">
        <v>46279.0</v>
      </c>
      <c r="C35" s="28">
        <f>60</f>
        <v>60</v>
      </c>
      <c r="D35" s="28">
        <f t="shared" ref="D35:H35" si="51">0</f>
        <v>0</v>
      </c>
      <c r="E35" s="28">
        <f t="shared" si="51"/>
        <v>0</v>
      </c>
      <c r="F35" s="28">
        <f t="shared" si="51"/>
        <v>0</v>
      </c>
      <c r="G35" s="28">
        <f t="shared" si="51"/>
        <v>0</v>
      </c>
      <c r="H35" s="28">
        <f t="shared" si="51"/>
        <v>0</v>
      </c>
      <c r="I35" s="28">
        <f>60</f>
        <v>60</v>
      </c>
      <c r="J35" s="28">
        <f t="shared" ref="J35:L35" si="52">0</f>
        <v>0</v>
      </c>
      <c r="K35" s="28">
        <f t="shared" si="52"/>
        <v>0</v>
      </c>
      <c r="L35" s="28">
        <f t="shared" si="52"/>
        <v>0</v>
      </c>
      <c r="M35" s="28">
        <f>40</f>
        <v>40</v>
      </c>
      <c r="N35" s="28">
        <f>0</f>
        <v>0</v>
      </c>
      <c r="O35" s="28">
        <f>40</f>
        <v>40</v>
      </c>
    </row>
    <row r="36">
      <c r="B36" s="29">
        <v>46282.0</v>
      </c>
      <c r="C36" s="28">
        <f>200</f>
        <v>200</v>
      </c>
      <c r="D36" s="28">
        <f t="shared" ref="D36:O36" si="53">0</f>
        <v>0</v>
      </c>
      <c r="E36" s="28">
        <f t="shared" si="53"/>
        <v>0</v>
      </c>
      <c r="F36" s="28">
        <f t="shared" si="53"/>
        <v>0</v>
      </c>
      <c r="G36" s="28">
        <f t="shared" si="53"/>
        <v>0</v>
      </c>
      <c r="H36" s="28">
        <f t="shared" si="53"/>
        <v>0</v>
      </c>
      <c r="I36" s="28">
        <f t="shared" si="53"/>
        <v>0</v>
      </c>
      <c r="J36" s="28">
        <f t="shared" si="53"/>
        <v>0</v>
      </c>
      <c r="K36" s="28">
        <f t="shared" si="53"/>
        <v>0</v>
      </c>
      <c r="L36" s="28">
        <f t="shared" si="53"/>
        <v>0</v>
      </c>
      <c r="M36" s="28">
        <f t="shared" si="53"/>
        <v>0</v>
      </c>
      <c r="N36" s="28">
        <f t="shared" si="53"/>
        <v>0</v>
      </c>
      <c r="O36" s="28">
        <f t="shared" si="53"/>
        <v>0</v>
      </c>
    </row>
    <row r="37">
      <c r="B37" s="29">
        <v>46286.0</v>
      </c>
      <c r="C37" s="28">
        <f>9</f>
        <v>9</v>
      </c>
      <c r="D37" s="28">
        <f t="shared" ref="D37:H37" si="54">0</f>
        <v>0</v>
      </c>
      <c r="E37" s="28">
        <f t="shared" si="54"/>
        <v>0</v>
      </c>
      <c r="F37" s="28">
        <f t="shared" si="54"/>
        <v>0</v>
      </c>
      <c r="G37" s="28">
        <f t="shared" si="54"/>
        <v>0</v>
      </c>
      <c r="H37" s="28">
        <f t="shared" si="54"/>
        <v>0</v>
      </c>
      <c r="I37" s="28">
        <f>81</f>
        <v>81</v>
      </c>
      <c r="J37" s="28">
        <f t="shared" ref="J37:O37" si="55">0</f>
        <v>0</v>
      </c>
      <c r="K37" s="28">
        <f t="shared" si="55"/>
        <v>0</v>
      </c>
      <c r="L37" s="28">
        <f t="shared" si="55"/>
        <v>0</v>
      </c>
      <c r="M37" s="28">
        <f t="shared" si="55"/>
        <v>0</v>
      </c>
      <c r="N37" s="28">
        <f t="shared" si="55"/>
        <v>0</v>
      </c>
      <c r="O37" s="28">
        <f t="shared" si="55"/>
        <v>0</v>
      </c>
    </row>
    <row r="38">
      <c r="B38" s="29">
        <v>46286.0</v>
      </c>
      <c r="C38" s="28">
        <f t="shared" ref="C38:H38" si="56">0</f>
        <v>0</v>
      </c>
      <c r="D38" s="28">
        <f t="shared" si="56"/>
        <v>0</v>
      </c>
      <c r="E38" s="28">
        <f t="shared" si="56"/>
        <v>0</v>
      </c>
      <c r="F38" s="28">
        <f t="shared" si="56"/>
        <v>0</v>
      </c>
      <c r="G38" s="28">
        <f t="shared" si="56"/>
        <v>0</v>
      </c>
      <c r="H38" s="28">
        <f t="shared" si="56"/>
        <v>0</v>
      </c>
      <c r="I38" s="28">
        <f>27</f>
        <v>27</v>
      </c>
      <c r="J38" s="28">
        <f t="shared" ref="J38:M38" si="57">0</f>
        <v>0</v>
      </c>
      <c r="K38" s="28">
        <f t="shared" si="57"/>
        <v>0</v>
      </c>
      <c r="L38" s="28">
        <f t="shared" si="57"/>
        <v>0</v>
      </c>
      <c r="M38" s="28">
        <f t="shared" si="57"/>
        <v>0</v>
      </c>
      <c r="N38" s="28">
        <f>3</f>
        <v>3</v>
      </c>
      <c r="O38" s="28">
        <f>0</f>
        <v>0</v>
      </c>
    </row>
    <row r="39">
      <c r="B39" s="29">
        <v>46286.0</v>
      </c>
      <c r="C39" s="28">
        <f>120</f>
        <v>120</v>
      </c>
      <c r="D39" s="28">
        <f t="shared" ref="D39:H39" si="58">0</f>
        <v>0</v>
      </c>
      <c r="E39" s="28">
        <f t="shared" si="58"/>
        <v>0</v>
      </c>
      <c r="F39" s="28">
        <f t="shared" si="58"/>
        <v>0</v>
      </c>
      <c r="G39" s="28">
        <f t="shared" si="58"/>
        <v>0</v>
      </c>
      <c r="H39" s="28">
        <f t="shared" si="58"/>
        <v>0</v>
      </c>
      <c r="I39" s="28">
        <f>200</f>
        <v>200</v>
      </c>
      <c r="J39" s="28">
        <f t="shared" ref="J39:N39" si="59">0</f>
        <v>0</v>
      </c>
      <c r="K39" s="28">
        <f t="shared" si="59"/>
        <v>0</v>
      </c>
      <c r="L39" s="28">
        <f t="shared" si="59"/>
        <v>0</v>
      </c>
      <c r="M39" s="28">
        <f t="shared" si="59"/>
        <v>0</v>
      </c>
      <c r="N39" s="28">
        <f t="shared" si="59"/>
        <v>0</v>
      </c>
      <c r="O39" s="28">
        <f>80</f>
        <v>80</v>
      </c>
    </row>
    <row r="40">
      <c r="B40" s="29">
        <v>46286.0</v>
      </c>
      <c r="C40" s="28">
        <f>30</f>
        <v>30</v>
      </c>
      <c r="D40" s="28">
        <f t="shared" ref="D40:F40" si="60">0</f>
        <v>0</v>
      </c>
      <c r="E40" s="28">
        <f t="shared" si="60"/>
        <v>0</v>
      </c>
      <c r="F40" s="28">
        <f t="shared" si="60"/>
        <v>0</v>
      </c>
      <c r="G40" s="28">
        <f>30</f>
        <v>30</v>
      </c>
      <c r="H40" s="28">
        <f t="shared" ref="H40:L40" si="61">0</f>
        <v>0</v>
      </c>
      <c r="I40" s="28">
        <f t="shared" si="61"/>
        <v>0</v>
      </c>
      <c r="J40" s="28">
        <f t="shared" si="61"/>
        <v>0</v>
      </c>
      <c r="K40" s="28">
        <f t="shared" si="61"/>
        <v>0</v>
      </c>
      <c r="L40" s="28">
        <f t="shared" si="61"/>
        <v>0</v>
      </c>
      <c r="M40" s="28">
        <f>45</f>
        <v>45</v>
      </c>
      <c r="N40" s="28">
        <f>30</f>
        <v>30</v>
      </c>
      <c r="O40" s="28">
        <f>15</f>
        <v>15</v>
      </c>
    </row>
    <row r="41">
      <c r="B41" s="29">
        <v>46286.0</v>
      </c>
      <c r="C41" s="28">
        <f t="shared" ref="C41:F41" si="62">0</f>
        <v>0</v>
      </c>
      <c r="D41" s="28">
        <f t="shared" si="62"/>
        <v>0</v>
      </c>
      <c r="E41" s="28">
        <f t="shared" si="62"/>
        <v>0</v>
      </c>
      <c r="F41" s="28">
        <f t="shared" si="62"/>
        <v>0</v>
      </c>
      <c r="G41" s="28">
        <f>24</f>
        <v>24</v>
      </c>
      <c r="H41" s="28">
        <f>0</f>
        <v>0</v>
      </c>
      <c r="I41" s="28">
        <f>96</f>
        <v>96</v>
      </c>
      <c r="J41" s="28">
        <f t="shared" ref="J41:O41" si="63">0</f>
        <v>0</v>
      </c>
      <c r="K41" s="28">
        <f t="shared" si="63"/>
        <v>0</v>
      </c>
      <c r="L41" s="28">
        <f t="shared" si="63"/>
        <v>0</v>
      </c>
      <c r="M41" s="28">
        <f t="shared" si="63"/>
        <v>0</v>
      </c>
      <c r="N41" s="28">
        <f t="shared" si="63"/>
        <v>0</v>
      </c>
      <c r="O41" s="28">
        <f t="shared" si="63"/>
        <v>0</v>
      </c>
    </row>
    <row r="42">
      <c r="B42" s="29">
        <v>46286.0</v>
      </c>
      <c r="C42" s="28">
        <f>60</f>
        <v>60</v>
      </c>
      <c r="D42" s="28">
        <f t="shared" ref="D42:H42" si="64">0</f>
        <v>0</v>
      </c>
      <c r="E42" s="28">
        <f t="shared" si="64"/>
        <v>0</v>
      </c>
      <c r="F42" s="28">
        <f t="shared" si="64"/>
        <v>0</v>
      </c>
      <c r="G42" s="28">
        <f t="shared" si="64"/>
        <v>0</v>
      </c>
      <c r="H42" s="28">
        <f t="shared" si="64"/>
        <v>0</v>
      </c>
      <c r="I42" s="28">
        <f>80</f>
        <v>80</v>
      </c>
      <c r="J42" s="28">
        <f>60</f>
        <v>60</v>
      </c>
      <c r="K42" s="28">
        <f t="shared" ref="K42:O42" si="65">0</f>
        <v>0</v>
      </c>
      <c r="L42" s="28">
        <f t="shared" si="65"/>
        <v>0</v>
      </c>
      <c r="M42" s="28">
        <f t="shared" si="65"/>
        <v>0</v>
      </c>
      <c r="N42" s="28">
        <f t="shared" si="65"/>
        <v>0</v>
      </c>
      <c r="O42" s="28">
        <f t="shared" si="65"/>
        <v>0</v>
      </c>
    </row>
    <row r="43">
      <c r="B43" s="29">
        <v>46289.0</v>
      </c>
      <c r="C43" s="28">
        <f t="shared" ref="C43:J43" si="66">0</f>
        <v>0</v>
      </c>
      <c r="D43" s="28">
        <f t="shared" si="66"/>
        <v>0</v>
      </c>
      <c r="E43" s="28">
        <f t="shared" si="66"/>
        <v>0</v>
      </c>
      <c r="F43" s="28">
        <f t="shared" si="66"/>
        <v>0</v>
      </c>
      <c r="G43" s="28">
        <f t="shared" si="66"/>
        <v>0</v>
      </c>
      <c r="H43" s="28">
        <f t="shared" si="66"/>
        <v>0</v>
      </c>
      <c r="I43" s="28">
        <f t="shared" si="66"/>
        <v>0</v>
      </c>
      <c r="J43" s="28">
        <f t="shared" si="66"/>
        <v>0</v>
      </c>
      <c r="K43" s="28">
        <f>350</f>
        <v>350</v>
      </c>
      <c r="L43" s="28">
        <f t="shared" ref="L43:O43" si="67">0</f>
        <v>0</v>
      </c>
      <c r="M43" s="28">
        <f t="shared" si="67"/>
        <v>0</v>
      </c>
      <c r="N43" s="28">
        <f t="shared" si="67"/>
        <v>0</v>
      </c>
      <c r="O43" s="28">
        <f t="shared" si="67"/>
        <v>0</v>
      </c>
    </row>
    <row r="44">
      <c r="B44" s="29">
        <v>46293.0</v>
      </c>
      <c r="C44" s="28">
        <f t="shared" ref="C44:F44" si="68">0</f>
        <v>0</v>
      </c>
      <c r="D44" s="28">
        <f t="shared" si="68"/>
        <v>0</v>
      </c>
      <c r="E44" s="28">
        <f t="shared" si="68"/>
        <v>0</v>
      </c>
      <c r="F44" s="28">
        <f t="shared" si="68"/>
        <v>0</v>
      </c>
      <c r="G44" s="28">
        <f>14</f>
        <v>14</v>
      </c>
      <c r="H44" s="28">
        <f t="shared" ref="H44:H46" si="71">0</f>
        <v>0</v>
      </c>
      <c r="I44" s="28">
        <f>56</f>
        <v>56</v>
      </c>
      <c r="J44" s="28">
        <f t="shared" ref="J44:O44" si="69">0</f>
        <v>0</v>
      </c>
      <c r="K44" s="28">
        <f t="shared" si="69"/>
        <v>0</v>
      </c>
      <c r="L44" s="28">
        <f t="shared" si="69"/>
        <v>0</v>
      </c>
      <c r="M44" s="28">
        <f t="shared" si="69"/>
        <v>0</v>
      </c>
      <c r="N44" s="28">
        <f t="shared" si="69"/>
        <v>0</v>
      </c>
      <c r="O44" s="28">
        <f t="shared" si="69"/>
        <v>0</v>
      </c>
    </row>
    <row r="45">
      <c r="B45" s="29">
        <v>46293.0</v>
      </c>
      <c r="C45" s="28">
        <f>4</f>
        <v>4</v>
      </c>
      <c r="D45" s="28">
        <f t="shared" ref="D45:F45" si="70">0</f>
        <v>0</v>
      </c>
      <c r="E45" s="28">
        <f t="shared" si="70"/>
        <v>0</v>
      </c>
      <c r="F45" s="28">
        <f t="shared" si="70"/>
        <v>0</v>
      </c>
      <c r="G45" s="28">
        <f>4</f>
        <v>4</v>
      </c>
      <c r="H45" s="28">
        <f t="shared" si="71"/>
        <v>0</v>
      </c>
      <c r="I45" s="28">
        <f>8</f>
        <v>8</v>
      </c>
      <c r="J45" s="28">
        <f t="shared" ref="J45:K45" si="72">0</f>
        <v>0</v>
      </c>
      <c r="K45" s="28">
        <f t="shared" si="72"/>
        <v>0</v>
      </c>
      <c r="L45" s="28">
        <f t="shared" ref="L45:N45" si="73">8</f>
        <v>8</v>
      </c>
      <c r="M45" s="28">
        <f t="shared" si="73"/>
        <v>8</v>
      </c>
      <c r="N45" s="28">
        <f t="shared" si="73"/>
        <v>8</v>
      </c>
      <c r="O45" s="28">
        <f>0</f>
        <v>0</v>
      </c>
    </row>
    <row r="46">
      <c r="B46" s="29">
        <v>46293.0</v>
      </c>
      <c r="C46" s="28">
        <f t="shared" ref="C46:F46" si="74">0</f>
        <v>0</v>
      </c>
      <c r="D46" s="28">
        <f t="shared" si="74"/>
        <v>0</v>
      </c>
      <c r="E46" s="28">
        <f t="shared" si="74"/>
        <v>0</v>
      </c>
      <c r="F46" s="28">
        <f t="shared" si="74"/>
        <v>0</v>
      </c>
      <c r="G46" s="28">
        <f>20</f>
        <v>20</v>
      </c>
      <c r="H46" s="28">
        <f t="shared" si="71"/>
        <v>0</v>
      </c>
      <c r="I46" s="28">
        <f>20</f>
        <v>20</v>
      </c>
      <c r="J46" s="28">
        <f t="shared" ref="J46:L46" si="75">0</f>
        <v>0</v>
      </c>
      <c r="K46" s="28">
        <f t="shared" si="75"/>
        <v>0</v>
      </c>
      <c r="L46" s="28">
        <f t="shared" si="75"/>
        <v>0</v>
      </c>
      <c r="M46" s="28">
        <f>20</f>
        <v>20</v>
      </c>
      <c r="N46" s="28">
        <f>0</f>
        <v>0</v>
      </c>
      <c r="O46" s="28">
        <f>40</f>
        <v>40</v>
      </c>
    </row>
    <row r="47">
      <c r="B47" s="29">
        <v>46296.0</v>
      </c>
      <c r="C47" s="28">
        <f>180</f>
        <v>180</v>
      </c>
      <c r="D47" s="28">
        <f t="shared" ref="D47:H47" si="76">0</f>
        <v>0</v>
      </c>
      <c r="E47" s="28">
        <f t="shared" si="76"/>
        <v>0</v>
      </c>
      <c r="F47" s="28">
        <f t="shared" si="76"/>
        <v>0</v>
      </c>
      <c r="G47" s="28">
        <f t="shared" si="76"/>
        <v>0</v>
      </c>
      <c r="H47" s="28">
        <f t="shared" si="76"/>
        <v>0</v>
      </c>
      <c r="I47" s="28">
        <f>270</f>
        <v>270</v>
      </c>
      <c r="J47" s="28">
        <f t="shared" ref="J47:K47" si="77">0</f>
        <v>0</v>
      </c>
      <c r="K47" s="28">
        <f t="shared" si="77"/>
        <v>0</v>
      </c>
      <c r="L47" s="28">
        <f>270</f>
        <v>270</v>
      </c>
      <c r="M47" s="28">
        <f>0</f>
        <v>0</v>
      </c>
      <c r="N47" s="28">
        <f t="shared" ref="N47:O47" si="78">90</f>
        <v>90</v>
      </c>
      <c r="O47" s="28">
        <f t="shared" si="78"/>
        <v>90</v>
      </c>
    </row>
    <row r="48">
      <c r="B48" s="29">
        <v>46296.0</v>
      </c>
      <c r="C48" s="28">
        <f t="shared" ref="C48:H48" si="79">0</f>
        <v>0</v>
      </c>
      <c r="D48" s="28">
        <f t="shared" si="79"/>
        <v>0</v>
      </c>
      <c r="E48" s="28">
        <f t="shared" si="79"/>
        <v>0</v>
      </c>
      <c r="F48" s="28">
        <f t="shared" si="79"/>
        <v>0</v>
      </c>
      <c r="G48" s="28">
        <f t="shared" si="79"/>
        <v>0</v>
      </c>
      <c r="H48" s="28">
        <f t="shared" si="79"/>
        <v>0</v>
      </c>
      <c r="I48" s="28">
        <f>240</f>
        <v>240</v>
      </c>
      <c r="J48" s="28">
        <f t="shared" ref="J48:M48" si="80">0</f>
        <v>0</v>
      </c>
      <c r="K48" s="28">
        <f t="shared" si="80"/>
        <v>0</v>
      </c>
      <c r="L48" s="28">
        <f t="shared" si="80"/>
        <v>0</v>
      </c>
      <c r="M48" s="28">
        <f t="shared" si="80"/>
        <v>0</v>
      </c>
      <c r="N48" s="28">
        <f>60</f>
        <v>60</v>
      </c>
      <c r="O48" s="28">
        <f>0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4" max="4" width="13.88"/>
  </cols>
  <sheetData>
    <row r="1">
      <c r="B1" s="1" t="s">
        <v>12</v>
      </c>
      <c r="C1" s="1" t="s">
        <v>60</v>
      </c>
      <c r="D1" s="1" t="s">
        <v>57</v>
      </c>
    </row>
    <row r="2">
      <c r="B2" s="29">
        <v>46204.0</v>
      </c>
      <c r="C2" s="28">
        <f t="shared" ref="C2:C4" si="1">0</f>
        <v>0</v>
      </c>
      <c r="D2" s="28">
        <f>97</f>
        <v>97</v>
      </c>
    </row>
    <row r="3">
      <c r="B3" s="29">
        <v>46205.0</v>
      </c>
      <c r="C3" s="28">
        <f t="shared" si="1"/>
        <v>0</v>
      </c>
      <c r="D3" s="28">
        <f>157</f>
        <v>157</v>
      </c>
    </row>
    <row r="4">
      <c r="B4" s="29">
        <v>46209.0</v>
      </c>
      <c r="C4" s="28">
        <f t="shared" si="1"/>
        <v>0</v>
      </c>
      <c r="D4" s="28">
        <f>103</f>
        <v>103</v>
      </c>
    </row>
    <row r="5">
      <c r="B5" s="29">
        <v>46209.0</v>
      </c>
      <c r="C5" s="28">
        <f>5.3</f>
        <v>5.3</v>
      </c>
      <c r="D5" s="28">
        <f>100.7</f>
        <v>100.7</v>
      </c>
    </row>
    <row r="6">
      <c r="B6" s="29">
        <v>46209.0</v>
      </c>
      <c r="C6" s="28">
        <f t="shared" ref="C6:C7" si="2">0</f>
        <v>0</v>
      </c>
      <c r="D6" s="28">
        <f>155</f>
        <v>155</v>
      </c>
    </row>
    <row r="7">
      <c r="B7" s="29">
        <v>46210.0</v>
      </c>
      <c r="C7" s="28">
        <f t="shared" si="2"/>
        <v>0</v>
      </c>
      <c r="D7" s="28">
        <f>143</f>
        <v>143</v>
      </c>
    </row>
    <row r="8">
      <c r="B8" s="29">
        <v>46211.0</v>
      </c>
      <c r="C8" s="28">
        <f>13.9</f>
        <v>13.9</v>
      </c>
      <c r="D8" s="28">
        <f>125.1</f>
        <v>125.1</v>
      </c>
    </row>
    <row r="9">
      <c r="B9" s="29">
        <v>46211.0</v>
      </c>
      <c r="C9" s="28">
        <f>8.5</f>
        <v>8.5</v>
      </c>
      <c r="D9" s="28">
        <f>161.5</f>
        <v>161.5</v>
      </c>
    </row>
    <row r="10">
      <c r="B10" s="29">
        <v>46213.0</v>
      </c>
      <c r="C10" s="28">
        <f>0</f>
        <v>0</v>
      </c>
      <c r="D10" s="28">
        <f>102</f>
        <v>102</v>
      </c>
    </row>
    <row r="11">
      <c r="B11" s="29">
        <v>46218.0</v>
      </c>
      <c r="C11" s="28">
        <f>7.35</f>
        <v>7.35</v>
      </c>
      <c r="D11" s="28">
        <f>139.65</f>
        <v>139.65</v>
      </c>
    </row>
    <row r="12">
      <c r="B12" s="29">
        <v>46218.0</v>
      </c>
      <c r="C12" s="28">
        <f t="shared" ref="C12:C13" si="3">0</f>
        <v>0</v>
      </c>
      <c r="D12" s="28">
        <f>154</f>
        <v>154</v>
      </c>
    </row>
    <row r="13">
      <c r="B13" s="29">
        <v>46220.0</v>
      </c>
      <c r="C13" s="28">
        <f t="shared" si="3"/>
        <v>0</v>
      </c>
      <c r="D13" s="28">
        <f>134</f>
        <v>134</v>
      </c>
    </row>
    <row r="14">
      <c r="B14" s="29">
        <v>46222.0</v>
      </c>
      <c r="C14" s="28">
        <f>140</f>
        <v>140</v>
      </c>
      <c r="D14" s="28">
        <f>0</f>
        <v>0</v>
      </c>
    </row>
    <row r="15">
      <c r="B15" s="29">
        <v>46222.0</v>
      </c>
      <c r="C15" s="28">
        <f>8.2</f>
        <v>8.2</v>
      </c>
      <c r="D15" s="28">
        <f>155.8</f>
        <v>155.8</v>
      </c>
    </row>
    <row r="16">
      <c r="B16" s="29">
        <v>46225.0</v>
      </c>
      <c r="C16" s="28">
        <f>7.9</f>
        <v>7.9</v>
      </c>
      <c r="D16" s="28">
        <f>150.1</f>
        <v>150.1</v>
      </c>
    </row>
    <row r="17">
      <c r="B17" s="29">
        <v>46225.0</v>
      </c>
      <c r="C17" s="28">
        <f t="shared" ref="C17:C22" si="4">0</f>
        <v>0</v>
      </c>
      <c r="D17" s="28">
        <f>118</f>
        <v>118</v>
      </c>
    </row>
    <row r="18">
      <c r="B18" s="29">
        <v>46226.0</v>
      </c>
      <c r="C18" s="28">
        <f t="shared" si="4"/>
        <v>0</v>
      </c>
      <c r="D18" s="28">
        <f>112</f>
        <v>112</v>
      </c>
    </row>
    <row r="19">
      <c r="B19" s="29">
        <v>46231.0</v>
      </c>
      <c r="C19" s="28">
        <f t="shared" si="4"/>
        <v>0</v>
      </c>
      <c r="D19" s="28">
        <f>149</f>
        <v>149</v>
      </c>
    </row>
    <row r="20">
      <c r="B20" s="29">
        <v>46233.0</v>
      </c>
      <c r="C20" s="28">
        <f t="shared" si="4"/>
        <v>0</v>
      </c>
      <c r="D20" s="28">
        <f>114</f>
        <v>114</v>
      </c>
    </row>
    <row r="21">
      <c r="B21" s="29">
        <v>46233.0</v>
      </c>
      <c r="C21" s="28">
        <f t="shared" si="4"/>
        <v>0</v>
      </c>
      <c r="D21" s="28">
        <f>157</f>
        <v>157</v>
      </c>
    </row>
    <row r="22">
      <c r="B22" s="29">
        <v>46238.0</v>
      </c>
      <c r="C22" s="28">
        <f t="shared" si="4"/>
        <v>0</v>
      </c>
      <c r="D22" s="28">
        <f>116</f>
        <v>116</v>
      </c>
    </row>
    <row r="23">
      <c r="B23" s="29">
        <v>46239.0</v>
      </c>
      <c r="C23" s="28">
        <f>18.9</f>
        <v>18.9</v>
      </c>
      <c r="D23" s="28">
        <f>107.1</f>
        <v>107.1</v>
      </c>
    </row>
    <row r="24">
      <c r="B24" s="29">
        <v>46240.0</v>
      </c>
      <c r="C24" s="28">
        <f t="shared" ref="C24:C32" si="5">0</f>
        <v>0</v>
      </c>
      <c r="D24" s="28">
        <f>127</f>
        <v>127</v>
      </c>
    </row>
    <row r="25">
      <c r="B25" s="29">
        <v>46241.0</v>
      </c>
      <c r="C25" s="28">
        <f t="shared" si="5"/>
        <v>0</v>
      </c>
      <c r="D25" s="28">
        <f>73</f>
        <v>73</v>
      </c>
    </row>
    <row r="26">
      <c r="B26" s="29">
        <v>46241.0</v>
      </c>
      <c r="C26" s="28">
        <f t="shared" si="5"/>
        <v>0</v>
      </c>
      <c r="D26" s="28">
        <f>103</f>
        <v>103</v>
      </c>
    </row>
    <row r="27">
      <c r="B27" s="29">
        <v>46244.0</v>
      </c>
      <c r="C27" s="28">
        <f t="shared" si="5"/>
        <v>0</v>
      </c>
      <c r="D27" s="28">
        <f>135</f>
        <v>135</v>
      </c>
    </row>
    <row r="28">
      <c r="B28" s="29">
        <v>46246.0</v>
      </c>
      <c r="C28" s="28">
        <f t="shared" si="5"/>
        <v>0</v>
      </c>
      <c r="D28" s="28">
        <f>139</f>
        <v>139</v>
      </c>
    </row>
    <row r="29">
      <c r="B29" s="29">
        <v>46248.0</v>
      </c>
      <c r="C29" s="28">
        <f t="shared" si="5"/>
        <v>0</v>
      </c>
      <c r="D29" s="28">
        <f>108</f>
        <v>108</v>
      </c>
    </row>
    <row r="30">
      <c r="B30" s="29">
        <v>46248.0</v>
      </c>
      <c r="C30" s="28">
        <f t="shared" si="5"/>
        <v>0</v>
      </c>
      <c r="D30" s="28">
        <f>124</f>
        <v>124</v>
      </c>
    </row>
    <row r="31">
      <c r="B31" s="29">
        <v>46254.0</v>
      </c>
      <c r="C31" s="28">
        <f t="shared" si="5"/>
        <v>0</v>
      </c>
      <c r="D31" s="28">
        <f>99</f>
        <v>99</v>
      </c>
    </row>
    <row r="32">
      <c r="B32" s="29">
        <v>46254.0</v>
      </c>
      <c r="C32" s="28">
        <f t="shared" si="5"/>
        <v>0</v>
      </c>
      <c r="D32" s="28">
        <f>120</f>
        <v>120</v>
      </c>
    </row>
    <row r="33">
      <c r="B33" s="29">
        <v>46258.0</v>
      </c>
      <c r="C33" s="28">
        <f>78.3</f>
        <v>78.3</v>
      </c>
      <c r="D33" s="28">
        <f>8.7</f>
        <v>8.7</v>
      </c>
    </row>
    <row r="34">
      <c r="B34" s="29">
        <v>46261.0</v>
      </c>
      <c r="C34" s="28">
        <f t="shared" ref="C34:C36" si="6">0</f>
        <v>0</v>
      </c>
      <c r="D34" s="28">
        <f>143</f>
        <v>143</v>
      </c>
    </row>
    <row r="35">
      <c r="B35" s="29">
        <v>46261.0</v>
      </c>
      <c r="C35" s="28">
        <f t="shared" si="6"/>
        <v>0</v>
      </c>
      <c r="D35" s="28">
        <f>103</f>
        <v>103</v>
      </c>
    </row>
    <row r="36">
      <c r="B36" s="29">
        <v>46262.0</v>
      </c>
      <c r="C36" s="28">
        <f t="shared" si="6"/>
        <v>0</v>
      </c>
      <c r="D36" s="28">
        <f>114</f>
        <v>114</v>
      </c>
    </row>
    <row r="37">
      <c r="B37" s="29">
        <v>46266.0</v>
      </c>
      <c r="C37" s="28">
        <f>9</f>
        <v>9</v>
      </c>
      <c r="D37" s="28">
        <f>81</f>
        <v>81</v>
      </c>
    </row>
    <row r="38">
      <c r="B38" s="29">
        <v>46266.0</v>
      </c>
      <c r="C38" s="28">
        <f>5.65</f>
        <v>5.65</v>
      </c>
      <c r="D38" s="28">
        <f>107.35</f>
        <v>107.35</v>
      </c>
    </row>
    <row r="39">
      <c r="B39" s="29">
        <v>46266.0</v>
      </c>
      <c r="C39" s="28">
        <f>0</f>
        <v>0</v>
      </c>
      <c r="D39" s="28">
        <f>152</f>
        <v>152</v>
      </c>
    </row>
    <row r="40">
      <c r="B40" s="29">
        <v>46269.0</v>
      </c>
      <c r="C40" s="28">
        <f>7.15</f>
        <v>7.15</v>
      </c>
      <c r="D40" s="28">
        <f>135.85</f>
        <v>135.85</v>
      </c>
    </row>
    <row r="41">
      <c r="B41" s="29">
        <v>46269.0</v>
      </c>
      <c r="C41" s="28">
        <f t="shared" ref="C41:C42" si="7">0</f>
        <v>0</v>
      </c>
      <c r="D41" s="28">
        <f>125</f>
        <v>125</v>
      </c>
    </row>
    <row r="42">
      <c r="B42" s="29">
        <v>46272.0</v>
      </c>
      <c r="C42" s="28">
        <f t="shared" si="7"/>
        <v>0</v>
      </c>
      <c r="D42" s="28">
        <f>114</f>
        <v>114</v>
      </c>
    </row>
    <row r="43">
      <c r="B43" s="29">
        <v>46272.0</v>
      </c>
      <c r="C43" s="28">
        <f>117</f>
        <v>117</v>
      </c>
      <c r="D43" s="28">
        <f>13</f>
        <v>13</v>
      </c>
    </row>
    <row r="44">
      <c r="B44" s="29">
        <v>46274.0</v>
      </c>
      <c r="C44" s="28">
        <f t="shared" ref="C44:C46" si="8">0</f>
        <v>0</v>
      </c>
      <c r="D44" s="28">
        <f>134</f>
        <v>134</v>
      </c>
    </row>
    <row r="45">
      <c r="B45" s="29">
        <v>46275.0</v>
      </c>
      <c r="C45" s="28">
        <f t="shared" si="8"/>
        <v>0</v>
      </c>
      <c r="D45" s="28">
        <f>153</f>
        <v>153</v>
      </c>
    </row>
    <row r="46">
      <c r="B46" s="29">
        <v>46281.0</v>
      </c>
      <c r="C46" s="28">
        <f t="shared" si="8"/>
        <v>0</v>
      </c>
      <c r="D46" s="28">
        <f>143</f>
        <v>143</v>
      </c>
    </row>
    <row r="47">
      <c r="B47" s="29">
        <v>46282.0</v>
      </c>
      <c r="C47" s="28">
        <f>10.9</f>
        <v>10.9</v>
      </c>
      <c r="D47" s="28">
        <f>98.1</f>
        <v>98.1</v>
      </c>
    </row>
    <row r="48">
      <c r="B48" s="29">
        <v>46287.0</v>
      </c>
      <c r="C48" s="28">
        <f>4.95</f>
        <v>4.95</v>
      </c>
      <c r="D48" s="28">
        <f>94.05</f>
        <v>94.05</v>
      </c>
    </row>
    <row r="49">
      <c r="B49" s="29">
        <v>46287.0</v>
      </c>
      <c r="C49" s="28">
        <f t="shared" ref="C49:C51" si="9">0</f>
        <v>0</v>
      </c>
      <c r="D49" s="28">
        <f>174</f>
        <v>174</v>
      </c>
    </row>
    <row r="50">
      <c r="B50" s="29">
        <v>46288.0</v>
      </c>
      <c r="C50" s="28">
        <f t="shared" si="9"/>
        <v>0</v>
      </c>
      <c r="D50" s="28">
        <f>184</f>
        <v>184</v>
      </c>
    </row>
    <row r="51">
      <c r="B51" s="29">
        <v>46288.0</v>
      </c>
      <c r="C51" s="28">
        <f t="shared" si="9"/>
        <v>0</v>
      </c>
      <c r="D51" s="28">
        <f>131</f>
        <v>131</v>
      </c>
    </row>
    <row r="52">
      <c r="B52" s="29">
        <v>46289.0</v>
      </c>
      <c r="C52" s="28">
        <f>6.35</f>
        <v>6.35</v>
      </c>
      <c r="D52" s="28">
        <f>120.65</f>
        <v>120.65</v>
      </c>
    </row>
    <row r="53">
      <c r="B53" s="29">
        <v>46289.0</v>
      </c>
      <c r="C53" s="28">
        <f>41</f>
        <v>41</v>
      </c>
      <c r="D53" s="28">
        <f>0</f>
        <v>0</v>
      </c>
    </row>
    <row r="54">
      <c r="B54" s="29">
        <v>46293.0</v>
      </c>
      <c r="C54" s="28">
        <f t="shared" ref="C54:C56" si="10">0</f>
        <v>0</v>
      </c>
      <c r="D54" s="28">
        <f>110</f>
        <v>110</v>
      </c>
    </row>
    <row r="55">
      <c r="B55" s="29">
        <v>46294.0</v>
      </c>
      <c r="C55" s="28">
        <f t="shared" si="10"/>
        <v>0</v>
      </c>
      <c r="D55" s="28">
        <f>126</f>
        <v>126</v>
      </c>
    </row>
    <row r="56">
      <c r="B56" s="29">
        <v>46294.0</v>
      </c>
      <c r="C56" s="28">
        <f t="shared" si="10"/>
        <v>0</v>
      </c>
      <c r="D56" s="28">
        <f>148</f>
        <v>148</v>
      </c>
    </row>
    <row r="57">
      <c r="B57" s="29">
        <v>46295.0</v>
      </c>
      <c r="C57" s="28">
        <f>30</f>
        <v>30</v>
      </c>
      <c r="D57" s="28">
        <f>120</f>
        <v>120</v>
      </c>
    </row>
    <row r="58">
      <c r="B58" s="29">
        <v>46296.0</v>
      </c>
      <c r="C58" s="28">
        <f>6.25</f>
        <v>6.25</v>
      </c>
      <c r="D58" s="28">
        <f>118.75</f>
        <v>118.75</v>
      </c>
    </row>
    <row r="59">
      <c r="B59" s="29">
        <v>46296.0</v>
      </c>
      <c r="C59" s="28">
        <f>0</f>
        <v>0</v>
      </c>
      <c r="D59" s="28">
        <f>145</f>
        <v>145</v>
      </c>
    </row>
    <row r="60">
      <c r="B60" s="29">
        <v>46302.0</v>
      </c>
      <c r="C60" s="28">
        <f>8.25</f>
        <v>8.25</v>
      </c>
      <c r="D60" s="28">
        <f>156.75</f>
        <v>156.75</v>
      </c>
    </row>
    <row r="61">
      <c r="B61" s="29">
        <v>46307.0</v>
      </c>
      <c r="C61" s="28">
        <f t="shared" ref="C61:C66" si="11">0</f>
        <v>0</v>
      </c>
      <c r="D61" s="28">
        <f>111</f>
        <v>111</v>
      </c>
    </row>
    <row r="62">
      <c r="B62" s="29">
        <v>46307.0</v>
      </c>
      <c r="C62" s="28">
        <f t="shared" si="11"/>
        <v>0</v>
      </c>
      <c r="D62" s="28">
        <f>139</f>
        <v>139</v>
      </c>
    </row>
    <row r="63">
      <c r="B63" s="29">
        <v>46309.0</v>
      </c>
      <c r="C63" s="28">
        <f t="shared" si="11"/>
        <v>0</v>
      </c>
      <c r="D63" s="28">
        <f>158</f>
        <v>158</v>
      </c>
    </row>
    <row r="64">
      <c r="B64" s="29">
        <v>46309.0</v>
      </c>
      <c r="C64" s="28">
        <f t="shared" si="11"/>
        <v>0</v>
      </c>
      <c r="D64" s="28">
        <f>146</f>
        <v>146</v>
      </c>
    </row>
    <row r="65">
      <c r="B65" s="29">
        <v>46310.0</v>
      </c>
      <c r="C65" s="28">
        <f t="shared" si="11"/>
        <v>0</v>
      </c>
      <c r="D65" s="28">
        <f>116</f>
        <v>116</v>
      </c>
    </row>
    <row r="66">
      <c r="B66" s="29">
        <v>46315.0</v>
      </c>
      <c r="C66" s="28">
        <f t="shared" si="11"/>
        <v>0</v>
      </c>
      <c r="D66" s="28">
        <f>126</f>
        <v>126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38"/>
    <col customWidth="1" min="4" max="4" width="13.88"/>
  </cols>
  <sheetData>
    <row r="1">
      <c r="B1" s="1" t="s">
        <v>12</v>
      </c>
      <c r="C1" s="1" t="s">
        <v>60</v>
      </c>
      <c r="D1" s="1" t="s">
        <v>57</v>
      </c>
    </row>
    <row r="2">
      <c r="B2" s="29">
        <v>46204.0</v>
      </c>
      <c r="C2" s="28">
        <f>36</f>
        <v>36</v>
      </c>
      <c r="D2" s="28">
        <f>84</f>
        <v>84</v>
      </c>
    </row>
    <row r="3">
      <c r="B3" s="29">
        <v>46204.0</v>
      </c>
      <c r="C3" s="28">
        <f t="shared" ref="C3:C5" si="1">0</f>
        <v>0</v>
      </c>
      <c r="D3" s="28">
        <f>46</f>
        <v>46</v>
      </c>
    </row>
    <row r="4">
      <c r="B4" s="29">
        <v>46204.0</v>
      </c>
      <c r="C4" s="28">
        <f t="shared" si="1"/>
        <v>0</v>
      </c>
      <c r="D4" s="28">
        <f>103</f>
        <v>103</v>
      </c>
    </row>
    <row r="5">
      <c r="B5" s="29">
        <v>46204.0</v>
      </c>
      <c r="C5" s="28">
        <f t="shared" si="1"/>
        <v>0</v>
      </c>
      <c r="D5" s="28">
        <f>182</f>
        <v>182</v>
      </c>
    </row>
    <row r="6">
      <c r="B6" s="29">
        <v>46204.0</v>
      </c>
      <c r="C6" s="28">
        <f>85</f>
        <v>85</v>
      </c>
      <c r="D6" s="28">
        <f>0</f>
        <v>0</v>
      </c>
    </row>
    <row r="7">
      <c r="B7" s="29">
        <v>46206.0</v>
      </c>
      <c r="C7" s="28">
        <f>0</f>
        <v>0</v>
      </c>
      <c r="D7" s="28">
        <f>224</f>
        <v>224</v>
      </c>
    </row>
    <row r="8">
      <c r="B8" s="29">
        <v>46209.0</v>
      </c>
      <c r="C8" s="28">
        <f t="shared" ref="C8:D8" si="2">57.5</f>
        <v>57.5</v>
      </c>
      <c r="D8" s="28">
        <f t="shared" si="2"/>
        <v>57.5</v>
      </c>
    </row>
    <row r="9">
      <c r="B9" s="29">
        <v>46209.0</v>
      </c>
      <c r="C9" s="28">
        <f>0</f>
        <v>0</v>
      </c>
      <c r="D9" s="28">
        <f>166</f>
        <v>166</v>
      </c>
    </row>
    <row r="10">
      <c r="B10" s="29">
        <v>46210.0</v>
      </c>
      <c r="C10" s="28">
        <f>26.2</f>
        <v>26.2</v>
      </c>
      <c r="D10" s="28">
        <f>104.8</f>
        <v>104.8</v>
      </c>
    </row>
    <row r="11">
      <c r="B11" s="29">
        <v>46213.0</v>
      </c>
      <c r="C11" s="28">
        <f t="shared" ref="C11:C13" si="3">0</f>
        <v>0</v>
      </c>
      <c r="D11" s="28">
        <f>68</f>
        <v>68</v>
      </c>
    </row>
    <row r="12">
      <c r="B12" s="29">
        <v>46213.0</v>
      </c>
      <c r="C12" s="28">
        <f t="shared" si="3"/>
        <v>0</v>
      </c>
      <c r="D12" s="28">
        <f>119</f>
        <v>119</v>
      </c>
    </row>
    <row r="13">
      <c r="B13" s="29">
        <v>46217.0</v>
      </c>
      <c r="C13" s="28">
        <f t="shared" si="3"/>
        <v>0</v>
      </c>
      <c r="D13" s="28">
        <f>33</f>
        <v>33</v>
      </c>
    </row>
    <row r="14">
      <c r="B14" s="29">
        <v>46220.0</v>
      </c>
      <c r="C14" s="28">
        <f>70</f>
        <v>70</v>
      </c>
      <c r="D14" s="28">
        <f>0</f>
        <v>0</v>
      </c>
    </row>
    <row r="15">
      <c r="B15" s="29">
        <v>46222.0</v>
      </c>
      <c r="C15" s="28">
        <f>25.8</f>
        <v>25.8</v>
      </c>
      <c r="D15" s="28">
        <f>60.2</f>
        <v>60.2</v>
      </c>
    </row>
    <row r="16">
      <c r="B16" s="29">
        <v>46222.0</v>
      </c>
      <c r="C16" s="28">
        <f>82.6</f>
        <v>82.6</v>
      </c>
      <c r="D16" s="28">
        <f>35.4</f>
        <v>35.4</v>
      </c>
    </row>
    <row r="17">
      <c r="B17" s="29">
        <v>46222.0</v>
      </c>
      <c r="C17" s="28">
        <f>42.8</f>
        <v>42.8</v>
      </c>
      <c r="D17" s="28">
        <f>64.2</f>
        <v>64.2</v>
      </c>
    </row>
    <row r="18">
      <c r="B18" s="29">
        <v>46222.0</v>
      </c>
      <c r="C18" s="28">
        <f>11.8</f>
        <v>11.8</v>
      </c>
      <c r="D18" s="28">
        <f>106.2</f>
        <v>106.2</v>
      </c>
    </row>
    <row r="19">
      <c r="B19" s="29">
        <v>46222.0</v>
      </c>
      <c r="C19" s="28">
        <f>36.9</f>
        <v>36.9</v>
      </c>
      <c r="D19" s="28">
        <f>86.1</f>
        <v>86.1</v>
      </c>
    </row>
    <row r="20">
      <c r="B20" s="29">
        <v>46224.0</v>
      </c>
      <c r="C20" s="28">
        <f>113</f>
        <v>113</v>
      </c>
      <c r="D20" s="28">
        <f>0</f>
        <v>0</v>
      </c>
    </row>
    <row r="21">
      <c r="B21" s="29">
        <v>46224.0</v>
      </c>
      <c r="C21" s="28">
        <f t="shared" ref="C21:D21" si="4">25</f>
        <v>25</v>
      </c>
      <c r="D21" s="28">
        <f t="shared" si="4"/>
        <v>25</v>
      </c>
    </row>
    <row r="22">
      <c r="B22" s="29">
        <v>46227.0</v>
      </c>
      <c r="C22" s="28">
        <f>16.2</f>
        <v>16.2</v>
      </c>
      <c r="D22" s="28">
        <f>91.8</f>
        <v>91.8</v>
      </c>
    </row>
    <row r="23">
      <c r="B23" s="29">
        <v>46227.0</v>
      </c>
      <c r="C23" s="28">
        <f>3.5</f>
        <v>3.5</v>
      </c>
      <c r="D23" s="28">
        <f>66.5</f>
        <v>66.5</v>
      </c>
    </row>
    <row r="24">
      <c r="B24" s="29">
        <v>46227.0</v>
      </c>
      <c r="C24" s="28">
        <f t="shared" ref="C24:D24" si="5">54</f>
        <v>54</v>
      </c>
      <c r="D24" s="28">
        <f t="shared" si="5"/>
        <v>54</v>
      </c>
    </row>
    <row r="25">
      <c r="B25" s="29">
        <v>46234.0</v>
      </c>
      <c r="C25" s="28">
        <f>9</f>
        <v>9</v>
      </c>
      <c r="D25" s="28">
        <f>36</f>
        <v>36</v>
      </c>
    </row>
    <row r="26">
      <c r="B26" s="29">
        <v>46238.0</v>
      </c>
      <c r="C26" s="28">
        <f>11.3</f>
        <v>11.3</v>
      </c>
      <c r="D26" s="28">
        <f>101.7</f>
        <v>101.7</v>
      </c>
    </row>
    <row r="27">
      <c r="B27" s="29">
        <v>46238.0</v>
      </c>
      <c r="C27" s="28">
        <f>0</f>
        <v>0</v>
      </c>
      <c r="D27" s="28">
        <f>114</f>
        <v>114</v>
      </c>
    </row>
    <row r="28">
      <c r="B28" s="29">
        <v>46238.0</v>
      </c>
      <c r="C28" s="28">
        <f>23</f>
        <v>23</v>
      </c>
      <c r="D28" s="28">
        <f>69</f>
        <v>69</v>
      </c>
    </row>
    <row r="29">
      <c r="B29" s="29">
        <v>46238.0</v>
      </c>
      <c r="C29" s="28">
        <f>31.5</f>
        <v>31.5</v>
      </c>
      <c r="D29" s="28">
        <f>94.5</f>
        <v>94.5</v>
      </c>
    </row>
    <row r="30">
      <c r="B30" s="29">
        <v>46238.0</v>
      </c>
      <c r="C30" s="28">
        <f>11.6</f>
        <v>11.6</v>
      </c>
      <c r="D30" s="28">
        <f>104.4</f>
        <v>104.4</v>
      </c>
    </row>
    <row r="31">
      <c r="B31" s="29">
        <v>46238.0</v>
      </c>
      <c r="C31" s="28">
        <f>4.35</f>
        <v>4.35</v>
      </c>
      <c r="D31" s="28">
        <f>82.65</f>
        <v>82.65</v>
      </c>
    </row>
    <row r="32">
      <c r="B32" s="29">
        <v>46238.0</v>
      </c>
      <c r="C32" s="28">
        <f>10.2</f>
        <v>10.2</v>
      </c>
      <c r="D32" s="28">
        <f>40.8</f>
        <v>40.8</v>
      </c>
    </row>
    <row r="33">
      <c r="B33" s="29">
        <v>46238.0</v>
      </c>
      <c r="C33" s="28">
        <f t="shared" ref="C33:C35" si="6">0</f>
        <v>0</v>
      </c>
      <c r="D33" s="28">
        <f>59</f>
        <v>59</v>
      </c>
    </row>
    <row r="34">
      <c r="B34" s="29">
        <v>46238.0</v>
      </c>
      <c r="C34" s="28">
        <f t="shared" si="6"/>
        <v>0</v>
      </c>
      <c r="D34" s="28">
        <f>73</f>
        <v>73</v>
      </c>
    </row>
    <row r="35">
      <c r="B35" s="29">
        <v>46241.0</v>
      </c>
      <c r="C35" s="28">
        <f t="shared" si="6"/>
        <v>0</v>
      </c>
      <c r="D35" s="28">
        <f>28</f>
        <v>28</v>
      </c>
    </row>
    <row r="36">
      <c r="B36" s="29">
        <v>46241.0</v>
      </c>
      <c r="C36" s="28">
        <f>106.4</f>
        <v>106.4</v>
      </c>
      <c r="D36" s="28">
        <f>45.6</f>
        <v>45.6</v>
      </c>
    </row>
    <row r="37">
      <c r="B37" s="29">
        <v>46241.0</v>
      </c>
      <c r="C37" s="28">
        <f>0</f>
        <v>0</v>
      </c>
      <c r="D37" s="28">
        <f>86</f>
        <v>86</v>
      </c>
    </row>
    <row r="38">
      <c r="B38" s="29">
        <v>46241.0</v>
      </c>
      <c r="C38" s="28">
        <f>41.2</f>
        <v>41.2</v>
      </c>
      <c r="D38" s="28">
        <f>61.8</f>
        <v>61.8</v>
      </c>
    </row>
    <row r="39">
      <c r="B39" s="29">
        <v>46241.0</v>
      </c>
      <c r="C39" s="28">
        <f t="shared" ref="C39:D39" si="7">79.5</f>
        <v>79.5</v>
      </c>
      <c r="D39" s="28">
        <f t="shared" si="7"/>
        <v>79.5</v>
      </c>
    </row>
    <row r="40">
      <c r="B40" s="29">
        <v>46244.0</v>
      </c>
      <c r="C40" s="28">
        <f>0</f>
        <v>0</v>
      </c>
      <c r="D40" s="28">
        <f>134</f>
        <v>134</v>
      </c>
    </row>
    <row r="41">
      <c r="B41" s="29">
        <v>46247.0</v>
      </c>
      <c r="C41" s="28">
        <f>7.1</f>
        <v>7.1</v>
      </c>
      <c r="D41" s="28">
        <f>63.9</f>
        <v>63.9</v>
      </c>
    </row>
    <row r="42">
      <c r="B42" s="29">
        <v>46247.0</v>
      </c>
      <c r="C42" s="28">
        <f t="shared" ref="C42:D42" si="8">52.5</f>
        <v>52.5</v>
      </c>
      <c r="D42" s="28">
        <f t="shared" si="8"/>
        <v>52.5</v>
      </c>
    </row>
    <row r="43">
      <c r="B43" s="29">
        <v>46247.0</v>
      </c>
      <c r="C43" s="28">
        <f>48</f>
        <v>48</v>
      </c>
      <c r="D43" s="28">
        <f>72</f>
        <v>72</v>
      </c>
    </row>
    <row r="44">
      <c r="B44" s="29">
        <v>46253.0</v>
      </c>
      <c r="C44" s="28">
        <f>0</f>
        <v>0</v>
      </c>
      <c r="D44" s="28">
        <f>137</f>
        <v>137</v>
      </c>
    </row>
    <row r="45">
      <c r="B45" s="29">
        <v>46253.0</v>
      </c>
      <c r="C45" s="28">
        <f>13.6</f>
        <v>13.6</v>
      </c>
      <c r="D45" s="28">
        <f>122.4</f>
        <v>122.4</v>
      </c>
    </row>
    <row r="46">
      <c r="B46" s="29">
        <v>46253.0</v>
      </c>
      <c r="C46" s="28">
        <f>0</f>
        <v>0</v>
      </c>
      <c r="D46" s="28">
        <f>104</f>
        <v>104</v>
      </c>
    </row>
    <row r="47">
      <c r="B47" s="29">
        <v>46253.0</v>
      </c>
      <c r="C47" s="28">
        <f>55.6</f>
        <v>55.6</v>
      </c>
      <c r="D47" s="28">
        <f>83.4</f>
        <v>83.4</v>
      </c>
    </row>
    <row r="48">
      <c r="B48" s="29">
        <v>46254.0</v>
      </c>
      <c r="C48" s="28">
        <f t="shared" ref="C48:C51" si="9">0</f>
        <v>0</v>
      </c>
      <c r="D48" s="28">
        <f>63</f>
        <v>63</v>
      </c>
    </row>
    <row r="49">
      <c r="B49" s="29">
        <v>46254.0</v>
      </c>
      <c r="C49" s="28">
        <f t="shared" si="9"/>
        <v>0</v>
      </c>
      <c r="D49" s="28">
        <f>69</f>
        <v>69</v>
      </c>
    </row>
    <row r="50">
      <c r="B50" s="29">
        <v>46254.0</v>
      </c>
      <c r="C50" s="28">
        <f t="shared" si="9"/>
        <v>0</v>
      </c>
      <c r="D50" s="28">
        <f>64</f>
        <v>64</v>
      </c>
    </row>
    <row r="51">
      <c r="B51" s="29">
        <v>46254.0</v>
      </c>
      <c r="C51" s="28">
        <f t="shared" si="9"/>
        <v>0</v>
      </c>
      <c r="D51" s="28">
        <f>79</f>
        <v>79</v>
      </c>
    </row>
    <row r="52">
      <c r="B52" s="29">
        <v>46258.0</v>
      </c>
      <c r="C52" s="28">
        <f t="shared" ref="C52:D52" si="10">47</f>
        <v>47</v>
      </c>
      <c r="D52" s="28">
        <f t="shared" si="10"/>
        <v>47</v>
      </c>
    </row>
    <row r="53">
      <c r="B53" s="29">
        <v>46258.0</v>
      </c>
      <c r="C53" s="28">
        <f>0</f>
        <v>0</v>
      </c>
      <c r="D53" s="28">
        <f>74</f>
        <v>74</v>
      </c>
    </row>
    <row r="54">
      <c r="B54" s="29">
        <v>46261.0</v>
      </c>
      <c r="C54" s="28">
        <f t="shared" ref="C54:D54" si="11">47.5</f>
        <v>47.5</v>
      </c>
      <c r="D54" s="28">
        <f t="shared" si="11"/>
        <v>47.5</v>
      </c>
    </row>
    <row r="55">
      <c r="B55" s="29">
        <v>46261.0</v>
      </c>
      <c r="C55" s="28">
        <f t="shared" ref="C55:C57" si="12">0</f>
        <v>0</v>
      </c>
      <c r="D55" s="28">
        <f>70</f>
        <v>70</v>
      </c>
    </row>
    <row r="56">
      <c r="B56" s="29">
        <v>46261.0</v>
      </c>
      <c r="C56" s="28">
        <f t="shared" si="12"/>
        <v>0</v>
      </c>
      <c r="D56" s="28">
        <f>73</f>
        <v>73</v>
      </c>
    </row>
    <row r="57">
      <c r="B57" s="29">
        <v>46262.0</v>
      </c>
      <c r="C57" s="28">
        <f t="shared" si="12"/>
        <v>0</v>
      </c>
      <c r="D57" s="28">
        <f>96</f>
        <v>96</v>
      </c>
    </row>
    <row r="58">
      <c r="B58" s="29">
        <v>46266.0</v>
      </c>
      <c r="C58" s="28">
        <f>8.8</f>
        <v>8.8</v>
      </c>
      <c r="D58" s="28">
        <f>79.2</f>
        <v>79.2</v>
      </c>
    </row>
    <row r="59">
      <c r="B59" s="29">
        <v>46269.0</v>
      </c>
      <c r="C59" s="28">
        <f>76</f>
        <v>76</v>
      </c>
      <c r="D59" s="28">
        <f>0</f>
        <v>0</v>
      </c>
    </row>
    <row r="60">
      <c r="B60" s="29">
        <v>46269.0</v>
      </c>
      <c r="C60" s="28">
        <f>16.65</f>
        <v>16.65</v>
      </c>
      <c r="D60" s="28">
        <f>94.35</f>
        <v>94.35</v>
      </c>
    </row>
    <row r="61">
      <c r="B61" s="29">
        <v>46272.0</v>
      </c>
      <c r="C61" s="28">
        <f>90</f>
        <v>90</v>
      </c>
      <c r="D61" s="28">
        <f>10</f>
        <v>10</v>
      </c>
    </row>
    <row r="62">
      <c r="B62" s="29">
        <v>46274.0</v>
      </c>
      <c r="C62" s="28">
        <f>32</f>
        <v>32</v>
      </c>
      <c r="D62" s="28">
        <f>48</f>
        <v>48</v>
      </c>
    </row>
    <row r="63">
      <c r="B63" s="29">
        <v>46274.0</v>
      </c>
      <c r="C63" s="28">
        <f t="shared" ref="C63:D63" si="13">58.5</f>
        <v>58.5</v>
      </c>
      <c r="D63" s="28">
        <f t="shared" si="13"/>
        <v>58.5</v>
      </c>
    </row>
    <row r="64">
      <c r="B64" s="29">
        <v>46274.0</v>
      </c>
      <c r="C64" s="28">
        <f>16.8</f>
        <v>16.8</v>
      </c>
      <c r="D64" s="28">
        <f>4.2</f>
        <v>4.2</v>
      </c>
    </row>
    <row r="65">
      <c r="B65" s="29">
        <v>46275.0</v>
      </c>
      <c r="C65" s="28">
        <f>11</f>
        <v>11</v>
      </c>
      <c r="D65" s="28">
        <f>99</f>
        <v>99</v>
      </c>
    </row>
    <row r="66">
      <c r="B66" s="29">
        <v>46280.0</v>
      </c>
      <c r="C66" s="28">
        <f>0</f>
        <v>0</v>
      </c>
      <c r="D66" s="28">
        <f>38</f>
        <v>38</v>
      </c>
    </row>
    <row r="67">
      <c r="B67" s="29">
        <v>46280.0</v>
      </c>
      <c r="C67" s="28">
        <f>20.4</f>
        <v>20.4</v>
      </c>
      <c r="D67" s="28">
        <f>81.6</f>
        <v>81.6</v>
      </c>
    </row>
    <row r="68">
      <c r="B68" s="29">
        <v>46280.0</v>
      </c>
      <c r="C68" s="28">
        <f t="shared" ref="C68:C69" si="14">0</f>
        <v>0</v>
      </c>
      <c r="D68" s="28">
        <f t="shared" ref="D68:D69" si="15">118</f>
        <v>118</v>
      </c>
    </row>
    <row r="69">
      <c r="B69" s="29">
        <v>46281.0</v>
      </c>
      <c r="C69" s="28">
        <f t="shared" si="14"/>
        <v>0</v>
      </c>
      <c r="D69" s="28">
        <f t="shared" si="15"/>
        <v>118</v>
      </c>
    </row>
    <row r="70">
      <c r="B70" s="29">
        <v>46281.0</v>
      </c>
      <c r="C70" s="28">
        <f>22.4</f>
        <v>22.4</v>
      </c>
      <c r="D70" s="28">
        <f>89.6</f>
        <v>89.6</v>
      </c>
    </row>
    <row r="71">
      <c r="B71" s="29">
        <v>46282.0</v>
      </c>
      <c r="C71" s="28">
        <f>0</f>
        <v>0</v>
      </c>
      <c r="D71" s="28">
        <f>60</f>
        <v>60</v>
      </c>
    </row>
    <row r="72">
      <c r="B72" s="29">
        <v>46282.0</v>
      </c>
      <c r="C72" s="28">
        <f>39.6</f>
        <v>39.6</v>
      </c>
      <c r="D72" s="28">
        <f>59.4</f>
        <v>59.4</v>
      </c>
    </row>
    <row r="73">
      <c r="B73" s="29">
        <v>46287.0</v>
      </c>
      <c r="C73" s="28">
        <f>11.5</f>
        <v>11.5</v>
      </c>
      <c r="D73" s="28">
        <f>103.5</f>
        <v>103.5</v>
      </c>
    </row>
    <row r="74">
      <c r="B74" s="29">
        <v>46288.0</v>
      </c>
      <c r="C74" s="28">
        <f>0</f>
        <v>0</v>
      </c>
      <c r="D74" s="28">
        <f>271</f>
        <v>271</v>
      </c>
    </row>
    <row r="75">
      <c r="B75" s="29">
        <v>46290.0</v>
      </c>
      <c r="C75" s="28">
        <f t="shared" ref="C75:D75" si="16">47</f>
        <v>47</v>
      </c>
      <c r="D75" s="28">
        <f t="shared" si="16"/>
        <v>47</v>
      </c>
    </row>
    <row r="76">
      <c r="B76" s="29">
        <v>46290.0</v>
      </c>
      <c r="C76" s="28">
        <f>0</f>
        <v>0</v>
      </c>
      <c r="D76" s="28">
        <f>140</f>
        <v>140</v>
      </c>
    </row>
    <row r="77">
      <c r="B77" s="29">
        <v>46293.0</v>
      </c>
      <c r="C77" s="28">
        <f t="shared" ref="C77:D77" si="17">45</f>
        <v>45</v>
      </c>
      <c r="D77" s="28">
        <f t="shared" si="17"/>
        <v>45</v>
      </c>
    </row>
    <row r="78">
      <c r="B78" s="29">
        <v>46307.0</v>
      </c>
      <c r="C78" s="28">
        <f>96.3</f>
        <v>96.3</v>
      </c>
      <c r="D78" s="28">
        <f>10.7</f>
        <v>10.7</v>
      </c>
    </row>
    <row r="79">
      <c r="B79" s="29">
        <v>46307.0</v>
      </c>
      <c r="C79" s="28">
        <f>20.2</f>
        <v>20.2</v>
      </c>
      <c r="D79" s="28">
        <f>80.8</f>
        <v>80.8</v>
      </c>
    </row>
    <row r="80">
      <c r="B80" s="29">
        <v>46307.0</v>
      </c>
      <c r="C80" s="28">
        <f>7.2</f>
        <v>7.2</v>
      </c>
      <c r="D80" s="28">
        <f>64.8</f>
        <v>64.8</v>
      </c>
    </row>
    <row r="81">
      <c r="B81" s="29">
        <v>46307.0</v>
      </c>
      <c r="C81" s="28">
        <f t="shared" ref="C81:D81" si="18">42.5</f>
        <v>42.5</v>
      </c>
      <c r="D81" s="28">
        <f t="shared" si="18"/>
        <v>42.5</v>
      </c>
    </row>
    <row r="82">
      <c r="B82" s="29">
        <v>46307.0</v>
      </c>
      <c r="C82" s="28">
        <f>0</f>
        <v>0</v>
      </c>
      <c r="D82" s="28">
        <f>15</f>
        <v>15</v>
      </c>
    </row>
    <row r="83">
      <c r="B83" s="29">
        <v>46310.0</v>
      </c>
      <c r="C83" s="28">
        <f>75</f>
        <v>75</v>
      </c>
      <c r="D83" s="28">
        <f>0</f>
        <v>0</v>
      </c>
    </row>
    <row r="84">
      <c r="B84" s="29">
        <v>46311.0</v>
      </c>
      <c r="C84" s="28">
        <f>0</f>
        <v>0</v>
      </c>
      <c r="D84" s="28">
        <f>72</f>
        <v>72</v>
      </c>
    </row>
    <row r="85">
      <c r="B85" s="29">
        <v>46311.0</v>
      </c>
      <c r="C85" s="28">
        <f>150.5</f>
        <v>150.5</v>
      </c>
      <c r="D85" s="28">
        <f>64.5</f>
        <v>64.5</v>
      </c>
    </row>
    <row r="86">
      <c r="B86" s="29">
        <v>46311.0</v>
      </c>
      <c r="C86" s="28">
        <f>13.5</f>
        <v>13.5</v>
      </c>
      <c r="D86" s="28">
        <f>121.5</f>
        <v>121.5</v>
      </c>
    </row>
    <row r="87">
      <c r="B87" s="29">
        <v>46311.0</v>
      </c>
      <c r="C87" s="28">
        <f>23.55</f>
        <v>23.55</v>
      </c>
      <c r="D87" s="28">
        <f>133.45</f>
        <v>133.45</v>
      </c>
    </row>
    <row r="88">
      <c r="B88" s="29">
        <v>46315.0</v>
      </c>
      <c r="C88" s="28">
        <f>0</f>
        <v>0</v>
      </c>
      <c r="D88" s="28">
        <f>87</f>
        <v>87</v>
      </c>
    </row>
    <row r="89">
      <c r="B89" s="29">
        <v>46316.0</v>
      </c>
      <c r="C89" s="28">
        <f>26.4</f>
        <v>26.4</v>
      </c>
      <c r="D89" s="28">
        <f>105.6</f>
        <v>105.6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61</v>
      </c>
      <c r="C2" s="1">
        <v>10.0</v>
      </c>
    </row>
    <row r="3">
      <c r="B3" s="1" t="s">
        <v>62</v>
      </c>
      <c r="C3" s="1">
        <v>15.0</v>
      </c>
    </row>
    <row r="4">
      <c r="B4" s="1" t="s">
        <v>63</v>
      </c>
      <c r="C4" s="1">
        <v>20.0</v>
      </c>
    </row>
    <row r="5">
      <c r="B5" s="1" t="s">
        <v>64</v>
      </c>
    </row>
    <row r="6">
      <c r="B6" s="1" t="s">
        <v>65</v>
      </c>
    </row>
    <row r="7">
      <c r="B7" s="1" t="s">
        <v>66</v>
      </c>
    </row>
    <row r="8">
      <c r="B8" s="1" t="s">
        <v>67</v>
      </c>
    </row>
    <row r="9">
      <c r="B9" s="1" t="s">
        <v>68</v>
      </c>
    </row>
    <row r="10">
      <c r="B10" s="1" t="s">
        <v>69</v>
      </c>
    </row>
    <row r="11">
      <c r="B11" s="1" t="s">
        <v>70</v>
      </c>
    </row>
    <row r="12">
      <c r="B12" s="1" t="s">
        <v>71</v>
      </c>
    </row>
    <row r="13">
      <c r="B13" s="1" t="s">
        <v>72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8</v>
      </c>
      <c r="D3" s="1" t="s">
        <v>15</v>
      </c>
      <c r="E3" s="1" t="s">
        <v>52</v>
      </c>
      <c r="F3" s="1" t="s">
        <v>53</v>
      </c>
      <c r="G3" s="1" t="s">
        <v>21</v>
      </c>
    </row>
    <row r="4">
      <c r="B4" s="1" t="s">
        <v>61</v>
      </c>
      <c r="C4" s="1">
        <v>1920.0</v>
      </c>
      <c r="D4" s="1">
        <v>310.0</v>
      </c>
      <c r="E4" s="1">
        <v>989.0</v>
      </c>
      <c r="F4" s="1">
        <v>191.0</v>
      </c>
      <c r="G4" s="1">
        <v>1928.0</v>
      </c>
    </row>
    <row r="5">
      <c r="B5" s="1" t="s">
        <v>62</v>
      </c>
      <c r="C5" s="1">
        <v>0.0</v>
      </c>
      <c r="D5" s="1">
        <v>532.0</v>
      </c>
      <c r="E5" s="1">
        <v>529.0</v>
      </c>
      <c r="F5" s="1">
        <v>0.0</v>
      </c>
      <c r="G5" s="1">
        <v>655.0</v>
      </c>
    </row>
    <row r="6">
      <c r="B6" s="1" t="s">
        <v>63</v>
      </c>
      <c r="C6" s="1">
        <v>0.0</v>
      </c>
      <c r="D6" s="1">
        <v>0.0</v>
      </c>
      <c r="E6" s="1">
        <v>0.0</v>
      </c>
      <c r="F6" s="1">
        <v>0.0</v>
      </c>
      <c r="G6" s="1">
        <v>477.0</v>
      </c>
    </row>
    <row r="7">
      <c r="B7" s="1" t="s">
        <v>64</v>
      </c>
    </row>
    <row r="8">
      <c r="B8" s="1" t="s">
        <v>65</v>
      </c>
    </row>
    <row r="9">
      <c r="B9" s="1" t="s">
        <v>66</v>
      </c>
    </row>
    <row r="10">
      <c r="B10" s="1" t="s">
        <v>67</v>
      </c>
    </row>
    <row r="11">
      <c r="B11" s="1" t="s">
        <v>68</v>
      </c>
    </row>
    <row r="12">
      <c r="B12" s="1" t="s">
        <v>69</v>
      </c>
    </row>
    <row r="13">
      <c r="B13" s="1" t="s">
        <v>70</v>
      </c>
    </row>
    <row r="14">
      <c r="B14" s="1" t="s">
        <v>71</v>
      </c>
    </row>
    <row r="15">
      <c r="B15" s="1" t="s">
        <v>72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73</v>
      </c>
      <c r="D1" s="1" t="s">
        <v>74</v>
      </c>
      <c r="E1" s="1" t="s">
        <v>75</v>
      </c>
    </row>
    <row r="2">
      <c r="B2" s="1" t="s">
        <v>61</v>
      </c>
      <c r="C2" s="1">
        <v>0.0</v>
      </c>
      <c r="D2" s="1">
        <v>0.0</v>
      </c>
      <c r="E2" s="1">
        <v>0.0</v>
      </c>
    </row>
    <row r="3">
      <c r="B3" s="1" t="s">
        <v>62</v>
      </c>
      <c r="C3" s="1">
        <f>120+348</f>
        <v>468</v>
      </c>
      <c r="E3" s="1">
        <v>1360.0</v>
      </c>
    </row>
    <row r="4">
      <c r="B4" s="1" t="s">
        <v>63</v>
      </c>
    </row>
    <row r="5">
      <c r="B5" s="1" t="s">
        <v>64</v>
      </c>
    </row>
    <row r="6">
      <c r="B6" s="1" t="s">
        <v>65</v>
      </c>
    </row>
    <row r="7">
      <c r="B7" s="1" t="s">
        <v>66</v>
      </c>
    </row>
    <row r="8">
      <c r="B8" s="1" t="s">
        <v>67</v>
      </c>
    </row>
    <row r="9">
      <c r="B9" s="1" t="s">
        <v>68</v>
      </c>
    </row>
    <row r="10">
      <c r="B10" s="1" t="s">
        <v>69</v>
      </c>
    </row>
    <row r="11">
      <c r="B11" s="1" t="s">
        <v>70</v>
      </c>
    </row>
    <row r="12">
      <c r="B12" s="1" t="s">
        <v>71</v>
      </c>
    </row>
    <row r="13">
      <c r="B13" s="1" t="s">
        <v>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10" max="10" width="14.0"/>
    <col customWidth="1" min="11" max="11" width="13.5"/>
    <col customWidth="1" min="18" max="18" width="27.88"/>
  </cols>
  <sheetData>
    <row r="2">
      <c r="C2" s="32" t="s">
        <v>76</v>
      </c>
      <c r="D2" s="33"/>
      <c r="E2" s="33"/>
      <c r="F2" s="33"/>
    </row>
    <row r="3">
      <c r="C3" s="34" t="s">
        <v>77</v>
      </c>
      <c r="D3" s="35"/>
      <c r="E3" s="35"/>
      <c r="F3" s="35"/>
    </row>
    <row r="5">
      <c r="C5" s="36" t="s">
        <v>78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</row>
    <row r="6">
      <c r="C6" s="7" t="s">
        <v>8</v>
      </c>
      <c r="D6" s="1" t="s">
        <v>15</v>
      </c>
      <c r="E6" s="1" t="s">
        <v>52</v>
      </c>
      <c r="F6" s="1" t="s">
        <v>53</v>
      </c>
      <c r="G6" s="1" t="s">
        <v>21</v>
      </c>
      <c r="H6" s="1" t="s">
        <v>54</v>
      </c>
      <c r="I6" s="1" t="s">
        <v>11</v>
      </c>
      <c r="J6" s="1" t="s">
        <v>30</v>
      </c>
      <c r="K6" s="1" t="s">
        <v>55</v>
      </c>
      <c r="L6" s="1" t="s">
        <v>50</v>
      </c>
      <c r="M6" s="1" t="s">
        <v>56</v>
      </c>
      <c r="N6" s="1" t="s">
        <v>14</v>
      </c>
      <c r="O6" s="1" t="s">
        <v>22</v>
      </c>
      <c r="P6" s="37" t="s">
        <v>57</v>
      </c>
    </row>
    <row r="7">
      <c r="C7" s="38">
        <v>2922.0</v>
      </c>
      <c r="D7" s="39">
        <v>78.0</v>
      </c>
      <c r="E7" s="39">
        <v>572.0</v>
      </c>
      <c r="F7" s="39">
        <v>472.0</v>
      </c>
      <c r="G7" s="39">
        <v>1309.0</v>
      </c>
      <c r="H7" s="39">
        <v>752.0</v>
      </c>
      <c r="I7" s="39">
        <v>2666.0</v>
      </c>
      <c r="J7" s="39">
        <v>6554.5</v>
      </c>
      <c r="K7" s="39">
        <v>24.0</v>
      </c>
      <c r="L7" s="39">
        <v>0.0</v>
      </c>
      <c r="M7" s="39">
        <v>132.5</v>
      </c>
      <c r="N7" s="39">
        <v>470.0</v>
      </c>
      <c r="O7" s="39">
        <v>4.0</v>
      </c>
      <c r="P7" s="40">
        <v>4125.0</v>
      </c>
    </row>
    <row r="9">
      <c r="C9" s="36" t="s">
        <v>79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</row>
    <row r="10">
      <c r="C10" s="7" t="s">
        <v>8</v>
      </c>
      <c r="D10" s="1" t="s">
        <v>15</v>
      </c>
      <c r="E10" s="1" t="s">
        <v>19</v>
      </c>
      <c r="F10" s="1" t="s">
        <v>23</v>
      </c>
      <c r="G10" s="1" t="s">
        <v>13</v>
      </c>
      <c r="H10" s="1" t="s">
        <v>18</v>
      </c>
      <c r="I10" s="1" t="s">
        <v>11</v>
      </c>
      <c r="J10" s="1" t="s">
        <v>30</v>
      </c>
      <c r="K10" s="1" t="s">
        <v>55</v>
      </c>
      <c r="L10" s="1" t="s">
        <v>16</v>
      </c>
      <c r="M10" s="1" t="s">
        <v>14</v>
      </c>
      <c r="N10" s="1" t="s">
        <v>22</v>
      </c>
      <c r="O10" s="1" t="s">
        <v>24</v>
      </c>
      <c r="P10" s="1"/>
      <c r="Q10" s="1" t="s">
        <v>21</v>
      </c>
      <c r="R10" s="24"/>
      <c r="S10" s="1"/>
    </row>
    <row r="11">
      <c r="B11" s="41" t="s">
        <v>80</v>
      </c>
      <c r="C11" s="42">
        <v>256.35</v>
      </c>
      <c r="D11" s="33">
        <v>75.8</v>
      </c>
      <c r="E11" s="33">
        <v>0.0</v>
      </c>
      <c r="F11" s="33">
        <v>308.3</v>
      </c>
      <c r="G11" s="33">
        <v>3655.5499999999997</v>
      </c>
      <c r="H11" s="33">
        <v>0.0</v>
      </c>
      <c r="I11" s="33">
        <v>133.4</v>
      </c>
      <c r="J11" s="33">
        <v>0.0</v>
      </c>
      <c r="K11" s="33">
        <v>22.0</v>
      </c>
      <c r="L11" s="33">
        <v>2564.5</v>
      </c>
      <c r="M11" s="33">
        <v>692.2000000000002</v>
      </c>
      <c r="N11" s="33">
        <v>368.70000000000005</v>
      </c>
      <c r="O11" s="33">
        <v>4492.2</v>
      </c>
      <c r="R11" s="24"/>
    </row>
    <row r="12">
      <c r="B12" s="41" t="s">
        <v>81</v>
      </c>
      <c r="C12" s="43">
        <v>2682.9000000000005</v>
      </c>
      <c r="D12" s="44">
        <v>381.65000000000003</v>
      </c>
      <c r="E12" s="44">
        <v>440.50000000000006</v>
      </c>
      <c r="F12" s="44">
        <v>931.0499999999998</v>
      </c>
      <c r="G12" s="44">
        <v>1067.27</v>
      </c>
      <c r="H12" s="44">
        <v>191.89999999999998</v>
      </c>
      <c r="I12" s="44">
        <v>6132.010000000002</v>
      </c>
      <c r="J12" s="44">
        <v>1599.6</v>
      </c>
      <c r="K12" s="44">
        <v>350.3</v>
      </c>
      <c r="L12" s="44">
        <v>46.0</v>
      </c>
      <c r="M12" s="44">
        <v>1663.3600000000001</v>
      </c>
      <c r="N12" s="44">
        <v>691.3000000000001</v>
      </c>
      <c r="O12" s="44">
        <v>4112.359999999999</v>
      </c>
      <c r="Q12" s="45"/>
      <c r="R12" s="46"/>
    </row>
    <row r="13">
      <c r="B13" s="41" t="s">
        <v>84</v>
      </c>
      <c r="C13" s="43">
        <v>17.9</v>
      </c>
      <c r="D13" s="44">
        <v>3.05</v>
      </c>
      <c r="E13" s="44">
        <v>0.0</v>
      </c>
      <c r="F13" s="44">
        <v>4.8</v>
      </c>
      <c r="G13" s="44">
        <v>5.8</v>
      </c>
      <c r="H13" s="44">
        <v>0.0</v>
      </c>
      <c r="I13" s="44">
        <v>9.45</v>
      </c>
      <c r="J13" s="44">
        <v>2.9</v>
      </c>
      <c r="K13" s="44">
        <v>0.0</v>
      </c>
      <c r="L13" s="44">
        <v>23.6</v>
      </c>
      <c r="M13" s="44">
        <v>0.0</v>
      </c>
      <c r="N13" s="44">
        <v>8.0</v>
      </c>
      <c r="O13" s="44">
        <v>427.0</v>
      </c>
      <c r="Q13" s="45"/>
      <c r="R13" s="46"/>
    </row>
    <row r="14">
      <c r="B14" s="47" t="s">
        <v>34</v>
      </c>
      <c r="C14" s="42">
        <v>223.0</v>
      </c>
      <c r="D14" s="33">
        <v>0.0</v>
      </c>
      <c r="E14" s="33">
        <v>0.0</v>
      </c>
      <c r="F14" s="33">
        <v>0.0</v>
      </c>
      <c r="G14" s="33">
        <v>92.0</v>
      </c>
      <c r="H14" s="33">
        <v>0.0</v>
      </c>
      <c r="I14" s="33">
        <v>568.0</v>
      </c>
      <c r="J14" s="33">
        <v>60.0</v>
      </c>
      <c r="K14" s="33">
        <v>350.0</v>
      </c>
      <c r="L14" s="33">
        <v>8.0</v>
      </c>
      <c r="M14" s="33">
        <v>73.0</v>
      </c>
      <c r="N14" s="33">
        <v>41.0</v>
      </c>
      <c r="O14" s="33">
        <v>135.0</v>
      </c>
      <c r="P14" s="1">
        <v>0.0</v>
      </c>
      <c r="Q14" s="34">
        <f>C32</f>
        <v>727.65</v>
      </c>
      <c r="R14" s="37" t="s">
        <v>87</v>
      </c>
    </row>
    <row r="15">
      <c r="C15" s="48">
        <f t="shared" ref="C15:O15" si="1">SUM(C11:C14)</f>
        <v>3180.15</v>
      </c>
      <c r="D15" s="35">
        <f t="shared" si="1"/>
        <v>460.5</v>
      </c>
      <c r="E15" s="35">
        <f t="shared" si="1"/>
        <v>440.5</v>
      </c>
      <c r="F15" s="35">
        <f t="shared" si="1"/>
        <v>1244.15</v>
      </c>
      <c r="G15" s="35">
        <f t="shared" si="1"/>
        <v>4820.62</v>
      </c>
      <c r="H15" s="35">
        <f t="shared" si="1"/>
        <v>191.9</v>
      </c>
      <c r="I15" s="35">
        <f t="shared" si="1"/>
        <v>6842.86</v>
      </c>
      <c r="J15" s="35">
        <f t="shared" si="1"/>
        <v>1662.5</v>
      </c>
      <c r="K15" s="35">
        <f t="shared" si="1"/>
        <v>722.3</v>
      </c>
      <c r="L15" s="35">
        <f t="shared" si="1"/>
        <v>2642.1</v>
      </c>
      <c r="M15" s="35">
        <f t="shared" si="1"/>
        <v>2428.56</v>
      </c>
      <c r="N15" s="35">
        <f t="shared" si="1"/>
        <v>1109</v>
      </c>
      <c r="O15" s="35">
        <f t="shared" si="1"/>
        <v>9166.56</v>
      </c>
      <c r="Q15" s="52">
        <f>(I24-(G7*0.44))*0.2</f>
        <v>40.208</v>
      </c>
      <c r="R15" s="37" t="s">
        <v>91</v>
      </c>
    </row>
    <row r="16">
      <c r="C16" s="53">
        <f t="shared" ref="C16:N16" si="2">C15</f>
        <v>3180.15</v>
      </c>
      <c r="D16" s="54">
        <f t="shared" si="2"/>
        <v>460.5</v>
      </c>
      <c r="E16" s="54">
        <f t="shared" si="2"/>
        <v>440.5</v>
      </c>
      <c r="F16" s="54">
        <f t="shared" si="2"/>
        <v>1244.15</v>
      </c>
      <c r="G16" s="54">
        <f t="shared" si="2"/>
        <v>4820.62</v>
      </c>
      <c r="H16" s="54">
        <f t="shared" si="2"/>
        <v>191.9</v>
      </c>
      <c r="I16" s="54">
        <f t="shared" si="2"/>
        <v>6842.86</v>
      </c>
      <c r="J16" s="54">
        <f t="shared" si="2"/>
        <v>1662.5</v>
      </c>
      <c r="K16" s="54">
        <f t="shared" si="2"/>
        <v>722.3</v>
      </c>
      <c r="L16" s="54">
        <f t="shared" si="2"/>
        <v>2642.1</v>
      </c>
      <c r="M16" s="54">
        <f t="shared" si="2"/>
        <v>2428.56</v>
      </c>
      <c r="N16" s="54">
        <f t="shared" si="2"/>
        <v>1109</v>
      </c>
      <c r="O16" s="56">
        <f>(O15+D32)-(M20-M19)-(Q20-Q16)</f>
        <v>13950.21473</v>
      </c>
      <c r="P16" s="25" t="s">
        <v>96</v>
      </c>
      <c r="Q16" s="56"/>
      <c r="R16" s="57"/>
    </row>
    <row r="17">
      <c r="Q17" s="58"/>
    </row>
    <row r="18">
      <c r="C18" s="36" t="s">
        <v>97</v>
      </c>
      <c r="D18" s="22"/>
      <c r="E18" s="22"/>
      <c r="F18" s="22"/>
      <c r="G18" s="22"/>
      <c r="H18" s="22"/>
      <c r="I18" s="22"/>
      <c r="J18" s="22"/>
      <c r="K18" s="23"/>
      <c r="M18" s="59" t="s">
        <v>98</v>
      </c>
      <c r="Q18" s="60" t="s">
        <v>99</v>
      </c>
      <c r="R18" s="1" t="s">
        <v>101</v>
      </c>
    </row>
    <row r="19">
      <c r="C19" s="7" t="s">
        <v>8</v>
      </c>
      <c r="D19" s="9" t="s">
        <v>11</v>
      </c>
      <c r="E19" s="9" t="s">
        <v>13</v>
      </c>
      <c r="F19" s="9" t="s">
        <v>14</v>
      </c>
      <c r="G19" s="9" t="s">
        <v>56</v>
      </c>
      <c r="H19" s="9" t="s">
        <v>18</v>
      </c>
      <c r="I19" s="9" t="s">
        <v>21</v>
      </c>
      <c r="J19" s="9" t="s">
        <v>22</v>
      </c>
      <c r="K19" s="61" t="s">
        <v>57</v>
      </c>
      <c r="M19" s="62">
        <f>(I24-(G7*0.44))*0.8</f>
        <v>160.832</v>
      </c>
      <c r="N19" s="1" t="s">
        <v>103</v>
      </c>
      <c r="O19" s="63">
        <v>0.8</v>
      </c>
      <c r="Q19" s="64">
        <f>(Q14+(Q15/0.44))</f>
        <v>819.0318182</v>
      </c>
    </row>
    <row r="20">
      <c r="C20" s="65">
        <v>1336.0</v>
      </c>
      <c r="D20" s="66">
        <v>1146.0</v>
      </c>
      <c r="E20" s="66">
        <v>1232.0</v>
      </c>
      <c r="F20" s="66">
        <v>1650.0</v>
      </c>
      <c r="G20" s="66">
        <v>338.0</v>
      </c>
      <c r="H20" s="66">
        <v>0.0</v>
      </c>
      <c r="I20" s="66">
        <v>956.0</v>
      </c>
      <c r="J20" s="66">
        <v>408.0</v>
      </c>
      <c r="K20" s="67">
        <v>8162.0</v>
      </c>
      <c r="M20" s="64">
        <f>M19/0.44</f>
        <v>365.5272727</v>
      </c>
      <c r="N20" s="1" t="s">
        <v>105</v>
      </c>
      <c r="O20" s="1" t="s">
        <v>0</v>
      </c>
      <c r="P20" s="1"/>
      <c r="Q20" s="58"/>
    </row>
    <row r="22">
      <c r="C22" s="36" t="s">
        <v>107</v>
      </c>
      <c r="D22" s="22"/>
      <c r="E22" s="22"/>
      <c r="F22" s="22"/>
      <c r="G22" s="22"/>
      <c r="H22" s="22"/>
      <c r="I22" s="22"/>
      <c r="J22" s="23"/>
    </row>
    <row r="23">
      <c r="C23" s="7" t="s">
        <v>8</v>
      </c>
      <c r="D23" s="1" t="s">
        <v>15</v>
      </c>
      <c r="E23" s="1" t="s">
        <v>52</v>
      </c>
      <c r="F23" s="1" t="s">
        <v>53</v>
      </c>
      <c r="G23" s="1" t="s">
        <v>21</v>
      </c>
      <c r="I23" s="1" t="s">
        <v>108</v>
      </c>
      <c r="J23" s="37"/>
      <c r="M23" s="1" t="s">
        <v>110</v>
      </c>
      <c r="P23" s="2" t="s">
        <v>111</v>
      </c>
      <c r="Q23" s="23"/>
    </row>
    <row r="24">
      <c r="C24" s="69">
        <v>0.0</v>
      </c>
      <c r="D24" s="70">
        <v>0.0</v>
      </c>
      <c r="E24" s="70">
        <v>0.0</v>
      </c>
      <c r="F24" s="70">
        <v>0.0</v>
      </c>
      <c r="G24" s="70">
        <v>1977.0</v>
      </c>
      <c r="H24" s="71"/>
      <c r="I24" s="54">
        <f>G24-M24-(SUM(Q24:Q26)*0.44)</f>
        <v>777</v>
      </c>
      <c r="J24" s="26"/>
      <c r="L24" s="1" t="s">
        <v>113</v>
      </c>
      <c r="M24" s="1">
        <v>1200.0</v>
      </c>
      <c r="P24" s="7" t="s">
        <v>73</v>
      </c>
      <c r="Q24" s="72">
        <v>0.0</v>
      </c>
    </row>
    <row r="25">
      <c r="L25" s="1" t="s">
        <v>114</v>
      </c>
      <c r="M25" s="1">
        <v>1500.0</v>
      </c>
      <c r="P25" s="7" t="s">
        <v>74</v>
      </c>
      <c r="Q25" s="72">
        <v>0.0</v>
      </c>
    </row>
    <row r="26">
      <c r="C26" s="36" t="s">
        <v>87</v>
      </c>
      <c r="D26" s="22"/>
      <c r="E26" s="22"/>
      <c r="F26" s="22"/>
      <c r="G26" s="73"/>
      <c r="H26" s="22"/>
      <c r="I26" s="22"/>
      <c r="J26" s="23"/>
      <c r="P26" s="12" t="s">
        <v>75</v>
      </c>
      <c r="Q26" s="74">
        <v>0.0</v>
      </c>
    </row>
    <row r="27">
      <c r="C27" s="7" t="s">
        <v>21</v>
      </c>
      <c r="D27" s="1" t="s">
        <v>116</v>
      </c>
      <c r="F27" s="1" t="s">
        <v>117</v>
      </c>
      <c r="I27" s="1"/>
      <c r="J27" s="37" t="s">
        <v>118</v>
      </c>
    </row>
    <row r="28">
      <c r="B28" s="1" t="s">
        <v>80</v>
      </c>
      <c r="C28" s="42">
        <v>232.0</v>
      </c>
      <c r="D28" s="33">
        <v>2464.0</v>
      </c>
      <c r="F28" s="32">
        <v>20.0</v>
      </c>
      <c r="G28" s="1"/>
      <c r="H28" s="1"/>
      <c r="I28" s="1"/>
      <c r="J28" s="75">
        <v>48.0</v>
      </c>
      <c r="P28" s="1" t="s">
        <v>120</v>
      </c>
    </row>
    <row r="29">
      <c r="B29" s="1" t="s">
        <v>81</v>
      </c>
      <c r="C29" s="42">
        <v>495.65</v>
      </c>
      <c r="D29" s="33">
        <v>1564.35</v>
      </c>
      <c r="F29" s="35">
        <f>F28*J28</f>
        <v>960</v>
      </c>
      <c r="J29" s="24"/>
      <c r="P29" s="1" t="s">
        <v>73</v>
      </c>
    </row>
    <row r="30">
      <c r="C30" s="51"/>
      <c r="J30" s="24"/>
      <c r="P30" s="1" t="s">
        <v>74</v>
      </c>
    </row>
    <row r="31">
      <c r="C31" s="7" t="s">
        <v>21</v>
      </c>
      <c r="D31" s="1" t="s">
        <v>116</v>
      </c>
      <c r="J31" s="24"/>
      <c r="P31" s="1" t="s">
        <v>75</v>
      </c>
    </row>
    <row r="32">
      <c r="B32" s="1" t="s">
        <v>121</v>
      </c>
      <c r="C32" s="53">
        <f>C28+C29</f>
        <v>727.65</v>
      </c>
      <c r="D32" s="54">
        <f>D28+D29+F29</f>
        <v>4988.35</v>
      </c>
      <c r="E32" s="71"/>
      <c r="F32" s="71"/>
      <c r="G32" s="71"/>
      <c r="H32" s="71"/>
      <c r="I32" s="71"/>
      <c r="J32" s="26"/>
    </row>
    <row r="33">
      <c r="P33" s="1" t="s">
        <v>123</v>
      </c>
    </row>
    <row r="34">
      <c r="C34" s="1" t="s">
        <v>124</v>
      </c>
      <c r="L34" s="1" t="s">
        <v>125</v>
      </c>
    </row>
    <row r="35">
      <c r="C35" s="1" t="s">
        <v>126</v>
      </c>
    </row>
    <row r="36">
      <c r="L36" s="1" t="s">
        <v>127</v>
      </c>
    </row>
    <row r="37">
      <c r="L37" s="1" t="s">
        <v>128</v>
      </c>
    </row>
    <row r="38">
      <c r="L38" s="1" t="s">
        <v>130</v>
      </c>
    </row>
    <row r="39">
      <c r="L39" s="1" t="s">
        <v>131</v>
      </c>
    </row>
    <row r="40">
      <c r="L40" s="1" t="s">
        <v>132</v>
      </c>
    </row>
    <row r="41">
      <c r="L41" s="1" t="s">
        <v>133</v>
      </c>
    </row>
    <row r="42">
      <c r="L42" s="1" t="s">
        <v>134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15.25"/>
  </cols>
  <sheetData>
    <row r="2">
      <c r="C2" s="1" t="s">
        <v>82</v>
      </c>
      <c r="D2" s="1" t="s">
        <v>83</v>
      </c>
      <c r="F2" s="2" t="s">
        <v>85</v>
      </c>
      <c r="G2" s="23"/>
    </row>
    <row r="3">
      <c r="B3" s="1" t="s">
        <v>86</v>
      </c>
      <c r="C3" s="49">
        <f>'Monthly Return Crunching'!D7/1000</f>
        <v>0.078</v>
      </c>
      <c r="D3" s="49">
        <f t="shared" ref="D3:D8" si="1">C3</f>
        <v>0.078</v>
      </c>
      <c r="F3" s="50" t="s">
        <v>88</v>
      </c>
      <c r="G3" s="50">
        <v>3.0</v>
      </c>
    </row>
    <row r="4">
      <c r="B4" s="1" t="s">
        <v>89</v>
      </c>
      <c r="C4" s="49">
        <f>'Monthly Return Crunching'!D16/1000</f>
        <v>0.4605</v>
      </c>
      <c r="D4" s="49">
        <f t="shared" si="1"/>
        <v>0.4605</v>
      </c>
      <c r="F4" s="51"/>
      <c r="G4" s="24"/>
    </row>
    <row r="5">
      <c r="B5" s="1" t="s">
        <v>90</v>
      </c>
      <c r="C5" s="49">
        <f>'Monthly Return Crunching'!J7/1000</f>
        <v>6.5545</v>
      </c>
      <c r="D5" s="49">
        <f t="shared" si="1"/>
        <v>6.5545</v>
      </c>
      <c r="F5" s="51"/>
      <c r="G5" s="24"/>
    </row>
    <row r="6">
      <c r="B6" s="1" t="s">
        <v>92</v>
      </c>
      <c r="C6" s="49">
        <f>'Monthly Return Crunching'!J16/1000</f>
        <v>1.6625</v>
      </c>
      <c r="D6" s="49">
        <f t="shared" si="1"/>
        <v>1.6625</v>
      </c>
      <c r="F6" s="51"/>
      <c r="G6" s="24"/>
    </row>
    <row r="7">
      <c r="B7" s="1" t="s">
        <v>93</v>
      </c>
      <c r="C7" s="49">
        <f>'Monthly Return Crunching'!K7/1000</f>
        <v>0.024</v>
      </c>
      <c r="D7" s="49">
        <f t="shared" si="1"/>
        <v>0.024</v>
      </c>
      <c r="F7" s="55"/>
      <c r="G7" s="26"/>
    </row>
    <row r="8">
      <c r="B8" s="1" t="s">
        <v>94</v>
      </c>
      <c r="C8" s="49">
        <f>'Monthly Return Crunching'!K16/1000</f>
        <v>0.7223</v>
      </c>
      <c r="D8" s="49">
        <f t="shared" si="1"/>
        <v>0.7223</v>
      </c>
    </row>
    <row r="9">
      <c r="B9" s="1" t="s">
        <v>95</v>
      </c>
      <c r="C9" s="49">
        <f>'Monthly Return Crunching'!G7/1000</f>
        <v>1.309</v>
      </c>
      <c r="D9" s="49">
        <f>(C9-(D34*(C9/(C9+C10+C11))))+SUM(C12:C14)</f>
        <v>0.8071454402</v>
      </c>
      <c r="G9" s="1">
        <v>1.0</v>
      </c>
      <c r="H9" s="1" t="s">
        <v>61</v>
      </c>
    </row>
    <row r="10">
      <c r="B10" s="1" t="s">
        <v>100</v>
      </c>
      <c r="C10" s="49">
        <f>'Monthly Return Crunching'!Q19/1000</f>
        <v>0.8190318182</v>
      </c>
      <c r="D10" s="49">
        <f>('Monthly Return Crunching'!Q19/1000)-(D34*(C10/(C9+C10+C11)))</f>
        <v>0.5050250553</v>
      </c>
      <c r="G10" s="1">
        <v>2.0</v>
      </c>
      <c r="H10" s="1" t="s">
        <v>62</v>
      </c>
    </row>
    <row r="11">
      <c r="B11" s="1" t="s">
        <v>102</v>
      </c>
      <c r="C11" s="49">
        <f>'Monthly Return Crunching'!M20/1000</f>
        <v>0.3655272727</v>
      </c>
      <c r="D11" s="49">
        <f>(C11-(D34*(C11/(C11+C10+C9))))</f>
        <v>0.2253885954</v>
      </c>
      <c r="G11" s="1">
        <v>3.0</v>
      </c>
      <c r="H11" s="1" t="s">
        <v>63</v>
      </c>
    </row>
    <row r="12">
      <c r="B12" s="1" t="s">
        <v>104</v>
      </c>
      <c r="C12" s="49">
        <f>'Monthly Return Crunching'!Q24/1000</f>
        <v>0</v>
      </c>
      <c r="D12" s="68"/>
      <c r="G12" s="1">
        <v>4.0</v>
      </c>
      <c r="H12" s="1" t="s">
        <v>64</v>
      </c>
    </row>
    <row r="13">
      <c r="B13" s="1" t="s">
        <v>106</v>
      </c>
      <c r="C13" s="49">
        <f>'Monthly Return Crunching'!Q25/1000</f>
        <v>0</v>
      </c>
      <c r="D13" s="68"/>
      <c r="G13" s="1">
        <v>5.0</v>
      </c>
      <c r="H13" s="1" t="s">
        <v>65</v>
      </c>
    </row>
    <row r="14">
      <c r="B14" s="1" t="s">
        <v>109</v>
      </c>
      <c r="C14" s="49">
        <f>'Monthly Return Crunching'!Q26/1000</f>
        <v>0</v>
      </c>
      <c r="D14" s="68"/>
      <c r="G14" s="1">
        <v>6.0</v>
      </c>
      <c r="H14" s="1" t="s">
        <v>66</v>
      </c>
    </row>
    <row r="15">
      <c r="B15" s="1" t="s">
        <v>112</v>
      </c>
      <c r="C15" s="49">
        <f>'Monthly Return Crunching'!O7/1000</f>
        <v>0.004</v>
      </c>
      <c r="D15" s="49">
        <f>C15-(D40*(C15/(C15+C16)))</f>
        <v>0.002533692722</v>
      </c>
      <c r="G15" s="1">
        <v>7.0</v>
      </c>
      <c r="H15" s="1" t="s">
        <v>67</v>
      </c>
    </row>
    <row r="16">
      <c r="B16" s="1" t="s">
        <v>115</v>
      </c>
      <c r="C16" s="49">
        <f>'Monthly Return Crunching'!N16/1000</f>
        <v>1.109</v>
      </c>
      <c r="D16" s="49">
        <f>C16-(D40*(C16/(C16+C15)))</f>
        <v>0.7024663073</v>
      </c>
      <c r="G16" s="1">
        <v>8.0</v>
      </c>
      <c r="H16" s="1" t="s">
        <v>68</v>
      </c>
    </row>
    <row r="17">
      <c r="B17" s="1" t="s">
        <v>119</v>
      </c>
      <c r="C17" s="76">
        <f>'Monthly Return Crunching'!C7/1000</f>
        <v>2.922</v>
      </c>
      <c r="D17" s="49">
        <f>C17-(D39*(C17/(C17+C18)))</f>
        <v>2.282259581</v>
      </c>
      <c r="G17" s="1">
        <v>9.0</v>
      </c>
      <c r="H17" s="1" t="s">
        <v>69</v>
      </c>
    </row>
    <row r="18">
      <c r="B18" s="1" t="s">
        <v>122</v>
      </c>
      <c r="C18" s="76">
        <f>'Monthly Return Crunching'!C16/1000</f>
        <v>3.18015</v>
      </c>
      <c r="D18" s="49">
        <f>C18-(D39*(C18/(C18+C17)))</f>
        <v>2.483890419</v>
      </c>
      <c r="G18" s="1">
        <v>10.0</v>
      </c>
      <c r="H18" s="1" t="s">
        <v>70</v>
      </c>
    </row>
    <row r="19">
      <c r="B19" s="1" t="s">
        <v>129</v>
      </c>
      <c r="C19" s="76">
        <f>'Monthly Return Crunching'!H7/1000</f>
        <v>0.752</v>
      </c>
      <c r="D19" s="49">
        <f t="shared" ref="D19:D20" si="2">C19</f>
        <v>0.752</v>
      </c>
      <c r="G19" s="1">
        <v>11.0</v>
      </c>
      <c r="H19" s="1" t="s">
        <v>71</v>
      </c>
    </row>
    <row r="20">
      <c r="B20" s="1" t="s">
        <v>135</v>
      </c>
      <c r="C20" s="76">
        <v>0.0</v>
      </c>
      <c r="D20" s="49">
        <f t="shared" si="2"/>
        <v>0</v>
      </c>
      <c r="G20" s="1">
        <v>12.0</v>
      </c>
      <c r="H20" s="1" t="s">
        <v>72</v>
      </c>
    </row>
    <row r="21">
      <c r="B21" s="1" t="s">
        <v>136</v>
      </c>
      <c r="C21" s="49">
        <f>'Monthly Return Crunching'!H16/1000</f>
        <v>0.1919</v>
      </c>
      <c r="D21" s="49">
        <f>C21-D36</f>
        <v>0.1919</v>
      </c>
    </row>
    <row r="22">
      <c r="B22" s="1" t="s">
        <v>137</v>
      </c>
      <c r="C22" s="49">
        <f>'Monthly Return Crunching'!P7/1000</f>
        <v>4.125</v>
      </c>
      <c r="D22" s="49">
        <f>C22-(D33*(C22/(C22+C23)))</f>
        <v>2.262325033</v>
      </c>
    </row>
    <row r="23">
      <c r="B23" s="1" t="s">
        <v>138</v>
      </c>
      <c r="C23" s="49">
        <f>'Monthly Return Crunching'!O16/1000</f>
        <v>13.95021473</v>
      </c>
      <c r="D23" s="49">
        <f>C23-(D33*(C23/(C23+C22)))</f>
        <v>7.650889695</v>
      </c>
    </row>
    <row r="24">
      <c r="B24" s="1" t="s">
        <v>139</v>
      </c>
      <c r="C24" s="49">
        <f>'Monthly Return Crunching'!F7/1000</f>
        <v>0.472</v>
      </c>
      <c r="D24" s="49">
        <f t="shared" ref="D24:D25" si="3">C24</f>
        <v>0.472</v>
      </c>
    </row>
    <row r="25">
      <c r="B25" s="1" t="s">
        <v>140</v>
      </c>
      <c r="C25" s="49">
        <f>'Monthly Return Crunching'!F16/1000</f>
        <v>1.24415</v>
      </c>
      <c r="D25" s="49">
        <f t="shared" si="3"/>
        <v>1.24415</v>
      </c>
    </row>
    <row r="26">
      <c r="B26" s="1" t="s">
        <v>141</v>
      </c>
      <c r="C26" s="49">
        <f>'Monthly Return Crunching'!N7/1000</f>
        <v>0.47</v>
      </c>
      <c r="D26" s="49">
        <f>C26-(D38*(C26/(C26+C27)))</f>
        <v>0.2024533561</v>
      </c>
    </row>
    <row r="27">
      <c r="B27" s="1" t="s">
        <v>142</v>
      </c>
      <c r="C27" s="49">
        <f>'Monthly Return Crunching'!M16/1000</f>
        <v>2.42856</v>
      </c>
      <c r="D27" s="49">
        <f>C27-(D38*(C27/(C26+C27)))</f>
        <v>1.046106644</v>
      </c>
    </row>
    <row r="28">
      <c r="B28" s="1" t="s">
        <v>143</v>
      </c>
      <c r="C28" s="49">
        <f>'Monthly Return Crunching'!E7/1000</f>
        <v>0.572</v>
      </c>
      <c r="D28" s="49">
        <f t="shared" ref="D28:D29" si="4">C28</f>
        <v>0.572</v>
      </c>
    </row>
    <row r="29">
      <c r="B29" s="1" t="s">
        <v>144</v>
      </c>
      <c r="C29" s="49">
        <f>'Monthly Return Crunching'!E16/1000</f>
        <v>0.4405</v>
      </c>
      <c r="D29" s="49">
        <f t="shared" si="4"/>
        <v>0.4405</v>
      </c>
    </row>
    <row r="30">
      <c r="B30" s="1" t="s">
        <v>145</v>
      </c>
      <c r="C30" s="49">
        <f>'Monthly Return Crunching'!M7/1000</f>
        <v>0.1325</v>
      </c>
      <c r="D30" s="49">
        <f>C30-(D37*(C30/(C30+C31)))</f>
        <v>0.1163589346</v>
      </c>
    </row>
    <row r="31">
      <c r="B31" s="1" t="s">
        <v>146</v>
      </c>
      <c r="C31" s="49">
        <f>'Monthly Return Crunching'!L16/1000</f>
        <v>2.6421</v>
      </c>
      <c r="D31" s="49">
        <f>C31-(D37*(C31/(C31+C30)))</f>
        <v>2.320241065</v>
      </c>
    </row>
    <row r="32">
      <c r="B32" s="1" t="s">
        <v>147</v>
      </c>
      <c r="C32" s="68"/>
      <c r="D32" s="49">
        <f>'Monthly Return Crunching'!D20/1000</f>
        <v>1.146</v>
      </c>
    </row>
    <row r="33">
      <c r="B33" s="1" t="s">
        <v>148</v>
      </c>
      <c r="C33" s="68"/>
      <c r="D33" s="49">
        <f>'Monthly Return Crunching'!K20/1000</f>
        <v>8.162</v>
      </c>
    </row>
    <row r="34">
      <c r="B34" s="1" t="s">
        <v>149</v>
      </c>
      <c r="C34" s="68"/>
      <c r="D34" s="49">
        <f>'Monthly Return Crunching'!I20/1000</f>
        <v>0.956</v>
      </c>
    </row>
    <row r="35">
      <c r="B35" s="1" t="s">
        <v>150</v>
      </c>
      <c r="C35" s="68"/>
      <c r="D35" s="49">
        <f>'Monthly Return Crunching'!E20/1000</f>
        <v>1.232</v>
      </c>
    </row>
    <row r="36">
      <c r="B36" s="1" t="s">
        <v>151</v>
      </c>
      <c r="C36" s="68"/>
      <c r="D36" s="49">
        <f>'Monthly Return Crunching'!H20/1000</f>
        <v>0</v>
      </c>
    </row>
    <row r="37">
      <c r="B37" s="1" t="s">
        <v>153</v>
      </c>
      <c r="C37" s="68"/>
      <c r="D37" s="49">
        <f>'Monthly Return Crunching'!G20/1000</f>
        <v>0.338</v>
      </c>
    </row>
    <row r="38">
      <c r="B38" s="1" t="s">
        <v>154</v>
      </c>
      <c r="C38" s="68"/>
      <c r="D38" s="49">
        <f>'Monthly Return Crunching'!F20/1000</f>
        <v>1.65</v>
      </c>
    </row>
    <row r="39">
      <c r="B39" s="1" t="s">
        <v>155</v>
      </c>
      <c r="C39" s="68"/>
      <c r="D39" s="49">
        <f>'Monthly Return Crunching'!C20/1000</f>
        <v>1.336</v>
      </c>
    </row>
    <row r="40">
      <c r="B40" s="1" t="s">
        <v>156</v>
      </c>
      <c r="C40" s="68"/>
      <c r="D40" s="49">
        <f>'Monthly Return Crunching'!J20/1000</f>
        <v>0.408</v>
      </c>
    </row>
    <row r="41">
      <c r="B41" s="1" t="s">
        <v>158</v>
      </c>
      <c r="C41" s="49">
        <f>'Monthly Return Crunching'!G16/1000</f>
        <v>4.82062</v>
      </c>
      <c r="D41" s="49">
        <f>C41-D35</f>
        <v>3.58862</v>
      </c>
    </row>
    <row r="42">
      <c r="B42" s="1" t="s">
        <v>159</v>
      </c>
      <c r="C42" s="49">
        <f>'Monthly Return Crunching'!I7/1000</f>
        <v>2.666</v>
      </c>
      <c r="D42" s="49">
        <f>C42-(D32*(C42/(C42+C43)))</f>
        <v>2.344695869</v>
      </c>
    </row>
    <row r="43">
      <c r="B43" s="1" t="s">
        <v>160</v>
      </c>
      <c r="C43" s="49">
        <f>'Monthly Return Crunching'!I16/1000</f>
        <v>6.84286</v>
      </c>
      <c r="D43" s="49">
        <f>C43-(D32*(C43/(C42+C43)))</f>
        <v>6.018164131</v>
      </c>
    </row>
    <row r="44">
      <c r="B44" s="1" t="s">
        <v>161</v>
      </c>
      <c r="C44" s="49">
        <f>'Monthly Return Crunching'!L7/1000</f>
        <v>0</v>
      </c>
      <c r="D44" s="49">
        <f t="shared" ref="D44:D45" si="5">C44</f>
        <v>0</v>
      </c>
    </row>
    <row r="45">
      <c r="B45" s="1" t="s">
        <v>162</v>
      </c>
      <c r="C45" s="49">
        <f>'Monthly Return Crunching'!F29/1000</f>
        <v>0.96</v>
      </c>
      <c r="D45" s="49">
        <f t="shared" si="5"/>
        <v>0.96</v>
      </c>
      <c r="F45" s="1" t="s">
        <v>163</v>
      </c>
    </row>
    <row r="46">
      <c r="C46" s="77">
        <f t="shared" ref="C46:D46" si="6">SUM(C3:C45)</f>
        <v>61.92091382</v>
      </c>
      <c r="D46" s="77">
        <f t="shared" si="6"/>
        <v>61.92091382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13"/>
  </cols>
  <sheetData>
    <row r="1"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152</v>
      </c>
    </row>
    <row r="2">
      <c r="B2" s="41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>
      <c r="B3" s="41"/>
    </row>
    <row r="4">
      <c r="B4" s="78" t="s">
        <v>157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  <c r="O4" s="81"/>
    </row>
    <row r="5">
      <c r="B5" s="82"/>
      <c r="C5" s="83" t="s">
        <v>61</v>
      </c>
      <c r="D5" s="83" t="s">
        <v>62</v>
      </c>
      <c r="E5" s="83" t="s">
        <v>63</v>
      </c>
      <c r="F5" s="83" t="s">
        <v>64</v>
      </c>
      <c r="G5" s="83" t="s">
        <v>65</v>
      </c>
      <c r="H5" s="83" t="s">
        <v>66</v>
      </c>
      <c r="I5" s="83" t="s">
        <v>67</v>
      </c>
      <c r="J5" s="83" t="s">
        <v>68</v>
      </c>
      <c r="K5" s="83" t="s">
        <v>69</v>
      </c>
      <c r="L5" s="83" t="s">
        <v>70</v>
      </c>
      <c r="M5" s="83" t="s">
        <v>71</v>
      </c>
      <c r="N5" s="84" t="s">
        <v>72</v>
      </c>
      <c r="O5" s="85"/>
    </row>
    <row r="6">
      <c r="B6" s="86" t="s">
        <v>8</v>
      </c>
      <c r="C6" s="87">
        <v>2.8458</v>
      </c>
      <c r="D6" s="87">
        <v>4.055</v>
      </c>
      <c r="E6" s="88">
        <v>2.922</v>
      </c>
      <c r="F6" s="88"/>
      <c r="G6" s="88"/>
      <c r="H6" s="88"/>
      <c r="I6" s="88"/>
      <c r="J6" s="88"/>
      <c r="K6" s="88"/>
      <c r="L6" s="88"/>
      <c r="M6" s="88"/>
      <c r="N6" s="88"/>
      <c r="O6" s="89">
        <f t="shared" ref="O6:O23" si="1">SUM(C6:N6)</f>
        <v>9.8228</v>
      </c>
      <c r="AF6" s="21">
        <v>2.168</v>
      </c>
    </row>
    <row r="7">
      <c r="B7" s="86" t="s">
        <v>15</v>
      </c>
      <c r="C7" s="87">
        <v>0.672</v>
      </c>
      <c r="D7" s="87">
        <v>0.461</v>
      </c>
      <c r="E7" s="88">
        <v>0.078</v>
      </c>
      <c r="F7" s="88"/>
      <c r="G7" s="88"/>
      <c r="H7" s="88"/>
      <c r="I7" s="88"/>
      <c r="J7" s="88"/>
      <c r="K7" s="88"/>
      <c r="L7" s="88"/>
      <c r="M7" s="88"/>
      <c r="N7" s="88"/>
      <c r="O7" s="89">
        <f t="shared" si="1"/>
        <v>1.211</v>
      </c>
    </row>
    <row r="8">
      <c r="B8" s="86" t="s">
        <v>19</v>
      </c>
      <c r="C8" s="87">
        <v>1.048</v>
      </c>
      <c r="D8" s="87">
        <v>0.719</v>
      </c>
      <c r="E8" s="88">
        <v>0.572</v>
      </c>
      <c r="F8" s="88"/>
      <c r="G8" s="88"/>
      <c r="H8" s="88"/>
      <c r="I8" s="88"/>
      <c r="J8" s="88"/>
      <c r="K8" s="88"/>
      <c r="L8" s="88"/>
      <c r="M8" s="88"/>
      <c r="N8" s="88"/>
      <c r="O8" s="89">
        <f t="shared" si="1"/>
        <v>2.339</v>
      </c>
    </row>
    <row r="9">
      <c r="B9" s="86" t="s">
        <v>23</v>
      </c>
      <c r="C9" s="87">
        <v>0.63</v>
      </c>
      <c r="D9" s="87">
        <v>0.746</v>
      </c>
      <c r="E9" s="88">
        <v>0.472</v>
      </c>
      <c r="F9" s="88"/>
      <c r="G9" s="88"/>
      <c r="H9" s="88"/>
      <c r="I9" s="88"/>
      <c r="J9" s="88"/>
      <c r="K9" s="88"/>
      <c r="L9" s="88"/>
      <c r="M9" s="88"/>
      <c r="N9" s="88"/>
      <c r="O9" s="89">
        <f t="shared" si="1"/>
        <v>1.848</v>
      </c>
    </row>
    <row r="10">
      <c r="B10" s="86" t="s">
        <v>21</v>
      </c>
      <c r="C10" s="87">
        <v>1.374</v>
      </c>
      <c r="D10" s="87">
        <v>2.236</v>
      </c>
      <c r="E10" s="88">
        <v>1.309</v>
      </c>
      <c r="F10" s="88"/>
      <c r="G10" s="88"/>
      <c r="H10" s="88"/>
      <c r="I10" s="88"/>
      <c r="J10" s="88"/>
      <c r="K10" s="88"/>
      <c r="L10" s="88"/>
      <c r="M10" s="88"/>
      <c r="N10" s="88"/>
      <c r="O10" s="89">
        <f t="shared" si="1"/>
        <v>4.919</v>
      </c>
    </row>
    <row r="11">
      <c r="B11" s="86" t="s">
        <v>164</v>
      </c>
      <c r="C11" s="87">
        <v>0.0</v>
      </c>
      <c r="D11" s="87">
        <v>0.468</v>
      </c>
      <c r="E11" s="88">
        <v>0.0</v>
      </c>
      <c r="F11" s="88"/>
      <c r="G11" s="88"/>
      <c r="H11" s="88"/>
      <c r="I11" s="88"/>
      <c r="J11" s="88"/>
      <c r="K11" s="88"/>
      <c r="L11" s="88"/>
      <c r="M11" s="88"/>
      <c r="N11" s="88"/>
      <c r="O11" s="89">
        <f t="shared" si="1"/>
        <v>0.468</v>
      </c>
    </row>
    <row r="12">
      <c r="B12" s="86" t="s">
        <v>165</v>
      </c>
      <c r="C12" s="87">
        <v>0.0</v>
      </c>
      <c r="D12" s="87">
        <v>0.0</v>
      </c>
      <c r="E12" s="88">
        <v>0.0</v>
      </c>
      <c r="F12" s="88"/>
      <c r="G12" s="88"/>
      <c r="H12" s="88"/>
      <c r="I12" s="88"/>
      <c r="J12" s="88"/>
      <c r="K12" s="88"/>
      <c r="L12" s="88"/>
      <c r="M12" s="88"/>
      <c r="N12" s="88"/>
      <c r="O12" s="89">
        <f t="shared" si="1"/>
        <v>0</v>
      </c>
    </row>
    <row r="13">
      <c r="B13" s="86" t="s">
        <v>166</v>
      </c>
      <c r="C13" s="87">
        <v>0.0</v>
      </c>
      <c r="D13" s="87">
        <v>1.36</v>
      </c>
      <c r="E13" s="88">
        <v>0.0</v>
      </c>
      <c r="F13" s="88"/>
      <c r="G13" s="88"/>
      <c r="H13" s="88"/>
      <c r="I13" s="88"/>
      <c r="J13" s="88"/>
      <c r="K13" s="88"/>
      <c r="L13" s="88"/>
      <c r="M13" s="88"/>
      <c r="N13" s="88"/>
      <c r="O13" s="89">
        <f t="shared" si="1"/>
        <v>1.36</v>
      </c>
    </row>
    <row r="14">
      <c r="B14" s="86" t="s">
        <v>48</v>
      </c>
      <c r="C14" s="87">
        <v>0.757</v>
      </c>
      <c r="D14" s="87">
        <v>0.363</v>
      </c>
      <c r="E14" s="88">
        <v>0.752</v>
      </c>
      <c r="F14" s="88"/>
      <c r="G14" s="88"/>
      <c r="H14" s="88"/>
      <c r="I14" s="88"/>
      <c r="J14" s="88"/>
      <c r="K14" s="88"/>
      <c r="L14" s="88"/>
      <c r="M14" s="88"/>
      <c r="N14" s="88"/>
      <c r="O14" s="89">
        <f t="shared" si="1"/>
        <v>1.872</v>
      </c>
    </row>
    <row r="15">
      <c r="B15" s="86" t="s">
        <v>11</v>
      </c>
      <c r="C15" s="87">
        <v>4.1788</v>
      </c>
      <c r="D15" s="87">
        <v>3.978</v>
      </c>
      <c r="E15" s="88">
        <v>2.666</v>
      </c>
      <c r="F15" s="88"/>
      <c r="G15" s="88"/>
      <c r="H15" s="88"/>
      <c r="I15" s="88"/>
      <c r="J15" s="88"/>
      <c r="K15" s="88"/>
      <c r="L15" s="88"/>
      <c r="M15" s="88"/>
      <c r="N15" s="88"/>
      <c r="O15" s="89">
        <f t="shared" si="1"/>
        <v>10.8228</v>
      </c>
    </row>
    <row r="16">
      <c r="B16" s="86" t="s">
        <v>30</v>
      </c>
      <c r="C16" s="87">
        <v>1.198</v>
      </c>
      <c r="D16" s="87">
        <v>0.07</v>
      </c>
      <c r="E16" s="88">
        <v>6.5545</v>
      </c>
      <c r="F16" s="88"/>
      <c r="G16" s="88"/>
      <c r="H16" s="88"/>
      <c r="I16" s="88"/>
      <c r="J16" s="88"/>
      <c r="K16" s="88"/>
      <c r="L16" s="88"/>
      <c r="M16" s="88"/>
      <c r="N16" s="88"/>
      <c r="O16" s="89">
        <f t="shared" si="1"/>
        <v>7.8225</v>
      </c>
    </row>
    <row r="17">
      <c r="B17" s="86" t="s">
        <v>32</v>
      </c>
      <c r="C17" s="87">
        <v>0.078</v>
      </c>
      <c r="D17" s="87">
        <v>0.04</v>
      </c>
      <c r="E17" s="88">
        <v>0.024</v>
      </c>
      <c r="F17" s="88"/>
      <c r="G17" s="88"/>
      <c r="H17" s="88"/>
      <c r="I17" s="88"/>
      <c r="J17" s="88"/>
      <c r="K17" s="88"/>
      <c r="L17" s="88"/>
      <c r="M17" s="88"/>
      <c r="N17" s="88"/>
      <c r="O17" s="89">
        <f t="shared" si="1"/>
        <v>0.142</v>
      </c>
    </row>
    <row r="18">
      <c r="B18" s="86" t="s">
        <v>50</v>
      </c>
      <c r="C18" s="87">
        <v>0.024</v>
      </c>
      <c r="D18" s="87">
        <v>0.016</v>
      </c>
      <c r="E18" s="88">
        <v>0.0</v>
      </c>
      <c r="F18" s="88"/>
      <c r="G18" s="88"/>
      <c r="H18" s="88"/>
      <c r="I18" s="88"/>
      <c r="J18" s="88"/>
      <c r="K18" s="88"/>
      <c r="L18" s="88"/>
      <c r="M18" s="88"/>
      <c r="N18" s="88"/>
      <c r="O18" s="89">
        <f t="shared" si="1"/>
        <v>0.04</v>
      </c>
    </row>
    <row r="19">
      <c r="B19" s="86" t="s">
        <v>16</v>
      </c>
      <c r="C19" s="87">
        <v>0.01</v>
      </c>
      <c r="D19" s="87">
        <v>0.036</v>
      </c>
      <c r="E19" s="88">
        <v>0.1325</v>
      </c>
      <c r="F19" s="88"/>
      <c r="G19" s="88"/>
      <c r="H19" s="88"/>
      <c r="I19" s="88"/>
      <c r="J19" s="88"/>
      <c r="K19" s="88"/>
      <c r="L19" s="88"/>
      <c r="M19" s="88"/>
      <c r="N19" s="88"/>
      <c r="O19" s="89">
        <f t="shared" si="1"/>
        <v>0.1785</v>
      </c>
    </row>
    <row r="20">
      <c r="B20" s="86" t="s">
        <v>14</v>
      </c>
      <c r="C20" s="87">
        <v>0.44</v>
      </c>
      <c r="D20" s="87">
        <v>0.748</v>
      </c>
      <c r="E20" s="88">
        <v>0.47</v>
      </c>
      <c r="F20" s="88"/>
      <c r="G20" s="88"/>
      <c r="H20" s="88"/>
      <c r="I20" s="88"/>
      <c r="J20" s="88"/>
      <c r="K20" s="88"/>
      <c r="L20" s="88"/>
      <c r="M20" s="88"/>
      <c r="N20" s="88"/>
      <c r="O20" s="89">
        <f t="shared" si="1"/>
        <v>1.658</v>
      </c>
    </row>
    <row r="21">
      <c r="B21" s="86" t="s">
        <v>22</v>
      </c>
      <c r="C21" s="87">
        <v>0.1264</v>
      </c>
      <c r="D21" s="87">
        <v>0.136</v>
      </c>
      <c r="E21" s="88">
        <v>0.004</v>
      </c>
      <c r="F21" s="88"/>
      <c r="G21" s="88"/>
      <c r="H21" s="88"/>
      <c r="I21" s="88"/>
      <c r="J21" s="88"/>
      <c r="K21" s="88"/>
      <c r="L21" s="88"/>
      <c r="M21" s="88"/>
      <c r="N21" s="88"/>
      <c r="O21" s="89">
        <f t="shared" si="1"/>
        <v>0.2664</v>
      </c>
    </row>
    <row r="22">
      <c r="B22" s="90" t="s">
        <v>24</v>
      </c>
      <c r="C22" s="91">
        <v>2.588</v>
      </c>
      <c r="D22" s="91">
        <v>2.146</v>
      </c>
      <c r="E22" s="92">
        <v>4.125</v>
      </c>
      <c r="F22" s="92"/>
      <c r="G22" s="92"/>
      <c r="H22" s="92"/>
      <c r="I22" s="92"/>
      <c r="J22" s="92"/>
      <c r="K22" s="92"/>
      <c r="L22" s="92"/>
      <c r="M22" s="92"/>
      <c r="N22" s="92"/>
      <c r="O22" s="89">
        <f t="shared" si="1"/>
        <v>8.859</v>
      </c>
      <c r="Q22" s="1" t="s">
        <v>167</v>
      </c>
    </row>
    <row r="23">
      <c r="B23" s="83" t="s">
        <v>121</v>
      </c>
      <c r="C23" s="93">
        <f t="shared" ref="C23:N23" si="2">SUM(C6:C22)</f>
        <v>15.97</v>
      </c>
      <c r="D23" s="93">
        <f t="shared" si="2"/>
        <v>17.578</v>
      </c>
      <c r="E23" s="93">
        <f t="shared" si="2"/>
        <v>20.081</v>
      </c>
      <c r="F23" s="93">
        <f t="shared" si="2"/>
        <v>0</v>
      </c>
      <c r="G23" s="93">
        <f t="shared" si="2"/>
        <v>0</v>
      </c>
      <c r="H23" s="93">
        <f t="shared" si="2"/>
        <v>0</v>
      </c>
      <c r="I23" s="93">
        <f t="shared" si="2"/>
        <v>0</v>
      </c>
      <c r="J23" s="93">
        <f t="shared" si="2"/>
        <v>0</v>
      </c>
      <c r="K23" s="93">
        <f t="shared" si="2"/>
        <v>0</v>
      </c>
      <c r="L23" s="93">
        <f t="shared" si="2"/>
        <v>0</v>
      </c>
      <c r="M23" s="93">
        <f t="shared" si="2"/>
        <v>0</v>
      </c>
      <c r="N23" s="93">
        <f t="shared" si="2"/>
        <v>0</v>
      </c>
      <c r="O23" s="94">
        <f t="shared" si="1"/>
        <v>53.629</v>
      </c>
      <c r="Q23" s="28">
        <f>(O55/(O23+O42+O57))*100</f>
        <v>23.50453256</v>
      </c>
    </row>
    <row r="24"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85"/>
    </row>
    <row r="25">
      <c r="B25" s="78" t="s">
        <v>172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8"/>
      <c r="O25" s="81"/>
    </row>
    <row r="26">
      <c r="B26" s="82"/>
      <c r="C26" s="83" t="s">
        <v>61</v>
      </c>
      <c r="D26" s="83" t="s">
        <v>62</v>
      </c>
      <c r="E26" s="83" t="s">
        <v>63</v>
      </c>
      <c r="F26" s="83" t="s">
        <v>64</v>
      </c>
      <c r="G26" s="83" t="s">
        <v>65</v>
      </c>
      <c r="H26" s="83" t="s">
        <v>66</v>
      </c>
      <c r="I26" s="83" t="s">
        <v>67</v>
      </c>
      <c r="J26" s="83" t="s">
        <v>68</v>
      </c>
      <c r="K26" s="83" t="s">
        <v>69</v>
      </c>
      <c r="L26" s="83" t="s">
        <v>70</v>
      </c>
      <c r="M26" s="83" t="s">
        <v>71</v>
      </c>
      <c r="N26" s="84" t="s">
        <v>72</v>
      </c>
      <c r="O26" s="85"/>
    </row>
    <row r="27">
      <c r="B27" s="86" t="s">
        <v>8</v>
      </c>
      <c r="C27" s="87">
        <v>7.262309999999999</v>
      </c>
      <c r="D27" s="87">
        <v>5.510510000000002</v>
      </c>
      <c r="E27" s="88">
        <v>3.1801500000000007</v>
      </c>
      <c r="F27" s="88"/>
      <c r="G27" s="88"/>
      <c r="H27" s="88"/>
      <c r="I27" s="88"/>
      <c r="J27" s="88"/>
      <c r="K27" s="88"/>
      <c r="L27" s="88"/>
      <c r="M27" s="88"/>
      <c r="N27" s="88"/>
      <c r="O27" s="89">
        <f t="shared" ref="O27:O42" si="3">SUM(C27:N27)</f>
        <v>15.95297</v>
      </c>
    </row>
    <row r="28">
      <c r="B28" s="86" t="s">
        <v>15</v>
      </c>
      <c r="C28" s="87">
        <v>0.49684999999999996</v>
      </c>
      <c r="D28" s="87">
        <v>0.2761</v>
      </c>
      <c r="E28" s="88">
        <v>0.4605000000000001</v>
      </c>
      <c r="F28" s="88"/>
      <c r="G28" s="88"/>
      <c r="H28" s="88"/>
      <c r="I28" s="88"/>
      <c r="J28" s="88"/>
      <c r="K28" s="88"/>
      <c r="L28" s="88"/>
      <c r="M28" s="88"/>
      <c r="N28" s="88"/>
      <c r="O28" s="89">
        <f t="shared" si="3"/>
        <v>1.23345</v>
      </c>
    </row>
    <row r="29">
      <c r="B29" s="86" t="s">
        <v>19</v>
      </c>
      <c r="C29" s="87">
        <v>0.16375</v>
      </c>
      <c r="D29" s="87">
        <v>0.1755</v>
      </c>
      <c r="E29" s="88">
        <v>0.44050000000000006</v>
      </c>
      <c r="F29" s="88"/>
      <c r="G29" s="88"/>
      <c r="H29" s="88"/>
      <c r="I29" s="88"/>
      <c r="J29" s="88"/>
      <c r="K29" s="88"/>
      <c r="L29" s="88"/>
      <c r="M29" s="88"/>
      <c r="N29" s="88"/>
      <c r="O29" s="89">
        <f t="shared" si="3"/>
        <v>0.77975</v>
      </c>
    </row>
    <row r="30">
      <c r="B30" s="86" t="s">
        <v>23</v>
      </c>
      <c r="C30" s="87">
        <v>0.9104999999999998</v>
      </c>
      <c r="D30" s="87">
        <v>1.04925</v>
      </c>
      <c r="E30" s="88">
        <v>1.2441499999999999</v>
      </c>
      <c r="F30" s="88"/>
      <c r="G30" s="88"/>
      <c r="H30" s="88"/>
      <c r="I30" s="88"/>
      <c r="J30" s="88"/>
      <c r="K30" s="88"/>
      <c r="L30" s="88"/>
      <c r="M30" s="88"/>
      <c r="N30" s="88"/>
      <c r="O30" s="89">
        <f t="shared" si="3"/>
        <v>3.2039</v>
      </c>
    </row>
    <row r="31">
      <c r="B31" s="86" t="s">
        <v>13</v>
      </c>
      <c r="C31" s="87">
        <v>6.12137</v>
      </c>
      <c r="D31" s="87">
        <v>6.727350000000001</v>
      </c>
      <c r="E31" s="88">
        <v>4.82062</v>
      </c>
      <c r="F31" s="88"/>
      <c r="G31" s="88"/>
      <c r="H31" s="88"/>
      <c r="I31" s="88"/>
      <c r="J31" s="88"/>
      <c r="K31" s="88"/>
      <c r="L31" s="88"/>
      <c r="M31" s="88"/>
      <c r="N31" s="88"/>
      <c r="O31" s="89">
        <f t="shared" si="3"/>
        <v>17.66934</v>
      </c>
    </row>
    <row r="32">
      <c r="B32" s="86" t="s">
        <v>18</v>
      </c>
      <c r="C32" s="87">
        <v>0.1767</v>
      </c>
      <c r="D32" s="87">
        <v>0.6185</v>
      </c>
      <c r="E32" s="88">
        <v>0.1919</v>
      </c>
      <c r="F32" s="88"/>
      <c r="G32" s="88"/>
      <c r="H32" s="88"/>
      <c r="I32" s="88"/>
      <c r="J32" s="88"/>
      <c r="K32" s="88"/>
      <c r="L32" s="88"/>
      <c r="M32" s="88"/>
      <c r="N32" s="88"/>
      <c r="O32" s="89">
        <f t="shared" si="3"/>
        <v>0.9871</v>
      </c>
    </row>
    <row r="33">
      <c r="B33" s="86" t="s">
        <v>11</v>
      </c>
      <c r="C33" s="87">
        <v>6.44945</v>
      </c>
      <c r="D33" s="87">
        <v>7.678549999999996</v>
      </c>
      <c r="E33" s="88">
        <v>6.842860000000002</v>
      </c>
      <c r="F33" s="88"/>
      <c r="G33" s="88"/>
      <c r="H33" s="88"/>
      <c r="I33" s="88"/>
      <c r="J33" s="88"/>
      <c r="K33" s="88"/>
      <c r="L33" s="88"/>
      <c r="M33" s="88"/>
      <c r="N33" s="88"/>
      <c r="O33" s="89">
        <f t="shared" si="3"/>
        <v>20.97086</v>
      </c>
    </row>
    <row r="34">
      <c r="B34" s="86" t="s">
        <v>30</v>
      </c>
      <c r="C34" s="87">
        <v>3.8527000000000005</v>
      </c>
      <c r="D34" s="87">
        <v>1.16775</v>
      </c>
      <c r="E34" s="88">
        <v>1.6625</v>
      </c>
      <c r="F34" s="88"/>
      <c r="G34" s="88"/>
      <c r="H34" s="88"/>
      <c r="I34" s="88"/>
      <c r="J34" s="88"/>
      <c r="K34" s="88"/>
      <c r="L34" s="88"/>
      <c r="M34" s="88"/>
      <c r="N34" s="88"/>
      <c r="O34" s="89">
        <f t="shared" si="3"/>
        <v>6.68295</v>
      </c>
    </row>
    <row r="35">
      <c r="B35" s="86" t="s">
        <v>32</v>
      </c>
      <c r="C35" s="87">
        <v>0.72</v>
      </c>
      <c r="D35" s="87">
        <v>0.2508</v>
      </c>
      <c r="E35" s="88">
        <v>0.7222999999999999</v>
      </c>
      <c r="F35" s="88"/>
      <c r="G35" s="88"/>
      <c r="H35" s="88"/>
      <c r="I35" s="88"/>
      <c r="J35" s="88"/>
      <c r="K35" s="88"/>
      <c r="L35" s="88"/>
      <c r="M35" s="88"/>
      <c r="N35" s="88"/>
      <c r="O35" s="89">
        <f t="shared" si="3"/>
        <v>1.6931</v>
      </c>
    </row>
    <row r="36">
      <c r="B36" s="86" t="s">
        <v>50</v>
      </c>
      <c r="C36" s="87">
        <v>0.48</v>
      </c>
      <c r="D36" s="87">
        <v>0.72</v>
      </c>
      <c r="E36" s="88">
        <v>0.96</v>
      </c>
      <c r="F36" s="88"/>
      <c r="G36" s="88"/>
      <c r="H36" s="88"/>
      <c r="I36" s="88"/>
      <c r="J36" s="88"/>
      <c r="K36" s="88"/>
      <c r="L36" s="88"/>
      <c r="M36" s="88"/>
      <c r="N36" s="88"/>
      <c r="O36" s="89">
        <f t="shared" si="3"/>
        <v>2.16</v>
      </c>
    </row>
    <row r="37">
      <c r="B37" s="86" t="s">
        <v>16</v>
      </c>
      <c r="C37" s="87">
        <v>2.1926</v>
      </c>
      <c r="D37" s="87">
        <v>2.6649000000000003</v>
      </c>
      <c r="E37" s="88">
        <v>2.6421</v>
      </c>
      <c r="F37" s="88"/>
      <c r="G37" s="88"/>
      <c r="H37" s="88"/>
      <c r="I37" s="88"/>
      <c r="J37" s="88"/>
      <c r="K37" s="88"/>
      <c r="L37" s="88"/>
      <c r="M37" s="88"/>
      <c r="N37" s="88"/>
      <c r="O37" s="89">
        <f t="shared" si="3"/>
        <v>7.4996</v>
      </c>
    </row>
    <row r="38">
      <c r="B38" s="86" t="s">
        <v>14</v>
      </c>
      <c r="C38" s="87">
        <v>4.076219999999998</v>
      </c>
      <c r="D38" s="87">
        <v>3.33425</v>
      </c>
      <c r="E38" s="88">
        <v>2.4285600000000005</v>
      </c>
      <c r="F38" s="88"/>
      <c r="G38" s="88"/>
      <c r="H38" s="88"/>
      <c r="I38" s="88"/>
      <c r="J38" s="88"/>
      <c r="K38" s="88"/>
      <c r="L38" s="88"/>
      <c r="M38" s="88"/>
      <c r="N38" s="88"/>
      <c r="O38" s="89">
        <f t="shared" si="3"/>
        <v>9.83903</v>
      </c>
    </row>
    <row r="39">
      <c r="B39" s="86" t="s">
        <v>22</v>
      </c>
      <c r="C39" s="87">
        <v>1.1532000000000002</v>
      </c>
      <c r="D39" s="87">
        <v>1.4984</v>
      </c>
      <c r="E39" s="88">
        <v>1.109</v>
      </c>
      <c r="F39" s="88"/>
      <c r="G39" s="88"/>
      <c r="H39" s="88"/>
      <c r="I39" s="88"/>
      <c r="J39" s="88"/>
      <c r="K39" s="88"/>
      <c r="L39" s="88"/>
      <c r="M39" s="88"/>
      <c r="N39" s="88"/>
      <c r="O39" s="89">
        <f t="shared" si="3"/>
        <v>3.7606</v>
      </c>
    </row>
    <row r="40">
      <c r="B40" s="86" t="s">
        <v>24</v>
      </c>
      <c r="C40" s="87">
        <v>11.73662181818182</v>
      </c>
      <c r="D40" s="87">
        <v>12.991534727272727</v>
      </c>
      <c r="E40" s="88">
        <v>13.950214727272725</v>
      </c>
      <c r="F40" s="88"/>
      <c r="G40" s="88"/>
      <c r="H40" s="88"/>
      <c r="I40" s="88"/>
      <c r="J40" s="88"/>
      <c r="K40" s="88"/>
      <c r="L40" s="88"/>
      <c r="M40" s="88"/>
      <c r="N40" s="88"/>
      <c r="O40" s="89">
        <f t="shared" si="3"/>
        <v>38.67837127</v>
      </c>
    </row>
    <row r="41">
      <c r="B41" s="90" t="s">
        <v>21</v>
      </c>
      <c r="C41" s="91">
        <v>1.4993136363636363</v>
      </c>
      <c r="D41" s="91">
        <v>0.7179318181818183</v>
      </c>
      <c r="E41" s="92">
        <v>0.8190318181818181</v>
      </c>
      <c r="F41" s="92"/>
      <c r="G41" s="92"/>
      <c r="H41" s="92"/>
      <c r="I41" s="92"/>
      <c r="J41" s="92"/>
      <c r="K41" s="92"/>
      <c r="L41" s="92"/>
      <c r="M41" s="92"/>
      <c r="N41" s="92"/>
      <c r="O41" s="89">
        <f t="shared" si="3"/>
        <v>3.036277273</v>
      </c>
    </row>
    <row r="42">
      <c r="B42" s="83" t="s">
        <v>121</v>
      </c>
      <c r="C42" s="93">
        <f t="shared" ref="C42:N42" si="4">SUM(C27:C41)</f>
        <v>47.29158545</v>
      </c>
      <c r="D42" s="93">
        <f t="shared" si="4"/>
        <v>45.38132655</v>
      </c>
      <c r="E42" s="101">
        <f t="shared" si="4"/>
        <v>41.47438655</v>
      </c>
      <c r="F42" s="101">
        <f t="shared" si="4"/>
        <v>0</v>
      </c>
      <c r="G42" s="101">
        <f t="shared" si="4"/>
        <v>0</v>
      </c>
      <c r="H42" s="101">
        <f t="shared" si="4"/>
        <v>0</v>
      </c>
      <c r="I42" s="101">
        <f t="shared" si="4"/>
        <v>0</v>
      </c>
      <c r="J42" s="101">
        <f t="shared" si="4"/>
        <v>0</v>
      </c>
      <c r="K42" s="101">
        <f t="shared" si="4"/>
        <v>0</v>
      </c>
      <c r="L42" s="101">
        <f t="shared" si="4"/>
        <v>0</v>
      </c>
      <c r="M42" s="101">
        <f t="shared" si="4"/>
        <v>0</v>
      </c>
      <c r="N42" s="101">
        <f t="shared" si="4"/>
        <v>0</v>
      </c>
      <c r="O42" s="94">
        <f t="shared" si="3"/>
        <v>134.1472985</v>
      </c>
    </row>
    <row r="43">
      <c r="O43" s="85"/>
    </row>
    <row r="44">
      <c r="B44" s="78" t="s">
        <v>177</v>
      </c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8"/>
      <c r="O44" s="81"/>
    </row>
    <row r="45">
      <c r="B45" s="82"/>
      <c r="C45" s="83" t="s">
        <v>61</v>
      </c>
      <c r="D45" s="83" t="s">
        <v>62</v>
      </c>
      <c r="E45" s="83" t="s">
        <v>63</v>
      </c>
      <c r="F45" s="83" t="s">
        <v>64</v>
      </c>
      <c r="G45" s="83" t="s">
        <v>65</v>
      </c>
      <c r="H45" s="83" t="s">
        <v>66</v>
      </c>
      <c r="I45" s="83" t="s">
        <v>67</v>
      </c>
      <c r="J45" s="83" t="s">
        <v>68</v>
      </c>
      <c r="K45" s="83" t="s">
        <v>69</v>
      </c>
      <c r="L45" s="83" t="s">
        <v>70</v>
      </c>
      <c r="M45" s="83" t="s">
        <v>71</v>
      </c>
      <c r="N45" s="84" t="s">
        <v>72</v>
      </c>
      <c r="O45" s="85"/>
    </row>
    <row r="46">
      <c r="B46" s="102" t="s">
        <v>8</v>
      </c>
      <c r="C46" s="87">
        <v>2.24</v>
      </c>
      <c r="D46" s="87">
        <v>1.216</v>
      </c>
      <c r="E46" s="88">
        <v>1.336</v>
      </c>
      <c r="F46" s="88"/>
      <c r="G46" s="88"/>
      <c r="H46" s="88"/>
      <c r="I46" s="88"/>
      <c r="J46" s="88"/>
      <c r="K46" s="88"/>
      <c r="L46" s="88"/>
      <c r="M46" s="88"/>
      <c r="N46" s="88"/>
      <c r="O46" s="89">
        <f t="shared" ref="O46:O55" si="5">SUM(C46:N46)</f>
        <v>4.792</v>
      </c>
    </row>
    <row r="47">
      <c r="B47" s="102" t="s">
        <v>11</v>
      </c>
      <c r="C47" s="87">
        <v>2.068</v>
      </c>
      <c r="D47" s="87">
        <v>1.77</v>
      </c>
      <c r="E47" s="88">
        <v>1.146</v>
      </c>
      <c r="F47" s="88"/>
      <c r="G47" s="88"/>
      <c r="H47" s="88"/>
      <c r="I47" s="88"/>
      <c r="J47" s="88"/>
      <c r="K47" s="88"/>
      <c r="L47" s="88"/>
      <c r="M47" s="88"/>
      <c r="N47" s="88"/>
      <c r="O47" s="89">
        <f t="shared" si="5"/>
        <v>4.984</v>
      </c>
    </row>
    <row r="48">
      <c r="B48" s="102" t="s">
        <v>13</v>
      </c>
      <c r="C48" s="87">
        <v>1.006</v>
      </c>
      <c r="D48" s="87">
        <v>0.48</v>
      </c>
      <c r="E48" s="88">
        <v>1.232</v>
      </c>
      <c r="F48" s="88"/>
      <c r="G48" s="88"/>
      <c r="H48" s="88"/>
      <c r="I48" s="88"/>
      <c r="J48" s="88"/>
      <c r="K48" s="88"/>
      <c r="L48" s="88"/>
      <c r="M48" s="88"/>
      <c r="N48" s="88"/>
      <c r="O48" s="89">
        <f t="shared" si="5"/>
        <v>2.718</v>
      </c>
    </row>
    <row r="49">
      <c r="B49" s="102" t="s">
        <v>14</v>
      </c>
      <c r="C49" s="87">
        <v>1.497</v>
      </c>
      <c r="D49" s="87">
        <v>1.578</v>
      </c>
      <c r="E49" s="88">
        <v>1.65</v>
      </c>
      <c r="F49" s="88"/>
      <c r="G49" s="88"/>
      <c r="H49" s="88"/>
      <c r="I49" s="88"/>
      <c r="J49" s="88"/>
      <c r="K49" s="88"/>
      <c r="L49" s="88"/>
      <c r="M49" s="88"/>
      <c r="N49" s="88"/>
      <c r="O49" s="89">
        <f t="shared" si="5"/>
        <v>4.725</v>
      </c>
    </row>
    <row r="50">
      <c r="B50" s="102" t="s">
        <v>16</v>
      </c>
      <c r="C50" s="87">
        <v>0.136</v>
      </c>
      <c r="D50" s="87">
        <v>0.158</v>
      </c>
      <c r="E50" s="88">
        <v>0.338</v>
      </c>
      <c r="F50" s="88"/>
      <c r="G50" s="88"/>
      <c r="H50" s="88"/>
      <c r="I50" s="88"/>
      <c r="J50" s="88"/>
      <c r="K50" s="88"/>
      <c r="L50" s="88"/>
      <c r="M50" s="88"/>
      <c r="N50" s="88"/>
      <c r="O50" s="89">
        <f t="shared" si="5"/>
        <v>0.632</v>
      </c>
    </row>
    <row r="51">
      <c r="B51" s="102" t="s">
        <v>18</v>
      </c>
      <c r="C51" s="87">
        <v>0.036</v>
      </c>
      <c r="D51" s="87">
        <v>0.108</v>
      </c>
      <c r="E51" s="88">
        <v>0.0</v>
      </c>
      <c r="F51" s="88"/>
      <c r="G51" s="88"/>
      <c r="H51" s="88"/>
      <c r="I51" s="88"/>
      <c r="J51" s="88"/>
      <c r="K51" s="88"/>
      <c r="L51" s="88"/>
      <c r="M51" s="88"/>
      <c r="N51" s="88"/>
      <c r="O51" s="89">
        <f t="shared" si="5"/>
        <v>0.144</v>
      </c>
    </row>
    <row r="52">
      <c r="B52" s="102" t="s">
        <v>21</v>
      </c>
      <c r="C52" s="87">
        <v>0.801</v>
      </c>
      <c r="D52" s="87">
        <v>0.438</v>
      </c>
      <c r="E52" s="88">
        <v>0.956</v>
      </c>
      <c r="F52" s="88"/>
      <c r="G52" s="88"/>
      <c r="H52" s="88"/>
      <c r="I52" s="88"/>
      <c r="J52" s="88"/>
      <c r="K52" s="88"/>
      <c r="L52" s="88"/>
      <c r="M52" s="88"/>
      <c r="N52" s="88"/>
      <c r="O52" s="89">
        <f t="shared" si="5"/>
        <v>2.195</v>
      </c>
    </row>
    <row r="53">
      <c r="B53" s="102" t="s">
        <v>22</v>
      </c>
      <c r="C53" s="87">
        <v>0.6</v>
      </c>
      <c r="D53" s="87">
        <v>0.25</v>
      </c>
      <c r="E53" s="88">
        <v>0.408</v>
      </c>
      <c r="F53" s="88"/>
      <c r="G53" s="88"/>
      <c r="H53" s="88"/>
      <c r="I53" s="88"/>
      <c r="J53" s="88"/>
      <c r="K53" s="88"/>
      <c r="L53" s="88"/>
      <c r="M53" s="88"/>
      <c r="N53" s="88"/>
      <c r="O53" s="89">
        <f t="shared" si="5"/>
        <v>1.258</v>
      </c>
    </row>
    <row r="54">
      <c r="B54" s="103" t="s">
        <v>24</v>
      </c>
      <c r="C54" s="91">
        <v>9.976</v>
      </c>
      <c r="D54" s="91">
        <v>7.782</v>
      </c>
      <c r="E54" s="92">
        <v>8.162</v>
      </c>
      <c r="F54" s="92"/>
      <c r="G54" s="92"/>
      <c r="H54" s="92"/>
      <c r="I54" s="92"/>
      <c r="J54" s="92"/>
      <c r="K54" s="92"/>
      <c r="L54" s="92"/>
      <c r="M54" s="92"/>
      <c r="N54" s="92"/>
      <c r="O54" s="89">
        <f t="shared" si="5"/>
        <v>25.92</v>
      </c>
    </row>
    <row r="55">
      <c r="B55" s="83" t="s">
        <v>121</v>
      </c>
      <c r="C55" s="93">
        <f>SUM(C46:C54)</f>
        <v>18.36</v>
      </c>
      <c r="D55" s="93">
        <f t="shared" ref="D55:N55" si="6">SUM(D47:D54)</f>
        <v>12.564</v>
      </c>
      <c r="E55" s="101">
        <f t="shared" si="6"/>
        <v>13.892</v>
      </c>
      <c r="F55" s="101">
        <f t="shared" si="6"/>
        <v>0</v>
      </c>
      <c r="G55" s="101">
        <f t="shared" si="6"/>
        <v>0</v>
      </c>
      <c r="H55" s="101">
        <f t="shared" si="6"/>
        <v>0</v>
      </c>
      <c r="I55" s="101">
        <f t="shared" si="6"/>
        <v>0</v>
      </c>
      <c r="J55" s="101">
        <f t="shared" si="6"/>
        <v>0</v>
      </c>
      <c r="K55" s="101">
        <f t="shared" si="6"/>
        <v>0</v>
      </c>
      <c r="L55" s="101">
        <f t="shared" si="6"/>
        <v>0</v>
      </c>
      <c r="M55" s="101">
        <f t="shared" si="6"/>
        <v>0</v>
      </c>
      <c r="N55" s="101">
        <f t="shared" si="6"/>
        <v>0</v>
      </c>
      <c r="O55" s="94">
        <f t="shared" si="5"/>
        <v>44.816</v>
      </c>
    </row>
    <row r="56">
      <c r="C56" s="77"/>
      <c r="D56" s="77"/>
      <c r="E56" s="77"/>
      <c r="O56" s="85"/>
    </row>
    <row r="57">
      <c r="B57" s="41" t="s">
        <v>98</v>
      </c>
      <c r="C57" s="77">
        <v>2.4062545454545456</v>
      </c>
      <c r="D57" s="104">
        <v>0.12152727272727237</v>
      </c>
      <c r="E57" s="104">
        <v>0.3655272727272727</v>
      </c>
      <c r="F57" s="104"/>
      <c r="G57" s="104"/>
      <c r="H57" s="104"/>
      <c r="I57" s="104"/>
      <c r="J57" s="104"/>
      <c r="K57" s="104"/>
      <c r="L57" s="104"/>
      <c r="M57" s="104"/>
      <c r="N57" s="104"/>
      <c r="O57" s="105">
        <f>SUM(C57:N57)</f>
        <v>2.893309091</v>
      </c>
    </row>
    <row r="58">
      <c r="C58" s="77"/>
      <c r="D58" s="77"/>
      <c r="E58" s="77"/>
      <c r="O58" s="85"/>
    </row>
    <row r="59">
      <c r="C59" s="1" t="s">
        <v>61</v>
      </c>
      <c r="D59" s="1" t="s">
        <v>62</v>
      </c>
      <c r="E59" s="1" t="s">
        <v>63</v>
      </c>
      <c r="F59" s="1" t="s">
        <v>64</v>
      </c>
      <c r="G59" s="1" t="s">
        <v>65</v>
      </c>
      <c r="H59" s="1" t="s">
        <v>66</v>
      </c>
      <c r="I59" s="1" t="s">
        <v>67</v>
      </c>
      <c r="J59" s="1" t="s">
        <v>68</v>
      </c>
      <c r="K59" s="1" t="s">
        <v>69</v>
      </c>
      <c r="L59" s="1" t="s">
        <v>70</v>
      </c>
      <c r="M59" s="1" t="s">
        <v>71</v>
      </c>
      <c r="N59" s="1" t="s">
        <v>72</v>
      </c>
      <c r="O59" s="85"/>
    </row>
    <row r="60">
      <c r="B60" s="106" t="s">
        <v>182</v>
      </c>
      <c r="C60" s="107">
        <f t="shared" ref="C60:N60" si="7">(C23+C42)-C55</f>
        <v>44.90158545</v>
      </c>
      <c r="D60" s="107">
        <f t="shared" si="7"/>
        <v>50.39532655</v>
      </c>
      <c r="E60" s="107">
        <f t="shared" si="7"/>
        <v>47.66338655</v>
      </c>
      <c r="F60" s="107">
        <f t="shared" si="7"/>
        <v>0</v>
      </c>
      <c r="G60" s="107">
        <f t="shared" si="7"/>
        <v>0</v>
      </c>
      <c r="H60" s="107">
        <f t="shared" si="7"/>
        <v>0</v>
      </c>
      <c r="I60" s="107">
        <f t="shared" si="7"/>
        <v>0</v>
      </c>
      <c r="J60" s="107">
        <f t="shared" si="7"/>
        <v>0</v>
      </c>
      <c r="K60" s="107">
        <f t="shared" si="7"/>
        <v>0</v>
      </c>
      <c r="L60" s="107">
        <f t="shared" si="7"/>
        <v>0</v>
      </c>
      <c r="M60" s="107">
        <f t="shared" si="7"/>
        <v>0</v>
      </c>
      <c r="N60" s="107">
        <f t="shared" si="7"/>
        <v>0</v>
      </c>
      <c r="O60" s="108">
        <f>(O23+O42+O57)-O55</f>
        <v>145.8536076</v>
      </c>
    </row>
    <row r="62">
      <c r="B62" s="1" t="s">
        <v>184</v>
      </c>
      <c r="C62" s="87">
        <f t="shared" ref="C62:D62" si="8">C60/31</f>
        <v>1.44843824</v>
      </c>
      <c r="D62" s="87">
        <f t="shared" si="8"/>
        <v>1.625655695</v>
      </c>
      <c r="E62" s="87">
        <f>E60/30</f>
        <v>1.588779552</v>
      </c>
      <c r="F62" s="87">
        <f>F60/31</f>
        <v>0</v>
      </c>
      <c r="G62" s="87">
        <f>G60/30</f>
        <v>0</v>
      </c>
      <c r="H62" s="87">
        <f t="shared" ref="H62:I62" si="9">H60/31</f>
        <v>0</v>
      </c>
      <c r="I62" s="87">
        <f t="shared" si="9"/>
        <v>0</v>
      </c>
      <c r="J62" s="87">
        <f>J60/28</f>
        <v>0</v>
      </c>
      <c r="K62" s="87">
        <f>K60/31</f>
        <v>0</v>
      </c>
      <c r="L62" s="87">
        <f>L60/30</f>
        <v>0</v>
      </c>
      <c r="M62" s="87">
        <f>M60/31</f>
        <v>0</v>
      </c>
      <c r="N62" s="87">
        <f>N60/30</f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42">
      <c r="B42" s="28" t="str">
        <f>AnnualReturn!C5</f>
        <v>July</v>
      </c>
      <c r="C42" s="28" t="str">
        <f>AnnualReturn!D5</f>
        <v>August</v>
      </c>
      <c r="D42" s="28" t="str">
        <f>AnnualReturn!E5</f>
        <v>September</v>
      </c>
      <c r="E42" s="28" t="str">
        <f>AnnualReturn!F5</f>
        <v>October</v>
      </c>
      <c r="F42" s="28" t="str">
        <f>AnnualReturn!G5</f>
        <v>November</v>
      </c>
      <c r="G42" s="28" t="str">
        <f>AnnualReturn!H5</f>
        <v>December</v>
      </c>
      <c r="H42" s="28" t="str">
        <f>AnnualReturn!I5</f>
        <v>January</v>
      </c>
      <c r="I42" s="28" t="str">
        <f>AnnualReturn!J5</f>
        <v>February</v>
      </c>
      <c r="J42" s="28" t="str">
        <f>AnnualReturn!K5</f>
        <v>March</v>
      </c>
      <c r="K42" s="28" t="str">
        <f>AnnualReturn!L5</f>
        <v>April</v>
      </c>
      <c r="L42" s="28" t="str">
        <f>AnnualReturn!M5</f>
        <v>May</v>
      </c>
      <c r="M42" s="28" t="str">
        <f>AnnualReturn!N5</f>
        <v>June</v>
      </c>
    </row>
    <row r="43">
      <c r="A43" s="1" t="s">
        <v>207</v>
      </c>
      <c r="B43" s="77">
        <f>AnnualReturn!C23</f>
        <v>15.97</v>
      </c>
      <c r="C43" s="77">
        <f>AnnualReturn!D23</f>
        <v>17.578</v>
      </c>
      <c r="D43" s="77">
        <f>AnnualReturn!E23</f>
        <v>20.081</v>
      </c>
      <c r="E43" s="77">
        <f>AnnualReturn!F23</f>
        <v>0</v>
      </c>
      <c r="F43" s="77">
        <f>AnnualReturn!G23</f>
        <v>0</v>
      </c>
      <c r="G43" s="77">
        <f>AnnualReturn!H23</f>
        <v>0</v>
      </c>
      <c r="H43" s="77">
        <f>AnnualReturn!I23</f>
        <v>0</v>
      </c>
      <c r="I43" s="77">
        <f>AnnualReturn!J23</f>
        <v>0</v>
      </c>
      <c r="J43" s="77">
        <f>AnnualReturn!K23</f>
        <v>0</v>
      </c>
      <c r="K43" s="77">
        <f>AnnualReturn!L23</f>
        <v>0</v>
      </c>
      <c r="L43" s="77">
        <f>AnnualReturn!M23</f>
        <v>0</v>
      </c>
      <c r="M43" s="77">
        <f>AnnualReturn!N23</f>
        <v>0</v>
      </c>
    </row>
    <row r="44">
      <c r="A44" s="1" t="s">
        <v>208</v>
      </c>
      <c r="B44" s="77">
        <f>AnnualReturn!C42</f>
        <v>47.29158545</v>
      </c>
      <c r="C44" s="77">
        <f>AnnualReturn!D42</f>
        <v>45.38132655</v>
      </c>
      <c r="D44" s="96">
        <f>AnnualReturn!E42</f>
        <v>41.47438655</v>
      </c>
      <c r="E44" s="96">
        <f>AnnualReturn!F42</f>
        <v>0</v>
      </c>
      <c r="F44" s="96">
        <f>AnnualReturn!G42</f>
        <v>0</v>
      </c>
      <c r="G44" s="96">
        <f>AnnualReturn!H42</f>
        <v>0</v>
      </c>
      <c r="H44" s="96">
        <f>AnnualReturn!I42</f>
        <v>0</v>
      </c>
      <c r="I44" s="96">
        <f>AnnualReturn!J42</f>
        <v>0</v>
      </c>
      <c r="J44" s="96">
        <f>AnnualReturn!K42</f>
        <v>0</v>
      </c>
      <c r="K44" s="96">
        <f>AnnualReturn!L42</f>
        <v>0</v>
      </c>
      <c r="L44" s="96">
        <f>AnnualReturn!M42</f>
        <v>0</v>
      </c>
      <c r="M44" s="96">
        <f>AnnualReturn!N42</f>
        <v>0</v>
      </c>
    </row>
    <row r="45">
      <c r="A45" s="1" t="s">
        <v>209</v>
      </c>
      <c r="B45" s="77">
        <f>AnnualReturn!C55</f>
        <v>18.36</v>
      </c>
      <c r="C45" s="77">
        <f>AnnualReturn!D55</f>
        <v>12.564</v>
      </c>
      <c r="D45" s="96">
        <f>AnnualReturn!E55</f>
        <v>13.892</v>
      </c>
      <c r="E45" s="96">
        <f>AnnualReturn!F55</f>
        <v>0</v>
      </c>
      <c r="F45" s="96">
        <f>AnnualReturn!G55</f>
        <v>0</v>
      </c>
      <c r="G45" s="96">
        <f>AnnualReturn!H55</f>
        <v>0</v>
      </c>
      <c r="H45" s="96">
        <f>AnnualReturn!I55</f>
        <v>0</v>
      </c>
      <c r="I45" s="96">
        <f>AnnualReturn!J55</f>
        <v>0</v>
      </c>
      <c r="J45" s="96">
        <f>AnnualReturn!K55</f>
        <v>0</v>
      </c>
      <c r="K45" s="96">
        <f>AnnualReturn!L55</f>
        <v>0</v>
      </c>
      <c r="L45" s="96">
        <f>AnnualReturn!M55</f>
        <v>0</v>
      </c>
      <c r="M45" s="96">
        <f>AnnualReturn!N55</f>
        <v>0</v>
      </c>
    </row>
    <row r="46">
      <c r="A46" s="1" t="s">
        <v>182</v>
      </c>
      <c r="B46" s="77">
        <f>AnnualReturn!C60</f>
        <v>44.90158545</v>
      </c>
      <c r="C46" s="77">
        <f>AnnualReturn!D60</f>
        <v>50.39532655</v>
      </c>
      <c r="D46" s="77">
        <f>AnnualReturn!E60</f>
        <v>47.66338655</v>
      </c>
      <c r="E46" s="77">
        <f>AnnualReturn!F60</f>
        <v>0</v>
      </c>
      <c r="F46" s="77">
        <f>AnnualReturn!G60</f>
        <v>0</v>
      </c>
      <c r="G46" s="77">
        <f>AnnualReturn!H60</f>
        <v>0</v>
      </c>
      <c r="H46" s="77">
        <f>AnnualReturn!I60</f>
        <v>0</v>
      </c>
      <c r="I46" s="77">
        <f>AnnualReturn!J60</f>
        <v>0</v>
      </c>
      <c r="J46" s="77">
        <f>AnnualReturn!K60</f>
        <v>0</v>
      </c>
      <c r="K46" s="77">
        <f>AnnualReturn!L60</f>
        <v>0</v>
      </c>
      <c r="L46" s="77">
        <f>AnnualReturn!M60</f>
        <v>0</v>
      </c>
      <c r="M46" s="77">
        <f>AnnualReturn!N60</f>
        <v>0</v>
      </c>
    </row>
    <row r="70">
      <c r="B70" s="1" t="s">
        <v>80</v>
      </c>
      <c r="C70" s="1" t="s">
        <v>81</v>
      </c>
    </row>
    <row r="71">
      <c r="A71" s="1" t="s">
        <v>61</v>
      </c>
    </row>
    <row r="72">
      <c r="A72" s="1" t="s">
        <v>62</v>
      </c>
    </row>
    <row r="73">
      <c r="A73" s="1" t="s">
        <v>63</v>
      </c>
    </row>
    <row r="74">
      <c r="A74" s="1" t="s">
        <v>64</v>
      </c>
    </row>
    <row r="75">
      <c r="A75" s="1" t="s">
        <v>65</v>
      </c>
    </row>
    <row r="76">
      <c r="A76" s="1" t="s">
        <v>66</v>
      </c>
    </row>
    <row r="77">
      <c r="A77" s="1" t="s">
        <v>67</v>
      </c>
    </row>
    <row r="78">
      <c r="A78" s="1" t="s">
        <v>68</v>
      </c>
    </row>
    <row r="79">
      <c r="A79" s="1" t="s">
        <v>69</v>
      </c>
    </row>
    <row r="80">
      <c r="A80" s="1" t="s">
        <v>70</v>
      </c>
    </row>
    <row r="81">
      <c r="A81" s="1" t="s">
        <v>71</v>
      </c>
    </row>
    <row r="82">
      <c r="A82" s="1" t="s">
        <v>72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</cols>
  <sheetData>
    <row r="1">
      <c r="P1" s="2" t="s">
        <v>168</v>
      </c>
      <c r="Q1" s="22"/>
      <c r="R1" s="23"/>
    </row>
    <row r="2"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P2" s="12" t="s">
        <v>169</v>
      </c>
      <c r="Q2" s="25" t="s">
        <v>170</v>
      </c>
      <c r="R2" s="26"/>
    </row>
    <row r="3">
      <c r="B3" s="1" t="s">
        <v>171</v>
      </c>
      <c r="C3" s="77">
        <f>AnnualReturn!C6</f>
        <v>2.8458</v>
      </c>
      <c r="D3" s="77">
        <f>AnnualReturn!D6</f>
        <v>4.055</v>
      </c>
      <c r="E3" s="96">
        <f>AnnualReturn!E6</f>
        <v>2.922</v>
      </c>
      <c r="F3" s="96" t="str">
        <f>AnnualReturn!F6</f>
        <v/>
      </c>
      <c r="G3" s="96" t="str">
        <f>AnnualReturn!G6</f>
        <v/>
      </c>
      <c r="H3" s="96" t="str">
        <f>AnnualReturn!H6</f>
        <v/>
      </c>
      <c r="I3" s="96" t="str">
        <f>AnnualReturn!I6</f>
        <v/>
      </c>
      <c r="J3" s="96" t="str">
        <f>AnnualReturn!J6</f>
        <v/>
      </c>
      <c r="K3" s="96" t="str">
        <f>AnnualReturn!K6</f>
        <v/>
      </c>
      <c r="L3" s="96" t="str">
        <f>AnnualReturn!L6</f>
        <v/>
      </c>
      <c r="M3" s="96" t="str">
        <f>AnnualReturn!M6</f>
        <v/>
      </c>
      <c r="N3" s="96" t="str">
        <f>AnnualReturn!N6</f>
        <v/>
      </c>
      <c r="P3" s="99"/>
      <c r="R3" s="100">
        <f t="shared" ref="R3:R36" si="1">P3-Q3</f>
        <v>0</v>
      </c>
    </row>
    <row r="4">
      <c r="B4" s="1" t="s">
        <v>173</v>
      </c>
      <c r="C4" s="77">
        <f>AnnualReturn!C27</f>
        <v>7.26231</v>
      </c>
      <c r="D4" s="77">
        <f>AnnualReturn!D27</f>
        <v>5.51051</v>
      </c>
      <c r="E4" s="96">
        <f>AnnualReturn!E27</f>
        <v>3.18015</v>
      </c>
      <c r="F4" s="96" t="str">
        <f>AnnualReturn!F27</f>
        <v/>
      </c>
      <c r="G4" s="96" t="str">
        <f>AnnualReturn!G27</f>
        <v/>
      </c>
      <c r="H4" s="96" t="str">
        <f>AnnualReturn!H27</f>
        <v/>
      </c>
      <c r="I4" s="96" t="str">
        <f>AnnualReturn!I27</f>
        <v/>
      </c>
      <c r="J4" s="96" t="str">
        <f>AnnualReturn!J27</f>
        <v/>
      </c>
      <c r="K4" s="96" t="str">
        <f>AnnualReturn!K27</f>
        <v/>
      </c>
      <c r="L4" s="96" t="str">
        <f>AnnualReturn!L27</f>
        <v/>
      </c>
      <c r="M4" s="96" t="str">
        <f>AnnualReturn!M27</f>
        <v/>
      </c>
      <c r="N4" s="96" t="str">
        <f>AnnualReturn!N27</f>
        <v/>
      </c>
      <c r="P4" s="99"/>
      <c r="R4" s="100">
        <f t="shared" si="1"/>
        <v>0</v>
      </c>
    </row>
    <row r="5">
      <c r="B5" s="1" t="s">
        <v>174</v>
      </c>
      <c r="C5" s="77">
        <f>AnnualReturn!C7</f>
        <v>0.672</v>
      </c>
      <c r="D5" s="77">
        <f>AnnualReturn!D7</f>
        <v>0.461</v>
      </c>
      <c r="E5" s="96">
        <f>AnnualReturn!E7</f>
        <v>0.078</v>
      </c>
      <c r="F5" s="96" t="str">
        <f>AnnualReturn!F7</f>
        <v/>
      </c>
      <c r="G5" s="96" t="str">
        <f>AnnualReturn!G7</f>
        <v/>
      </c>
      <c r="H5" s="96" t="str">
        <f>AnnualReturn!H7</f>
        <v/>
      </c>
      <c r="I5" s="96" t="str">
        <f>AnnualReturn!I7</f>
        <v/>
      </c>
      <c r="J5" s="96" t="str">
        <f>AnnualReturn!J7</f>
        <v/>
      </c>
      <c r="K5" s="96" t="str">
        <f>AnnualReturn!K7</f>
        <v/>
      </c>
      <c r="L5" s="96" t="str">
        <f>AnnualReturn!L7</f>
        <v/>
      </c>
      <c r="M5" s="96" t="str">
        <f>AnnualReturn!M7</f>
        <v/>
      </c>
      <c r="N5" s="96" t="str">
        <f>AnnualReturn!N7</f>
        <v/>
      </c>
      <c r="P5" s="99"/>
      <c r="R5" s="100">
        <f t="shared" si="1"/>
        <v>0</v>
      </c>
    </row>
    <row r="6">
      <c r="B6" s="1" t="s">
        <v>175</v>
      </c>
      <c r="C6" s="77">
        <f>AnnualReturn!C28</f>
        <v>0.49685</v>
      </c>
      <c r="D6" s="77">
        <f>AnnualReturn!D28</f>
        <v>0.2761</v>
      </c>
      <c r="E6" s="96">
        <f>AnnualReturn!E28</f>
        <v>0.4605</v>
      </c>
      <c r="F6" s="96" t="str">
        <f>AnnualReturn!F28</f>
        <v/>
      </c>
      <c r="G6" s="96" t="str">
        <f>AnnualReturn!G28</f>
        <v/>
      </c>
      <c r="H6" s="96" t="str">
        <f>AnnualReturn!H28</f>
        <v/>
      </c>
      <c r="I6" s="96" t="str">
        <f>AnnualReturn!I28</f>
        <v/>
      </c>
      <c r="J6" s="96" t="str">
        <f>AnnualReturn!J28</f>
        <v/>
      </c>
      <c r="K6" s="96" t="str">
        <f>AnnualReturn!K28</f>
        <v/>
      </c>
      <c r="L6" s="96" t="str">
        <f>AnnualReturn!L28</f>
        <v/>
      </c>
      <c r="M6" s="96" t="str">
        <f>AnnualReturn!M28</f>
        <v/>
      </c>
      <c r="N6" s="96" t="str">
        <f>AnnualReturn!N28</f>
        <v/>
      </c>
      <c r="P6" s="99"/>
      <c r="R6" s="100">
        <f t="shared" si="1"/>
        <v>0</v>
      </c>
    </row>
    <row r="7">
      <c r="B7" s="1" t="s">
        <v>176</v>
      </c>
      <c r="C7" s="77">
        <f>AnnualReturn!C8</f>
        <v>1.048</v>
      </c>
      <c r="D7" s="77">
        <f>AnnualReturn!D8</f>
        <v>0.719</v>
      </c>
      <c r="E7" s="96">
        <f>AnnualReturn!E8</f>
        <v>0.572</v>
      </c>
      <c r="F7" s="96" t="str">
        <f>AnnualReturn!F8</f>
        <v/>
      </c>
      <c r="G7" s="96" t="str">
        <f>AnnualReturn!G8</f>
        <v/>
      </c>
      <c r="H7" s="96" t="str">
        <f>AnnualReturn!H8</f>
        <v/>
      </c>
      <c r="I7" s="96" t="str">
        <f>AnnualReturn!I8</f>
        <v/>
      </c>
      <c r="J7" s="96" t="str">
        <f>AnnualReturn!J8</f>
        <v/>
      </c>
      <c r="K7" s="96" t="str">
        <f>AnnualReturn!K8</f>
        <v/>
      </c>
      <c r="L7" s="96" t="str">
        <f>AnnualReturn!L8</f>
        <v/>
      </c>
      <c r="M7" s="96" t="str">
        <f>AnnualReturn!M8</f>
        <v/>
      </c>
      <c r="N7" s="96" t="str">
        <f>AnnualReturn!N8</f>
        <v/>
      </c>
      <c r="P7" s="99"/>
      <c r="R7" s="100">
        <f t="shared" si="1"/>
        <v>0</v>
      </c>
    </row>
    <row r="8">
      <c r="B8" s="1" t="s">
        <v>178</v>
      </c>
      <c r="C8" s="77">
        <f>AnnualReturn!C29</f>
        <v>0.16375</v>
      </c>
      <c r="D8" s="77">
        <f>AnnualReturn!D29</f>
        <v>0.1755</v>
      </c>
      <c r="E8" s="96">
        <f>AnnualReturn!E29</f>
        <v>0.4405</v>
      </c>
      <c r="F8" s="96" t="str">
        <f>AnnualReturn!F29</f>
        <v/>
      </c>
      <c r="G8" s="96" t="str">
        <f>AnnualReturn!G29</f>
        <v/>
      </c>
      <c r="H8" s="96" t="str">
        <f>AnnualReturn!H29</f>
        <v/>
      </c>
      <c r="I8" s="96" t="str">
        <f>AnnualReturn!I29</f>
        <v/>
      </c>
      <c r="J8" s="96" t="str">
        <f>AnnualReturn!J29</f>
        <v/>
      </c>
      <c r="K8" s="96" t="str">
        <f>AnnualReturn!K29</f>
        <v/>
      </c>
      <c r="L8" s="96" t="str">
        <f>AnnualReturn!L29</f>
        <v/>
      </c>
      <c r="M8" s="96" t="str">
        <f>AnnualReturn!M29</f>
        <v/>
      </c>
      <c r="N8" s="96" t="str">
        <f>AnnualReturn!N29</f>
        <v/>
      </c>
      <c r="P8" s="99"/>
      <c r="R8" s="100">
        <f t="shared" si="1"/>
        <v>0</v>
      </c>
    </row>
    <row r="9">
      <c r="B9" s="1" t="s">
        <v>179</v>
      </c>
      <c r="C9" s="77">
        <f>AnnualReturn!C9</f>
        <v>0.63</v>
      </c>
      <c r="D9" s="77">
        <f>AnnualReturn!D9</f>
        <v>0.746</v>
      </c>
      <c r="E9" s="96">
        <f>AnnualReturn!E9</f>
        <v>0.472</v>
      </c>
      <c r="F9" s="96" t="str">
        <f>AnnualReturn!F9</f>
        <v/>
      </c>
      <c r="G9" s="96" t="str">
        <f>AnnualReturn!G9</f>
        <v/>
      </c>
      <c r="H9" s="96" t="str">
        <f>AnnualReturn!H9</f>
        <v/>
      </c>
      <c r="I9" s="96" t="str">
        <f>AnnualReturn!I9</f>
        <v/>
      </c>
      <c r="J9" s="96" t="str">
        <f>AnnualReturn!J9</f>
        <v/>
      </c>
      <c r="K9" s="96" t="str">
        <f>AnnualReturn!K9</f>
        <v/>
      </c>
      <c r="L9" s="96" t="str">
        <f>AnnualReturn!L9</f>
        <v/>
      </c>
      <c r="M9" s="96" t="str">
        <f>AnnualReturn!M9</f>
        <v/>
      </c>
      <c r="N9" s="96" t="str">
        <f>AnnualReturn!N9</f>
        <v/>
      </c>
      <c r="P9" s="99"/>
      <c r="R9" s="100">
        <f t="shared" si="1"/>
        <v>0</v>
      </c>
    </row>
    <row r="10">
      <c r="B10" s="1" t="s">
        <v>180</v>
      </c>
      <c r="C10" s="77">
        <f>AnnualReturn!C30</f>
        <v>0.9105</v>
      </c>
      <c r="D10" s="77">
        <f>AnnualReturn!D30</f>
        <v>1.04925</v>
      </c>
      <c r="E10" s="96">
        <f>AnnualReturn!E30</f>
        <v>1.24415</v>
      </c>
      <c r="F10" s="96" t="str">
        <f>AnnualReturn!F30</f>
        <v/>
      </c>
      <c r="G10" s="96" t="str">
        <f>AnnualReturn!G30</f>
        <v/>
      </c>
      <c r="H10" s="96" t="str">
        <f>AnnualReturn!H30</f>
        <v/>
      </c>
      <c r="I10" s="96" t="str">
        <f>AnnualReturn!I30</f>
        <v/>
      </c>
      <c r="J10" s="96" t="str">
        <f>AnnualReturn!J30</f>
        <v/>
      </c>
      <c r="K10" s="96" t="str">
        <f>AnnualReturn!K30</f>
        <v/>
      </c>
      <c r="L10" s="96" t="str">
        <f>AnnualReturn!L30</f>
        <v/>
      </c>
      <c r="M10" s="96" t="str">
        <f>AnnualReturn!M30</f>
        <v/>
      </c>
      <c r="N10" s="96" t="str">
        <f>AnnualReturn!N30</f>
        <v/>
      </c>
      <c r="P10" s="99"/>
      <c r="R10" s="100">
        <f t="shared" si="1"/>
        <v>0</v>
      </c>
    </row>
    <row r="11">
      <c r="B11" s="1" t="s">
        <v>181</v>
      </c>
      <c r="C11" s="77">
        <f>AnnualReturn!C31</f>
        <v>6.12137</v>
      </c>
      <c r="D11" s="77">
        <f>AnnualReturn!D31</f>
        <v>6.72735</v>
      </c>
      <c r="E11" s="96">
        <f>AnnualReturn!E31</f>
        <v>4.82062</v>
      </c>
      <c r="F11" s="96" t="str">
        <f>AnnualReturn!F31</f>
        <v/>
      </c>
      <c r="G11" s="96" t="str">
        <f>AnnualReturn!G31</f>
        <v/>
      </c>
      <c r="H11" s="96" t="str">
        <f>AnnualReturn!H31</f>
        <v/>
      </c>
      <c r="I11" s="96" t="str">
        <f>AnnualReturn!I31</f>
        <v/>
      </c>
      <c r="J11" s="96" t="str">
        <f>AnnualReturn!J31</f>
        <v/>
      </c>
      <c r="K11" s="96" t="str">
        <f>AnnualReturn!K31</f>
        <v/>
      </c>
      <c r="L11" s="96" t="str">
        <f>AnnualReturn!L31</f>
        <v/>
      </c>
      <c r="M11" s="96" t="str">
        <f>AnnualReturn!M31</f>
        <v/>
      </c>
      <c r="N11" s="96" t="str">
        <f>AnnualReturn!N31</f>
        <v/>
      </c>
      <c r="P11" s="99"/>
      <c r="R11" s="100">
        <f t="shared" si="1"/>
        <v>0</v>
      </c>
    </row>
    <row r="12">
      <c r="B12" s="1" t="s">
        <v>183</v>
      </c>
      <c r="C12" s="77">
        <f>AnnualReturn!C10</f>
        <v>1.374</v>
      </c>
      <c r="D12" s="77">
        <f>AnnualReturn!D10</f>
        <v>2.236</v>
      </c>
      <c r="E12" s="96">
        <f>AnnualReturn!E10</f>
        <v>1.309</v>
      </c>
      <c r="F12" s="96" t="str">
        <f>AnnualReturn!F10</f>
        <v/>
      </c>
      <c r="G12" s="96" t="str">
        <f>AnnualReturn!G10</f>
        <v/>
      </c>
      <c r="H12" s="96" t="str">
        <f>AnnualReturn!H10</f>
        <v/>
      </c>
      <c r="I12" s="96" t="str">
        <f>AnnualReturn!I10</f>
        <v/>
      </c>
      <c r="J12" s="96" t="str">
        <f>AnnualReturn!J10</f>
        <v/>
      </c>
      <c r="K12" s="96" t="str">
        <f>AnnualReturn!K10</f>
        <v/>
      </c>
      <c r="L12" s="96" t="str">
        <f>AnnualReturn!L10</f>
        <v/>
      </c>
      <c r="M12" s="96" t="str">
        <f>AnnualReturn!M10</f>
        <v/>
      </c>
      <c r="N12" s="96" t="str">
        <f>AnnualReturn!N10</f>
        <v/>
      </c>
      <c r="P12" s="99"/>
      <c r="R12" s="100">
        <f t="shared" si="1"/>
        <v>0</v>
      </c>
    </row>
    <row r="13">
      <c r="B13" s="1" t="s">
        <v>185</v>
      </c>
      <c r="C13" s="77">
        <f>AnnualReturn!C41</f>
        <v>1.499313636</v>
      </c>
      <c r="D13" s="77">
        <f>AnnualReturn!D41</f>
        <v>0.7179318182</v>
      </c>
      <c r="E13" s="96">
        <f>AnnualReturn!E41</f>
        <v>0.8190318182</v>
      </c>
      <c r="F13" s="96" t="str">
        <f>AnnualReturn!F41</f>
        <v/>
      </c>
      <c r="G13" s="96" t="str">
        <f>AnnualReturn!G41</f>
        <v/>
      </c>
      <c r="H13" s="96" t="str">
        <f>AnnualReturn!H41</f>
        <v/>
      </c>
      <c r="I13" s="96" t="str">
        <f>AnnualReturn!I41</f>
        <v/>
      </c>
      <c r="J13" s="96" t="str">
        <f>AnnualReturn!J41</f>
        <v/>
      </c>
      <c r="K13" s="96" t="str">
        <f>AnnualReturn!K41</f>
        <v/>
      </c>
      <c r="L13" s="96" t="str">
        <f>AnnualReturn!L41</f>
        <v/>
      </c>
      <c r="M13" s="96" t="str">
        <f>AnnualReturn!M41</f>
        <v/>
      </c>
      <c r="N13" s="96" t="str">
        <f>AnnualReturn!N41</f>
        <v/>
      </c>
      <c r="P13" s="99"/>
      <c r="R13" s="100">
        <f t="shared" si="1"/>
        <v>0</v>
      </c>
    </row>
    <row r="14">
      <c r="B14" s="1" t="s">
        <v>186</v>
      </c>
      <c r="C14" s="77">
        <f>AnnualReturn!C57</f>
        <v>2.406254545</v>
      </c>
      <c r="D14" s="77">
        <f>AnnualReturn!D57</f>
        <v>0.1215272727</v>
      </c>
      <c r="E14" s="77">
        <f>AnnualReturn!E57</f>
        <v>0.3655272727</v>
      </c>
      <c r="F14" s="77" t="str">
        <f>AnnualReturn!F57</f>
        <v/>
      </c>
      <c r="G14" s="77" t="str">
        <f>AnnualReturn!G57</f>
        <v/>
      </c>
      <c r="H14" s="77" t="str">
        <f>AnnualReturn!H57</f>
        <v/>
      </c>
      <c r="I14" s="77" t="str">
        <f>AnnualReturn!I57</f>
        <v/>
      </c>
      <c r="J14" s="77" t="str">
        <f>AnnualReturn!J57</f>
        <v/>
      </c>
      <c r="K14" s="77" t="str">
        <f>AnnualReturn!K57</f>
        <v/>
      </c>
      <c r="L14" s="77" t="str">
        <f>AnnualReturn!L57</f>
        <v/>
      </c>
      <c r="M14" s="77" t="str">
        <f>AnnualReturn!M57</f>
        <v/>
      </c>
      <c r="N14" s="77" t="str">
        <f>AnnualReturn!N57</f>
        <v/>
      </c>
      <c r="P14" s="109"/>
      <c r="R14" s="110">
        <f t="shared" si="1"/>
        <v>0</v>
      </c>
    </row>
    <row r="15">
      <c r="B15" s="1" t="s">
        <v>187</v>
      </c>
      <c r="C15" s="77">
        <f>AnnualReturn!C14</f>
        <v>0.757</v>
      </c>
      <c r="D15" s="77">
        <f>AnnualReturn!D14</f>
        <v>0.363</v>
      </c>
      <c r="E15" s="96">
        <f>AnnualReturn!E14</f>
        <v>0.752</v>
      </c>
      <c r="F15" s="96" t="str">
        <f>AnnualReturn!F14</f>
        <v/>
      </c>
      <c r="G15" s="96" t="str">
        <f>AnnualReturn!G14</f>
        <v/>
      </c>
      <c r="H15" s="96" t="str">
        <f>AnnualReturn!H14</f>
        <v/>
      </c>
      <c r="I15" s="96" t="str">
        <f>AnnualReturn!I14</f>
        <v/>
      </c>
      <c r="J15" s="96" t="str">
        <f>AnnualReturn!J14</f>
        <v/>
      </c>
      <c r="K15" s="96" t="str">
        <f>AnnualReturn!K14</f>
        <v/>
      </c>
      <c r="L15" s="96" t="str">
        <f>AnnualReturn!L14</f>
        <v/>
      </c>
      <c r="M15" s="96" t="str">
        <f>AnnualReturn!M14</f>
        <v/>
      </c>
      <c r="N15" s="96" t="str">
        <f>AnnualReturn!N14</f>
        <v/>
      </c>
      <c r="P15" s="99"/>
      <c r="R15" s="100">
        <f t="shared" si="1"/>
        <v>0</v>
      </c>
    </row>
    <row r="16">
      <c r="B16" s="1" t="s">
        <v>188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P16" s="7"/>
      <c r="R16" s="24">
        <f t="shared" si="1"/>
        <v>0</v>
      </c>
    </row>
    <row r="17">
      <c r="B17" s="1" t="s">
        <v>189</v>
      </c>
      <c r="C17" s="77">
        <f>AnnualReturn!C32</f>
        <v>0.1767</v>
      </c>
      <c r="D17" s="77">
        <f>AnnualReturn!D32</f>
        <v>0.6185</v>
      </c>
      <c r="E17" s="96">
        <f>AnnualReturn!E32</f>
        <v>0.1919</v>
      </c>
      <c r="F17" s="96" t="str">
        <f>AnnualReturn!F32</f>
        <v/>
      </c>
      <c r="G17" s="96" t="str">
        <f>AnnualReturn!G32</f>
        <v/>
      </c>
      <c r="H17" s="96" t="str">
        <f>AnnualReturn!H32</f>
        <v/>
      </c>
      <c r="I17" s="96" t="str">
        <f>AnnualReturn!I32</f>
        <v/>
      </c>
      <c r="J17" s="96" t="str">
        <f>AnnualReturn!J32</f>
        <v/>
      </c>
      <c r="K17" s="96" t="str">
        <f>AnnualReturn!K32</f>
        <v/>
      </c>
      <c r="L17" s="96" t="str">
        <f>AnnualReturn!L32</f>
        <v/>
      </c>
      <c r="M17" s="96" t="str">
        <f>AnnualReturn!M32</f>
        <v/>
      </c>
      <c r="N17" s="96" t="str">
        <f>AnnualReturn!N32</f>
        <v/>
      </c>
      <c r="P17" s="99"/>
      <c r="R17" s="100">
        <f t="shared" si="1"/>
        <v>0</v>
      </c>
    </row>
    <row r="18">
      <c r="B18" s="1" t="s">
        <v>190</v>
      </c>
      <c r="C18" s="77">
        <f>AnnualReturn!C15</f>
        <v>4.1788</v>
      </c>
      <c r="D18" s="77">
        <f>AnnualReturn!D15</f>
        <v>3.978</v>
      </c>
      <c r="E18" s="96">
        <f>AnnualReturn!E15</f>
        <v>2.666</v>
      </c>
      <c r="F18" s="96" t="str">
        <f>AnnualReturn!F15</f>
        <v/>
      </c>
      <c r="G18" s="96" t="str">
        <f>AnnualReturn!G15</f>
        <v/>
      </c>
      <c r="H18" s="96" t="str">
        <f>AnnualReturn!H15</f>
        <v/>
      </c>
      <c r="I18" s="96" t="str">
        <f>AnnualReturn!I15</f>
        <v/>
      </c>
      <c r="J18" s="96" t="str">
        <f>AnnualReturn!J15</f>
        <v/>
      </c>
      <c r="K18" s="96" t="str">
        <f>AnnualReturn!K15</f>
        <v/>
      </c>
      <c r="L18" s="96" t="str">
        <f>AnnualReturn!L15</f>
        <v/>
      </c>
      <c r="M18" s="96" t="str">
        <f>AnnualReturn!M15</f>
        <v/>
      </c>
      <c r="N18" s="96" t="str">
        <f>AnnualReturn!N15</f>
        <v/>
      </c>
      <c r="P18" s="99"/>
      <c r="R18" s="100">
        <f t="shared" si="1"/>
        <v>0</v>
      </c>
    </row>
    <row r="19">
      <c r="B19" s="1" t="s">
        <v>191</v>
      </c>
      <c r="C19" s="77">
        <f>AnnualReturn!C33</f>
        <v>6.44945</v>
      </c>
      <c r="D19" s="77">
        <f>AnnualReturn!D33</f>
        <v>7.67855</v>
      </c>
      <c r="E19" s="96">
        <f>AnnualReturn!E33</f>
        <v>6.84286</v>
      </c>
      <c r="F19" s="96" t="str">
        <f>AnnualReturn!F33</f>
        <v/>
      </c>
      <c r="G19" s="96" t="str">
        <f>AnnualReturn!G33</f>
        <v/>
      </c>
      <c r="H19" s="96" t="str">
        <f>AnnualReturn!H33</f>
        <v/>
      </c>
      <c r="I19" s="96" t="str">
        <f>AnnualReturn!I33</f>
        <v/>
      </c>
      <c r="J19" s="96" t="str">
        <f>AnnualReturn!J33</f>
        <v/>
      </c>
      <c r="K19" s="96" t="str">
        <f>AnnualReturn!K33</f>
        <v/>
      </c>
      <c r="L19" s="96" t="str">
        <f>AnnualReturn!L33</f>
        <v/>
      </c>
      <c r="M19" s="96" t="str">
        <f>AnnualReturn!M33</f>
        <v/>
      </c>
      <c r="N19" s="96" t="str">
        <f>AnnualReturn!N33</f>
        <v/>
      </c>
      <c r="P19" s="99"/>
      <c r="R19" s="100">
        <f t="shared" si="1"/>
        <v>0</v>
      </c>
    </row>
    <row r="20">
      <c r="B20" s="1" t="s">
        <v>192</v>
      </c>
      <c r="C20" s="77">
        <f>AnnualReturn!C16</f>
        <v>1.198</v>
      </c>
      <c r="D20" s="77">
        <f>AnnualReturn!D16</f>
        <v>0.07</v>
      </c>
      <c r="E20" s="96">
        <f>AnnualReturn!E16</f>
        <v>6.5545</v>
      </c>
      <c r="F20" s="96" t="str">
        <f>AnnualReturn!F16</f>
        <v/>
      </c>
      <c r="G20" s="96" t="str">
        <f>AnnualReturn!G16</f>
        <v/>
      </c>
      <c r="H20" s="96" t="str">
        <f>AnnualReturn!H16</f>
        <v/>
      </c>
      <c r="I20" s="96" t="str">
        <f>AnnualReturn!I16</f>
        <v/>
      </c>
      <c r="J20" s="96" t="str">
        <f>AnnualReturn!J16</f>
        <v/>
      </c>
      <c r="K20" s="96" t="str">
        <f>AnnualReturn!K16</f>
        <v/>
      </c>
      <c r="L20" s="96" t="str">
        <f>AnnualReturn!L16</f>
        <v/>
      </c>
      <c r="M20" s="96" t="str">
        <f>AnnualReturn!M16</f>
        <v/>
      </c>
      <c r="N20" s="96" t="str">
        <f>AnnualReturn!N16</f>
        <v/>
      </c>
      <c r="P20" s="99"/>
      <c r="R20" s="100">
        <f t="shared" si="1"/>
        <v>0</v>
      </c>
    </row>
    <row r="21">
      <c r="B21" s="1" t="s">
        <v>193</v>
      </c>
      <c r="C21" s="77">
        <f>AnnualReturn!C17</f>
        <v>0.078</v>
      </c>
      <c r="D21" s="77">
        <f>AnnualReturn!D17</f>
        <v>0.04</v>
      </c>
      <c r="E21" s="96">
        <f>AnnualReturn!E17</f>
        <v>0.024</v>
      </c>
      <c r="F21" s="96" t="str">
        <f>AnnualReturn!F17</f>
        <v/>
      </c>
      <c r="G21" s="96" t="str">
        <f>AnnualReturn!G17</f>
        <v/>
      </c>
      <c r="H21" s="96" t="str">
        <f>AnnualReturn!H17</f>
        <v/>
      </c>
      <c r="I21" s="96" t="str">
        <f>AnnualReturn!I17</f>
        <v/>
      </c>
      <c r="J21" s="96" t="str">
        <f>AnnualReturn!J17</f>
        <v/>
      </c>
      <c r="K21" s="96" t="str">
        <f>AnnualReturn!K17</f>
        <v/>
      </c>
      <c r="L21" s="96" t="str">
        <f>AnnualReturn!L17</f>
        <v/>
      </c>
      <c r="M21" s="96" t="str">
        <f>AnnualReturn!M17</f>
        <v/>
      </c>
      <c r="N21" s="96" t="str">
        <f>AnnualReturn!N17</f>
        <v/>
      </c>
      <c r="P21" s="99"/>
      <c r="R21" s="100">
        <f t="shared" si="1"/>
        <v>0</v>
      </c>
    </row>
    <row r="22">
      <c r="B22" s="1" t="s">
        <v>194</v>
      </c>
      <c r="C22" s="77">
        <f>AnnualReturn!C18</f>
        <v>0.024</v>
      </c>
      <c r="D22" s="77">
        <f>AnnualReturn!D18</f>
        <v>0.016</v>
      </c>
      <c r="E22" s="96">
        <f>AnnualReturn!E18</f>
        <v>0</v>
      </c>
      <c r="F22" s="96" t="str">
        <f>AnnualReturn!F18</f>
        <v/>
      </c>
      <c r="G22" s="96" t="str">
        <f>AnnualReturn!G18</f>
        <v/>
      </c>
      <c r="H22" s="96" t="str">
        <f>AnnualReturn!H18</f>
        <v/>
      </c>
      <c r="I22" s="96" t="str">
        <f>AnnualReturn!I18</f>
        <v/>
      </c>
      <c r="J22" s="96" t="str">
        <f>AnnualReturn!J18</f>
        <v/>
      </c>
      <c r="K22" s="96" t="str">
        <f>AnnualReturn!K18</f>
        <v/>
      </c>
      <c r="L22" s="96" t="str">
        <f>AnnualReturn!L18</f>
        <v/>
      </c>
      <c r="M22" s="96" t="str">
        <f>AnnualReturn!M18</f>
        <v/>
      </c>
      <c r="N22" s="96" t="str">
        <f>AnnualReturn!N18</f>
        <v/>
      </c>
      <c r="P22" s="99"/>
      <c r="R22" s="100">
        <f t="shared" si="1"/>
        <v>0</v>
      </c>
    </row>
    <row r="23">
      <c r="B23" s="1" t="s">
        <v>195</v>
      </c>
      <c r="C23" s="77">
        <f>AnnualReturn!C36</f>
        <v>0.48</v>
      </c>
      <c r="D23" s="77">
        <f>AnnualReturn!D36</f>
        <v>0.72</v>
      </c>
      <c r="E23" s="96">
        <f>AnnualReturn!E36</f>
        <v>0.96</v>
      </c>
      <c r="F23" s="96" t="str">
        <f>AnnualReturn!F36</f>
        <v/>
      </c>
      <c r="G23" s="96" t="str">
        <f>AnnualReturn!G36</f>
        <v/>
      </c>
      <c r="H23" s="96" t="str">
        <f>AnnualReturn!H36</f>
        <v/>
      </c>
      <c r="I23" s="96" t="str">
        <f>AnnualReturn!I36</f>
        <v/>
      </c>
      <c r="J23" s="96" t="str">
        <f>AnnualReturn!J36</f>
        <v/>
      </c>
      <c r="K23" s="96" t="str">
        <f>AnnualReturn!K36</f>
        <v/>
      </c>
      <c r="L23" s="96" t="str">
        <f>AnnualReturn!L36</f>
        <v/>
      </c>
      <c r="M23" s="96" t="str">
        <f>AnnualReturn!M36</f>
        <v/>
      </c>
      <c r="N23" s="96" t="str">
        <f>AnnualReturn!N36</f>
        <v/>
      </c>
      <c r="P23" s="99"/>
      <c r="R23" s="100">
        <f t="shared" si="1"/>
        <v>0</v>
      </c>
    </row>
    <row r="24">
      <c r="B24" s="1" t="s">
        <v>196</v>
      </c>
      <c r="C24" s="77">
        <f>AnnualReturn!C19</f>
        <v>0.01</v>
      </c>
      <c r="D24" s="77">
        <f>AnnualReturn!D19</f>
        <v>0.036</v>
      </c>
      <c r="E24" s="96">
        <f>AnnualReturn!E19</f>
        <v>0.1325</v>
      </c>
      <c r="F24" s="96" t="str">
        <f>AnnualReturn!F19</f>
        <v/>
      </c>
      <c r="G24" s="96" t="str">
        <f>AnnualReturn!G19</f>
        <v/>
      </c>
      <c r="H24" s="96" t="str">
        <f>AnnualReturn!H19</f>
        <v/>
      </c>
      <c r="I24" s="96" t="str">
        <f>AnnualReturn!I19</f>
        <v/>
      </c>
      <c r="J24" s="96" t="str">
        <f>AnnualReturn!J19</f>
        <v/>
      </c>
      <c r="K24" s="96" t="str">
        <f>AnnualReturn!K19</f>
        <v/>
      </c>
      <c r="L24" s="96" t="str">
        <f>AnnualReturn!L19</f>
        <v/>
      </c>
      <c r="M24" s="96" t="str">
        <f>AnnualReturn!M19</f>
        <v/>
      </c>
      <c r="N24" s="96" t="str">
        <f>AnnualReturn!N19</f>
        <v/>
      </c>
      <c r="P24" s="99"/>
      <c r="R24" s="100">
        <f t="shared" si="1"/>
        <v>0</v>
      </c>
    </row>
    <row r="25">
      <c r="B25" s="1" t="s">
        <v>197</v>
      </c>
      <c r="C25" s="77">
        <f>AnnualReturn!C37</f>
        <v>2.1926</v>
      </c>
      <c r="D25" s="77">
        <f>AnnualReturn!D37</f>
        <v>2.6649</v>
      </c>
      <c r="E25" s="96">
        <f>AnnualReturn!E37</f>
        <v>2.6421</v>
      </c>
      <c r="F25" s="96" t="str">
        <f>AnnualReturn!F37</f>
        <v/>
      </c>
      <c r="G25" s="96" t="str">
        <f>AnnualReturn!G37</f>
        <v/>
      </c>
      <c r="H25" s="96" t="str">
        <f>AnnualReturn!H37</f>
        <v/>
      </c>
      <c r="I25" s="96" t="str">
        <f>AnnualReturn!I37</f>
        <v/>
      </c>
      <c r="J25" s="96" t="str">
        <f>AnnualReturn!J37</f>
        <v/>
      </c>
      <c r="K25" s="96" t="str">
        <f>AnnualReturn!K37</f>
        <v/>
      </c>
      <c r="L25" s="96" t="str">
        <f>AnnualReturn!L37</f>
        <v/>
      </c>
      <c r="M25" s="96" t="str">
        <f>AnnualReturn!M37</f>
        <v/>
      </c>
      <c r="N25" s="96" t="str">
        <f>AnnualReturn!N37</f>
        <v/>
      </c>
      <c r="P25" s="99"/>
      <c r="R25" s="100">
        <f t="shared" si="1"/>
        <v>0</v>
      </c>
    </row>
    <row r="26">
      <c r="B26" s="1" t="s">
        <v>198</v>
      </c>
      <c r="C26" s="77">
        <f>AnnualReturn!C22</f>
        <v>2.588</v>
      </c>
      <c r="D26" s="77">
        <f>AnnualReturn!D22</f>
        <v>2.146</v>
      </c>
      <c r="E26" s="96">
        <f>AnnualReturn!E22</f>
        <v>4.125</v>
      </c>
      <c r="F26" s="96" t="str">
        <f>AnnualReturn!F22</f>
        <v/>
      </c>
      <c r="G26" s="96" t="str">
        <f>AnnualReturn!G22</f>
        <v/>
      </c>
      <c r="H26" s="96" t="str">
        <f>AnnualReturn!H22</f>
        <v/>
      </c>
      <c r="I26" s="96" t="str">
        <f>AnnualReturn!I22</f>
        <v/>
      </c>
      <c r="J26" s="96" t="str">
        <f>AnnualReturn!J22</f>
        <v/>
      </c>
      <c r="K26" s="96" t="str">
        <f>AnnualReturn!K22</f>
        <v/>
      </c>
      <c r="L26" s="96" t="str">
        <f>AnnualReturn!L22</f>
        <v/>
      </c>
      <c r="M26" s="96" t="str">
        <f>AnnualReturn!M22</f>
        <v/>
      </c>
      <c r="N26" s="96" t="str">
        <f>AnnualReturn!N22</f>
        <v/>
      </c>
      <c r="P26" s="99"/>
      <c r="R26" s="100">
        <f t="shared" si="1"/>
        <v>0</v>
      </c>
    </row>
    <row r="27">
      <c r="B27" s="1" t="s">
        <v>199</v>
      </c>
      <c r="C27" s="77">
        <f>AnnualReturn!C40</f>
        <v>11.73662182</v>
      </c>
      <c r="D27" s="77">
        <f>AnnualReturn!D40</f>
        <v>12.99153473</v>
      </c>
      <c r="E27" s="96">
        <f>AnnualReturn!E40</f>
        <v>13.95021473</v>
      </c>
      <c r="F27" s="96" t="str">
        <f>AnnualReturn!F40</f>
        <v/>
      </c>
      <c r="G27" s="96" t="str">
        <f>AnnualReturn!G40</f>
        <v/>
      </c>
      <c r="H27" s="96" t="str">
        <f>AnnualReturn!H40</f>
        <v/>
      </c>
      <c r="I27" s="96" t="str">
        <f>AnnualReturn!I40</f>
        <v/>
      </c>
      <c r="J27" s="96" t="str">
        <f>AnnualReturn!J40</f>
        <v/>
      </c>
      <c r="K27" s="96" t="str">
        <f>AnnualReturn!K40</f>
        <v/>
      </c>
      <c r="L27" s="96" t="str">
        <f>AnnualReturn!L40</f>
        <v/>
      </c>
      <c r="M27" s="96" t="str">
        <f>AnnualReturn!M40</f>
        <v/>
      </c>
      <c r="N27" s="96" t="str">
        <f>AnnualReturn!N40</f>
        <v/>
      </c>
      <c r="P27" s="99"/>
      <c r="R27" s="100">
        <f t="shared" si="1"/>
        <v>0</v>
      </c>
    </row>
    <row r="28">
      <c r="B28" s="1" t="s">
        <v>200</v>
      </c>
      <c r="C28" s="77">
        <f>AnnualReturn!C20</f>
        <v>0.44</v>
      </c>
      <c r="D28" s="77">
        <f>AnnualReturn!D20</f>
        <v>0.748</v>
      </c>
      <c r="E28" s="96">
        <f>AnnualReturn!E20</f>
        <v>0.47</v>
      </c>
      <c r="F28" s="96" t="str">
        <f>AnnualReturn!F20</f>
        <v/>
      </c>
      <c r="G28" s="96" t="str">
        <f>AnnualReturn!G20</f>
        <v/>
      </c>
      <c r="H28" s="96" t="str">
        <f>AnnualReturn!H20</f>
        <v/>
      </c>
      <c r="I28" s="96" t="str">
        <f>AnnualReturn!I20</f>
        <v/>
      </c>
      <c r="J28" s="96" t="str">
        <f>AnnualReturn!J20</f>
        <v/>
      </c>
      <c r="K28" s="96" t="str">
        <f>AnnualReturn!K20</f>
        <v/>
      </c>
      <c r="L28" s="96" t="str">
        <f>AnnualReturn!L20</f>
        <v/>
      </c>
      <c r="M28" s="96" t="str">
        <f>AnnualReturn!M20</f>
        <v/>
      </c>
      <c r="N28" s="96" t="str">
        <f>AnnualReturn!N20</f>
        <v/>
      </c>
      <c r="P28" s="99"/>
      <c r="R28" s="100">
        <f t="shared" si="1"/>
        <v>0</v>
      </c>
    </row>
    <row r="29">
      <c r="B29" s="1" t="s">
        <v>201</v>
      </c>
      <c r="C29" s="77">
        <f>AnnualReturn!C38</f>
        <v>4.07622</v>
      </c>
      <c r="D29" s="77">
        <f>AnnualReturn!D38</f>
        <v>3.33425</v>
      </c>
      <c r="E29" s="96">
        <f>AnnualReturn!E38</f>
        <v>2.42856</v>
      </c>
      <c r="F29" s="96" t="str">
        <f>AnnualReturn!F38</f>
        <v/>
      </c>
      <c r="G29" s="96" t="str">
        <f>AnnualReturn!G38</f>
        <v/>
      </c>
      <c r="H29" s="96" t="str">
        <f>AnnualReturn!H38</f>
        <v/>
      </c>
      <c r="I29" s="96" t="str">
        <f>AnnualReturn!I38</f>
        <v/>
      </c>
      <c r="J29" s="96" t="str">
        <f>AnnualReturn!J38</f>
        <v/>
      </c>
      <c r="K29" s="96" t="str">
        <f>AnnualReturn!K38</f>
        <v/>
      </c>
      <c r="L29" s="96" t="str">
        <f>AnnualReturn!L38</f>
        <v/>
      </c>
      <c r="M29" s="96" t="str">
        <f>AnnualReturn!M38</f>
        <v/>
      </c>
      <c r="N29" s="96" t="str">
        <f>AnnualReturn!N38</f>
        <v/>
      </c>
      <c r="P29" s="99"/>
      <c r="R29" s="100">
        <f t="shared" si="1"/>
        <v>0</v>
      </c>
    </row>
    <row r="30">
      <c r="B30" s="1" t="s">
        <v>147</v>
      </c>
      <c r="C30" s="77">
        <f>AnnualReturn!C47</f>
        <v>2.068</v>
      </c>
      <c r="D30" s="77">
        <f>AnnualReturn!D47</f>
        <v>1.77</v>
      </c>
      <c r="E30" s="96">
        <f>AnnualReturn!E47</f>
        <v>1.146</v>
      </c>
      <c r="F30" s="96" t="str">
        <f>AnnualReturn!F47</f>
        <v/>
      </c>
      <c r="G30" s="96" t="str">
        <f>AnnualReturn!G47</f>
        <v/>
      </c>
      <c r="H30" s="96" t="str">
        <f>AnnualReturn!H47</f>
        <v/>
      </c>
      <c r="I30" s="96" t="str">
        <f>AnnualReturn!I47</f>
        <v/>
      </c>
      <c r="J30" s="96" t="str">
        <f>AnnualReturn!J47</f>
        <v/>
      </c>
      <c r="K30" s="96" t="str">
        <f>AnnualReturn!K47</f>
        <v/>
      </c>
      <c r="L30" s="96" t="str">
        <f>AnnualReturn!L47</f>
        <v/>
      </c>
      <c r="M30" s="96" t="str">
        <f>AnnualReturn!M47</f>
        <v/>
      </c>
      <c r="N30" s="96" t="str">
        <f>AnnualReturn!N47</f>
        <v/>
      </c>
      <c r="P30" s="99"/>
      <c r="R30" s="100">
        <f t="shared" si="1"/>
        <v>0</v>
      </c>
    </row>
    <row r="31">
      <c r="B31" s="1" t="s">
        <v>148</v>
      </c>
      <c r="C31" s="77">
        <f>AnnualReturn!C54</f>
        <v>9.976</v>
      </c>
      <c r="D31" s="77">
        <f>AnnualReturn!D54</f>
        <v>7.782</v>
      </c>
      <c r="E31" s="96">
        <f>AnnualReturn!E54</f>
        <v>8.162</v>
      </c>
      <c r="F31" s="96" t="str">
        <f>AnnualReturn!F54</f>
        <v/>
      </c>
      <c r="G31" s="96" t="str">
        <f>AnnualReturn!G54</f>
        <v/>
      </c>
      <c r="H31" s="96" t="str">
        <f>AnnualReturn!H54</f>
        <v/>
      </c>
      <c r="I31" s="96" t="str">
        <f>AnnualReturn!I54</f>
        <v/>
      </c>
      <c r="J31" s="96" t="str">
        <f>AnnualReturn!J54</f>
        <v/>
      </c>
      <c r="K31" s="96" t="str">
        <f>AnnualReturn!K54</f>
        <v/>
      </c>
      <c r="L31" s="96" t="str">
        <f>AnnualReturn!L54</f>
        <v/>
      </c>
      <c r="M31" s="96" t="str">
        <f>AnnualReturn!M54</f>
        <v/>
      </c>
      <c r="N31" s="96" t="str">
        <f>AnnualReturn!N54</f>
        <v/>
      </c>
      <c r="P31" s="99"/>
      <c r="R31" s="100">
        <f t="shared" si="1"/>
        <v>0</v>
      </c>
    </row>
    <row r="32">
      <c r="B32" s="1" t="s">
        <v>149</v>
      </c>
      <c r="C32" s="77">
        <f>AnnualReturn!C52</f>
        <v>0.801</v>
      </c>
      <c r="D32" s="77">
        <f>AnnualReturn!D52</f>
        <v>0.438</v>
      </c>
      <c r="E32" s="96">
        <f>AnnualReturn!E52</f>
        <v>0.956</v>
      </c>
      <c r="F32" s="96" t="str">
        <f>AnnualReturn!F52</f>
        <v/>
      </c>
      <c r="G32" s="96" t="str">
        <f>AnnualReturn!G52</f>
        <v/>
      </c>
      <c r="H32" s="96" t="str">
        <f>AnnualReturn!H52</f>
        <v/>
      </c>
      <c r="I32" s="96" t="str">
        <f>AnnualReturn!I52</f>
        <v/>
      </c>
      <c r="J32" s="96" t="str">
        <f>AnnualReturn!J52</f>
        <v/>
      </c>
      <c r="K32" s="96" t="str">
        <f>AnnualReturn!K52</f>
        <v/>
      </c>
      <c r="L32" s="96" t="str">
        <f>AnnualReturn!L52</f>
        <v/>
      </c>
      <c r="M32" s="96" t="str">
        <f>AnnualReturn!M52</f>
        <v/>
      </c>
      <c r="N32" s="96" t="str">
        <f>AnnualReturn!N52</f>
        <v/>
      </c>
      <c r="P32" s="99"/>
      <c r="R32" s="100">
        <f t="shared" si="1"/>
        <v>0</v>
      </c>
    </row>
    <row r="33">
      <c r="B33" s="1" t="s">
        <v>150</v>
      </c>
      <c r="C33" s="77">
        <f>AnnualReturn!C48</f>
        <v>1.006</v>
      </c>
      <c r="D33" s="77">
        <f>AnnualReturn!D48</f>
        <v>0.48</v>
      </c>
      <c r="E33" s="96">
        <f>AnnualReturn!E48</f>
        <v>1.232</v>
      </c>
      <c r="F33" s="96" t="str">
        <f>AnnualReturn!F48</f>
        <v/>
      </c>
      <c r="G33" s="96" t="str">
        <f>AnnualReturn!G48</f>
        <v/>
      </c>
      <c r="H33" s="96" t="str">
        <f>AnnualReturn!H48</f>
        <v/>
      </c>
      <c r="I33" s="96" t="str">
        <f>AnnualReturn!I48</f>
        <v/>
      </c>
      <c r="J33" s="96" t="str">
        <f>AnnualReturn!J48</f>
        <v/>
      </c>
      <c r="K33" s="96" t="str">
        <f>AnnualReturn!K48</f>
        <v/>
      </c>
      <c r="L33" s="96" t="str">
        <f>AnnualReturn!L48</f>
        <v/>
      </c>
      <c r="M33" s="96" t="str">
        <f>AnnualReturn!M48</f>
        <v/>
      </c>
      <c r="N33" s="96" t="str">
        <f>AnnualReturn!N48</f>
        <v/>
      </c>
      <c r="P33" s="99"/>
      <c r="R33" s="100">
        <f t="shared" si="1"/>
        <v>0</v>
      </c>
    </row>
    <row r="34">
      <c r="B34" s="1" t="s">
        <v>206</v>
      </c>
      <c r="C34" s="77">
        <f>AnnualReturn!C51</f>
        <v>0.036</v>
      </c>
      <c r="D34" s="77">
        <f>AnnualReturn!D51</f>
        <v>0.108</v>
      </c>
      <c r="E34" s="96">
        <f>AnnualReturn!E51</f>
        <v>0</v>
      </c>
      <c r="F34" s="96" t="str">
        <f>AnnualReturn!F51</f>
        <v/>
      </c>
      <c r="G34" s="96" t="str">
        <f>AnnualReturn!G51</f>
        <v/>
      </c>
      <c r="H34" s="96" t="str">
        <f>AnnualReturn!H51</f>
        <v/>
      </c>
      <c r="I34" s="96" t="str">
        <f>AnnualReturn!I51</f>
        <v/>
      </c>
      <c r="J34" s="96" t="str">
        <f>AnnualReturn!J51</f>
        <v/>
      </c>
      <c r="K34" s="96" t="str">
        <f>AnnualReturn!K51</f>
        <v/>
      </c>
      <c r="L34" s="96" t="str">
        <f>AnnualReturn!L51</f>
        <v/>
      </c>
      <c r="M34" s="96" t="str">
        <f>AnnualReturn!M51</f>
        <v/>
      </c>
      <c r="N34" s="96" t="str">
        <f>AnnualReturn!N51</f>
        <v/>
      </c>
      <c r="P34" s="99"/>
      <c r="R34" s="100">
        <f t="shared" si="1"/>
        <v>0</v>
      </c>
    </row>
    <row r="35">
      <c r="B35" s="1" t="s">
        <v>153</v>
      </c>
      <c r="C35" s="77">
        <f>AnnualReturn!C50</f>
        <v>0.136</v>
      </c>
      <c r="D35" s="77">
        <f>AnnualReturn!D50</f>
        <v>0.158</v>
      </c>
      <c r="E35" s="96">
        <f>AnnualReturn!E50</f>
        <v>0.338</v>
      </c>
      <c r="F35" s="96" t="str">
        <f>AnnualReturn!F50</f>
        <v/>
      </c>
      <c r="G35" s="96" t="str">
        <f>AnnualReturn!G50</f>
        <v/>
      </c>
      <c r="H35" s="96" t="str">
        <f>AnnualReturn!H50</f>
        <v/>
      </c>
      <c r="I35" s="96" t="str">
        <f>AnnualReturn!I50</f>
        <v/>
      </c>
      <c r="J35" s="96" t="str">
        <f>AnnualReturn!J50</f>
        <v/>
      </c>
      <c r="K35" s="96" t="str">
        <f>AnnualReturn!K50</f>
        <v/>
      </c>
      <c r="L35" s="96" t="str">
        <f>AnnualReturn!L50</f>
        <v/>
      </c>
      <c r="M35" s="96" t="str">
        <f>AnnualReturn!M50</f>
        <v/>
      </c>
      <c r="N35" s="96" t="str">
        <f>AnnualReturn!N50</f>
        <v/>
      </c>
      <c r="P35" s="99"/>
      <c r="R35" s="100">
        <f t="shared" si="1"/>
        <v>0</v>
      </c>
    </row>
    <row r="36">
      <c r="B36" s="1" t="s">
        <v>154</v>
      </c>
      <c r="C36" s="77">
        <f>AnnualReturn!C49</f>
        <v>1.497</v>
      </c>
      <c r="D36" s="77">
        <f>AnnualReturn!D49</f>
        <v>1.578</v>
      </c>
      <c r="E36" s="96">
        <f>AnnualReturn!E49</f>
        <v>1.65</v>
      </c>
      <c r="F36" s="96" t="str">
        <f>AnnualReturn!F49</f>
        <v/>
      </c>
      <c r="G36" s="96" t="str">
        <f>AnnualReturn!G49</f>
        <v/>
      </c>
      <c r="H36" s="96" t="str">
        <f>AnnualReturn!H49</f>
        <v/>
      </c>
      <c r="I36" s="96" t="str">
        <f>AnnualReturn!I49</f>
        <v/>
      </c>
      <c r="J36" s="96" t="str">
        <f>AnnualReturn!J49</f>
        <v/>
      </c>
      <c r="K36" s="96" t="str">
        <f>AnnualReturn!K49</f>
        <v/>
      </c>
      <c r="L36" s="96" t="str">
        <f>AnnualReturn!L49</f>
        <v/>
      </c>
      <c r="M36" s="96" t="str">
        <f>AnnualReturn!M49</f>
        <v/>
      </c>
      <c r="N36" s="96" t="str">
        <f>AnnualReturn!N49</f>
        <v/>
      </c>
      <c r="P36" s="111"/>
      <c r="Q36" s="25"/>
      <c r="R36" s="112">
        <f t="shared" si="1"/>
        <v>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H1" s="1" t="s">
        <v>1</v>
      </c>
    </row>
    <row r="2">
      <c r="B2" s="3" t="s">
        <v>3</v>
      </c>
      <c r="C2" s="4">
        <v>46157.0</v>
      </c>
      <c r="D2" s="1" t="s">
        <v>4</v>
      </c>
      <c r="H2" s="4"/>
      <c r="L2" s="6"/>
    </row>
    <row r="3">
      <c r="B3" s="12" t="s">
        <v>202</v>
      </c>
      <c r="C3" s="14">
        <v>1.0</v>
      </c>
      <c r="D3" s="1"/>
      <c r="H3" s="14"/>
    </row>
    <row r="4">
      <c r="B4" s="7" t="s">
        <v>8</v>
      </c>
      <c r="C4" s="8">
        <v>0.0</v>
      </c>
      <c r="D4" s="1" t="s">
        <v>7</v>
      </c>
      <c r="H4" s="8"/>
    </row>
    <row r="5">
      <c r="B5" s="7" t="s">
        <v>15</v>
      </c>
      <c r="C5" s="8">
        <v>0.0</v>
      </c>
      <c r="H5" s="8"/>
    </row>
    <row r="6">
      <c r="B6" s="7" t="s">
        <v>19</v>
      </c>
      <c r="C6" s="8">
        <v>0.0</v>
      </c>
      <c r="H6" s="8"/>
    </row>
    <row r="7">
      <c r="B7" s="7" t="s">
        <v>23</v>
      </c>
      <c r="C7" s="8">
        <v>0.0</v>
      </c>
      <c r="H7" s="8"/>
    </row>
    <row r="8">
      <c r="B8" s="7" t="s">
        <v>13</v>
      </c>
      <c r="C8" s="8">
        <v>0.0</v>
      </c>
      <c r="H8" s="8"/>
    </row>
    <row r="9">
      <c r="B9" s="7" t="s">
        <v>18</v>
      </c>
      <c r="C9" s="8">
        <v>0.0</v>
      </c>
      <c r="H9" s="8"/>
    </row>
    <row r="10">
      <c r="B10" s="7" t="s">
        <v>11</v>
      </c>
      <c r="C10" s="8">
        <v>0.0</v>
      </c>
      <c r="H10" s="8"/>
    </row>
    <row r="11">
      <c r="B11" s="7" t="s">
        <v>30</v>
      </c>
      <c r="C11" s="8">
        <v>0.0</v>
      </c>
      <c r="H11" s="8"/>
    </row>
    <row r="12">
      <c r="B12" s="7" t="s">
        <v>32</v>
      </c>
      <c r="C12" s="8">
        <v>0.0</v>
      </c>
      <c r="H12" s="8"/>
    </row>
    <row r="13">
      <c r="B13" s="7" t="s">
        <v>16</v>
      </c>
      <c r="C13" s="8">
        <v>0.0</v>
      </c>
      <c r="H13" s="8"/>
    </row>
    <row r="14">
      <c r="B14" s="7" t="s">
        <v>14</v>
      </c>
      <c r="C14" s="8">
        <v>0.0</v>
      </c>
      <c r="H14" s="8"/>
    </row>
    <row r="15">
      <c r="B15" s="7" t="s">
        <v>22</v>
      </c>
      <c r="C15" s="8">
        <v>0.0</v>
      </c>
      <c r="H15" s="8"/>
    </row>
    <row r="16">
      <c r="B16" s="12" t="s">
        <v>24</v>
      </c>
      <c r="C16" s="14">
        <v>0.0</v>
      </c>
      <c r="H16" s="14"/>
    </row>
    <row r="17">
      <c r="C17" s="1">
        <f>SUM(C4:C16)</f>
        <v>0</v>
      </c>
      <c r="D17" s="1" t="s">
        <v>35</v>
      </c>
    </row>
    <row r="21">
      <c r="C21" s="1"/>
    </row>
    <row r="24">
      <c r="G24" s="1" t="s">
        <v>38</v>
      </c>
    </row>
    <row r="25">
      <c r="G25" s="1" t="s">
        <v>39</v>
      </c>
    </row>
    <row r="27">
      <c r="B27" s="2" t="s">
        <v>203</v>
      </c>
      <c r="C27" s="22"/>
      <c r="D27" s="23"/>
    </row>
    <row r="28">
      <c r="B28" s="7" t="s">
        <v>49</v>
      </c>
      <c r="C28" s="1">
        <v>172.0</v>
      </c>
      <c r="D28" s="24"/>
    </row>
    <row r="29">
      <c r="B29" s="12" t="s">
        <v>204</v>
      </c>
      <c r="C29" s="25">
        <v>100.0</v>
      </c>
      <c r="D29" s="26"/>
    </row>
    <row r="32">
      <c r="B32" s="1" t="s">
        <v>205</v>
      </c>
      <c r="C32" s="1">
        <v>61.0</v>
      </c>
    </row>
    <row r="33">
      <c r="B33" s="1" t="s">
        <v>42</v>
      </c>
      <c r="C33" s="1">
        <v>50.0</v>
      </c>
    </row>
    <row r="34">
      <c r="B34" s="1" t="s">
        <v>46</v>
      </c>
      <c r="C34" s="1">
        <v>35.0</v>
      </c>
    </row>
    <row r="35">
      <c r="B35" s="1" t="s">
        <v>44</v>
      </c>
      <c r="C35" s="1">
        <v>22.0</v>
      </c>
    </row>
    <row r="36">
      <c r="B36" s="1" t="s">
        <v>43</v>
      </c>
      <c r="C36" s="1">
        <v>8.0</v>
      </c>
    </row>
  </sheetData>
  <conditionalFormatting sqref="C2 H2">
    <cfRule type="notContainsText" dxfId="0" priority="1" operator="notContains" text="??-??">
      <formula>ISERROR(SEARCH(("??-??"),(C2)))</formula>
    </cfRule>
  </conditionalFormatting>
  <conditionalFormatting sqref="C2 H2">
    <cfRule type="containsText" dxfId="1" priority="2" operator="containsText" text="??-??">
      <formula>NOT(ISERROR(SEARCH(("??-??"),(C2))))</formula>
    </cfRule>
  </conditionalFormatting>
  <conditionalFormatting sqref="C3:C16 H3:H16">
    <cfRule type="notContainsBlanks" dxfId="1" priority="3">
      <formula>LEN(TRIM(C3))&gt;0</formula>
    </cfRule>
  </conditionalFormatting>
  <conditionalFormatting sqref="C17">
    <cfRule type="notContainsText" dxfId="0" priority="4" operator="notContains" text="100">
      <formula>ISERROR(SEARCH(("100"),(C17)))</formula>
    </cfRule>
  </conditionalFormatting>
  <conditionalFormatting sqref="C17">
    <cfRule type="cellIs" dxfId="1" priority="5" operator="equal">
      <formula>100</formula>
    </cfRule>
  </conditionalFormatting>
  <conditionalFormatting sqref="C3:C16 H3:H16">
    <cfRule type="containsBlanks" dxfId="2" priority="6">
      <formula>LEN(TRIM(C3))=0</formula>
    </cfRule>
  </conditionalFormatting>
  <drawing r:id="rId1"/>
</worksheet>
</file>